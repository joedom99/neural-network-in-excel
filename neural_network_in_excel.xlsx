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joedomaleski/Downloads/"/>
    </mc:Choice>
  </mc:AlternateContent>
  <xr:revisionPtr revIDLastSave="0" documentId="13_ncr:1_{61FCCF40-3268-0141-8B56-46A249653C82}" xr6:coauthVersionLast="47" xr6:coauthVersionMax="47" xr10:uidLastSave="{00000000-0000-0000-0000-000000000000}"/>
  <bookViews>
    <workbookView xWindow="-34980" yWindow="-2660" windowWidth="27920" windowHeight="17420" tabRatio="500" xr2:uid="{00000000-000D-0000-FFFF-FFFF00000000}"/>
  </bookViews>
  <sheets>
    <sheet name="README" sheetId="1" r:id="rId1"/>
    <sheet name="AND_OR_NOT" sheetId="2" r:id="rId2"/>
    <sheet name="XOR_Forward" sheetId="3" r:id="rId3"/>
    <sheet name="XOR_Training" sheetId="4" r:id="rId4"/>
    <sheet name="Playground"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4" i="5" l="1"/>
  <c r="D24" i="5"/>
  <c r="F24" i="5" s="1"/>
  <c r="J23" i="5"/>
  <c r="E23" i="5"/>
  <c r="D23" i="5"/>
  <c r="F23" i="5" s="1"/>
  <c r="G23" i="5" s="1"/>
  <c r="I23" i="5" s="1"/>
  <c r="G22" i="5"/>
  <c r="I22" i="5" s="1"/>
  <c r="E22" i="5"/>
  <c r="D22" i="5"/>
  <c r="F22" i="5" s="1"/>
  <c r="J22" i="5" s="1"/>
  <c r="F21" i="5"/>
  <c r="E21" i="5"/>
  <c r="D21" i="5"/>
  <c r="AH12" i="4"/>
  <c r="AI12" i="4" s="1"/>
  <c r="AG12" i="4"/>
  <c r="AJ12" i="4" s="1"/>
  <c r="AK12" i="4" s="1"/>
  <c r="AL12" i="4" s="1"/>
  <c r="AF12" i="4"/>
  <c r="AA12" i="4"/>
  <c r="AB12" i="4" s="1"/>
  <c r="Z12" i="4"/>
  <c r="AC12" i="4" s="1"/>
  <c r="AD12" i="4" s="1"/>
  <c r="AE12" i="4" s="1"/>
  <c r="Y12" i="4"/>
  <c r="U12" i="4"/>
  <c r="T12" i="4"/>
  <c r="R12" i="4"/>
  <c r="S12" i="4" s="1"/>
  <c r="V12" i="4" s="1"/>
  <c r="W12" i="4" s="1"/>
  <c r="X12" i="4" s="1"/>
  <c r="P12" i="4"/>
  <c r="M12" i="4"/>
  <c r="N12" i="4" s="1"/>
  <c r="K12" i="4"/>
  <c r="L12" i="4" s="1"/>
  <c r="O12" i="4" s="1"/>
  <c r="C26" i="3"/>
  <c r="F24" i="3"/>
  <c r="G24" i="3" s="1"/>
  <c r="E24" i="3"/>
  <c r="H24" i="3" s="1"/>
  <c r="I24" i="3" s="1"/>
  <c r="D24" i="3"/>
  <c r="G23" i="3"/>
  <c r="H23" i="3" s="1"/>
  <c r="I23" i="3" s="1"/>
  <c r="F23" i="3"/>
  <c r="D23" i="3"/>
  <c r="E23" i="3" s="1"/>
  <c r="F22" i="3"/>
  <c r="G22" i="3" s="1"/>
  <c r="D22" i="3"/>
  <c r="E22" i="3" s="1"/>
  <c r="H22" i="3" s="1"/>
  <c r="I22" i="3" s="1"/>
  <c r="F21" i="3"/>
  <c r="G21" i="3" s="1"/>
  <c r="D21" i="3"/>
  <c r="E21" i="3" s="1"/>
  <c r="H21" i="3" s="1"/>
  <c r="I21" i="3" s="1"/>
  <c r="C33" i="2"/>
  <c r="D33" i="2" s="1"/>
  <c r="E33" i="2" s="1"/>
  <c r="G33" i="2" s="1"/>
  <c r="C32" i="2"/>
  <c r="D32" i="2" s="1"/>
  <c r="E32" i="2" s="1"/>
  <c r="G32" i="2" s="1"/>
  <c r="D24" i="2"/>
  <c r="E24" i="2" s="1"/>
  <c r="F24" i="2" s="1"/>
  <c r="H24" i="2" s="1"/>
  <c r="D23" i="2"/>
  <c r="E23" i="2" s="1"/>
  <c r="F23" i="2" s="1"/>
  <c r="H23" i="2" s="1"/>
  <c r="F22" i="2"/>
  <c r="H22" i="2" s="1"/>
  <c r="D22" i="2"/>
  <c r="E22" i="2" s="1"/>
  <c r="F21" i="2"/>
  <c r="H21" i="2" s="1"/>
  <c r="E21" i="2"/>
  <c r="D21" i="2"/>
  <c r="D13" i="2"/>
  <c r="E13" i="2" s="1"/>
  <c r="F13" i="2" s="1"/>
  <c r="H13" i="2" s="1"/>
  <c r="D12" i="2"/>
  <c r="E12" i="2" s="1"/>
  <c r="F12" i="2" s="1"/>
  <c r="H12" i="2" s="1"/>
  <c r="D11" i="2"/>
  <c r="E11" i="2" s="1"/>
  <c r="F11" i="2" s="1"/>
  <c r="H11" i="2" s="1"/>
  <c r="D10" i="2"/>
  <c r="E10" i="2" s="1"/>
  <c r="F10" i="2" s="1"/>
  <c r="H10" i="2" s="1"/>
  <c r="H13" i="4" l="1"/>
  <c r="G13" i="4"/>
  <c r="C13" i="4"/>
  <c r="B13" i="4"/>
  <c r="J13" i="4"/>
  <c r="Q12" i="4"/>
  <c r="AM12" i="4" s="1"/>
  <c r="AP12" i="4" s="1"/>
  <c r="F13" i="4"/>
  <c r="E13" i="4"/>
  <c r="D13" i="4"/>
  <c r="I13" i="4"/>
  <c r="G21" i="5"/>
  <c r="I21" i="5" s="1"/>
  <c r="J25" i="5" s="1"/>
  <c r="J21" i="5"/>
  <c r="J24" i="5"/>
  <c r="G24" i="5"/>
  <c r="I24" i="5" s="1"/>
  <c r="M13" i="4" l="1"/>
  <c r="N13" i="4" s="1"/>
  <c r="AH13" i="4"/>
  <c r="AI13" i="4" s="1"/>
  <c r="T13" i="4"/>
  <c r="U13" i="4" s="1"/>
  <c r="AA13" i="4"/>
  <c r="AB13" i="4" s="1"/>
  <c r="AF13" i="4"/>
  <c r="AG13" i="4" s="1"/>
  <c r="AJ13" i="4" s="1"/>
  <c r="AK13" i="4" s="1"/>
  <c r="AL13" i="4" s="1"/>
  <c r="Y13" i="4"/>
  <c r="Z13" i="4" s="1"/>
  <c r="K13" i="4"/>
  <c r="L13" i="4" s="1"/>
  <c r="R13" i="4"/>
  <c r="S13" i="4" s="1"/>
  <c r="V13" i="4" s="1"/>
  <c r="W13" i="4" s="1"/>
  <c r="X13" i="4" s="1"/>
  <c r="C25" i="5"/>
  <c r="O13" i="4" l="1"/>
  <c r="P13" i="4" s="1"/>
  <c r="AC13" i="4"/>
  <c r="AD13" i="4" s="1"/>
  <c r="AE13" i="4" s="1"/>
  <c r="Q13" i="4" l="1"/>
  <c r="AM13" i="4" s="1"/>
  <c r="D14" i="4"/>
  <c r="I14" i="4"/>
  <c r="E14" i="4"/>
  <c r="H14" i="4"/>
  <c r="B14" i="4"/>
  <c r="F14" i="4"/>
  <c r="C14" i="4"/>
  <c r="J14" i="4"/>
  <c r="G14" i="4"/>
  <c r="Y14" i="4" l="1"/>
  <c r="Z14" i="4" s="1"/>
  <c r="AF14" i="4"/>
  <c r="AG14" i="4" s="1"/>
  <c r="AJ14" i="4" s="1"/>
  <c r="AK14" i="4" s="1"/>
  <c r="AL14" i="4" s="1"/>
  <c r="R14" i="4"/>
  <c r="S14" i="4" s="1"/>
  <c r="V14" i="4" s="1"/>
  <c r="W14" i="4" s="1"/>
  <c r="X14" i="4" s="1"/>
  <c r="K14" i="4"/>
  <c r="L14" i="4" s="1"/>
  <c r="AA14" i="4"/>
  <c r="AB14" i="4" s="1"/>
  <c r="M14" i="4"/>
  <c r="N14" i="4" s="1"/>
  <c r="AH14" i="4"/>
  <c r="AI14" i="4" s="1"/>
  <c r="T14" i="4"/>
  <c r="U14" i="4" s="1"/>
  <c r="O14" i="4" l="1"/>
  <c r="P14" i="4" s="1"/>
  <c r="AC14" i="4"/>
  <c r="AD14" i="4" s="1"/>
  <c r="AE14" i="4" s="1"/>
  <c r="Q14" i="4" l="1"/>
  <c r="AM14" i="4" s="1"/>
  <c r="C15" i="4"/>
  <c r="E15" i="4"/>
  <c r="J15" i="4"/>
  <c r="B15" i="4"/>
  <c r="F15" i="4"/>
  <c r="H15" i="4"/>
  <c r="I15" i="4"/>
  <c r="G15" i="4"/>
  <c r="D15" i="4"/>
  <c r="AH15" i="4" l="1"/>
  <c r="AI15" i="4" s="1"/>
  <c r="T15" i="4"/>
  <c r="U15" i="4" s="1"/>
  <c r="AA15" i="4"/>
  <c r="AB15" i="4" s="1"/>
  <c r="M15" i="4"/>
  <c r="N15" i="4" s="1"/>
  <c r="R15" i="4"/>
  <c r="S15" i="4" s="1"/>
  <c r="Y15" i="4"/>
  <c r="Z15" i="4" s="1"/>
  <c r="K15" i="4"/>
  <c r="L15" i="4" s="1"/>
  <c r="AF15" i="4"/>
  <c r="AG15" i="4" s="1"/>
  <c r="AJ15" i="4" s="1"/>
  <c r="AK15" i="4" s="1"/>
  <c r="AL15" i="4" s="1"/>
  <c r="O15" i="4" l="1"/>
  <c r="P15" i="4" s="1"/>
  <c r="AC15" i="4"/>
  <c r="AD15" i="4" s="1"/>
  <c r="AE15" i="4" s="1"/>
  <c r="V15" i="4"/>
  <c r="W15" i="4" s="1"/>
  <c r="X15" i="4" s="1"/>
  <c r="Q15" i="4" l="1"/>
  <c r="AM15" i="4" s="1"/>
  <c r="I16" i="4"/>
  <c r="H16" i="4"/>
  <c r="G16" i="4"/>
  <c r="F16" i="4"/>
  <c r="B16" i="4"/>
  <c r="E16" i="4"/>
  <c r="J16" i="4"/>
  <c r="C16" i="4"/>
  <c r="D16" i="4"/>
  <c r="AA16" i="4" l="1"/>
  <c r="AB16" i="4" s="1"/>
  <c r="AH16" i="4"/>
  <c r="AI16" i="4" s="1"/>
  <c r="M16" i="4"/>
  <c r="N16" i="4" s="1"/>
  <c r="T16" i="4"/>
  <c r="U16" i="4" s="1"/>
  <c r="K16" i="4"/>
  <c r="L16" i="4" s="1"/>
  <c r="R16" i="4"/>
  <c r="S16" i="4" s="1"/>
  <c r="AF16" i="4"/>
  <c r="AG16" i="4" s="1"/>
  <c r="AJ16" i="4" s="1"/>
  <c r="AK16" i="4" s="1"/>
  <c r="AL16" i="4" s="1"/>
  <c r="Y16" i="4"/>
  <c r="Z16" i="4" s="1"/>
  <c r="AC16" i="4" s="1"/>
  <c r="AD16" i="4" s="1"/>
  <c r="AE16" i="4" s="1"/>
  <c r="V16" i="4" l="1"/>
  <c r="W16" i="4" s="1"/>
  <c r="X16" i="4" s="1"/>
  <c r="O16" i="4"/>
  <c r="P16" i="4" s="1"/>
  <c r="Q16" i="4" l="1"/>
  <c r="AM16" i="4" s="1"/>
  <c r="J17" i="4"/>
  <c r="C17" i="4"/>
  <c r="E17" i="4"/>
  <c r="B17" i="4"/>
  <c r="F17" i="4"/>
  <c r="H17" i="4"/>
  <c r="G17" i="4"/>
  <c r="I17" i="4"/>
  <c r="D17" i="4"/>
  <c r="K17" i="4" l="1"/>
  <c r="L17" i="4" s="1"/>
  <c r="Y17" i="4"/>
  <c r="Z17" i="4" s="1"/>
  <c r="AF17" i="4"/>
  <c r="AG17" i="4" s="1"/>
  <c r="R17" i="4"/>
  <c r="S17" i="4" s="1"/>
  <c r="V17" i="4" s="1"/>
  <c r="W17" i="4" s="1"/>
  <c r="X17" i="4" s="1"/>
  <c r="T17" i="4"/>
  <c r="U17" i="4" s="1"/>
  <c r="AA17" i="4"/>
  <c r="AB17" i="4" s="1"/>
  <c r="AH17" i="4"/>
  <c r="AI17" i="4" s="1"/>
  <c r="M17" i="4"/>
  <c r="N17" i="4" s="1"/>
  <c r="AJ17" i="4" l="1"/>
  <c r="AK17" i="4" s="1"/>
  <c r="AL17" i="4" s="1"/>
  <c r="AC17" i="4"/>
  <c r="AD17" i="4" s="1"/>
  <c r="AE17" i="4" s="1"/>
  <c r="O17" i="4"/>
  <c r="P17" i="4" s="1"/>
  <c r="Q17" i="4" l="1"/>
  <c r="AM17" i="4" s="1"/>
  <c r="H18" i="4"/>
  <c r="G18" i="4"/>
  <c r="I18" i="4"/>
  <c r="F18" i="4"/>
  <c r="B18" i="4"/>
  <c r="C18" i="4"/>
  <c r="J18" i="4"/>
  <c r="E18" i="4"/>
  <c r="D18" i="4"/>
  <c r="AF18" i="4" l="1"/>
  <c r="AG18" i="4" s="1"/>
  <c r="AJ18" i="4" s="1"/>
  <c r="AK18" i="4" s="1"/>
  <c r="AL18" i="4" s="1"/>
  <c r="R18" i="4"/>
  <c r="S18" i="4" s="1"/>
  <c r="Y18" i="4"/>
  <c r="Z18" i="4" s="1"/>
  <c r="K18" i="4"/>
  <c r="L18" i="4" s="1"/>
  <c r="O18" i="4" s="1"/>
  <c r="P18" i="4" s="1"/>
  <c r="Q18" i="4" s="1"/>
  <c r="M18" i="4"/>
  <c r="N18" i="4" s="1"/>
  <c r="T18" i="4"/>
  <c r="U18" i="4" s="1"/>
  <c r="AA18" i="4"/>
  <c r="AB18" i="4" s="1"/>
  <c r="AH18" i="4"/>
  <c r="AI18" i="4" s="1"/>
  <c r="AC18" i="4" l="1"/>
  <c r="AD18" i="4" s="1"/>
  <c r="AE18" i="4" s="1"/>
  <c r="V18" i="4"/>
  <c r="W18" i="4" s="1"/>
  <c r="F19" i="4"/>
  <c r="B19" i="4"/>
  <c r="X18" i="4" l="1"/>
  <c r="AM18" i="4" s="1"/>
  <c r="D19" i="4"/>
  <c r="G19" i="4"/>
  <c r="J19" i="4"/>
  <c r="E19" i="4"/>
  <c r="H19" i="4"/>
  <c r="I19" i="4"/>
  <c r="C19" i="4"/>
  <c r="M19" i="4" l="1"/>
  <c r="N19" i="4" s="1"/>
  <c r="AH19" i="4"/>
  <c r="AI19" i="4" s="1"/>
  <c r="T19" i="4"/>
  <c r="U19" i="4" s="1"/>
  <c r="AA19" i="4"/>
  <c r="AB19" i="4" s="1"/>
  <c r="K19" i="4"/>
  <c r="L19" i="4" s="1"/>
  <c r="O19" i="4" s="1"/>
  <c r="P19" i="4" s="1"/>
  <c r="R19" i="4"/>
  <c r="S19" i="4" s="1"/>
  <c r="AF19" i="4"/>
  <c r="AG19" i="4" s="1"/>
  <c r="AJ19" i="4" s="1"/>
  <c r="AK19" i="4" s="1"/>
  <c r="AL19" i="4" s="1"/>
  <c r="Y19" i="4"/>
  <c r="Z19" i="4" s="1"/>
  <c r="AC19" i="4" s="1"/>
  <c r="AD19" i="4" s="1"/>
  <c r="AE19" i="4" s="1"/>
  <c r="Q19" i="4" l="1"/>
  <c r="V19" i="4"/>
  <c r="W19" i="4" s="1"/>
  <c r="X19" i="4" s="1"/>
  <c r="H20" i="4" l="1"/>
  <c r="G20" i="4"/>
  <c r="I20" i="4"/>
  <c r="E20" i="4"/>
  <c r="B20" i="4"/>
  <c r="F20" i="4"/>
  <c r="D20" i="4"/>
  <c r="AM19" i="4"/>
  <c r="C20" i="4"/>
  <c r="J20" i="4"/>
  <c r="AA20" i="4" l="1"/>
  <c r="AB20" i="4" s="1"/>
  <c r="M20" i="4"/>
  <c r="N20" i="4" s="1"/>
  <c r="AH20" i="4"/>
  <c r="AI20" i="4" s="1"/>
  <c r="T20" i="4"/>
  <c r="U20" i="4" s="1"/>
  <c r="R20" i="4"/>
  <c r="S20" i="4" s="1"/>
  <c r="Y20" i="4"/>
  <c r="Z20" i="4" s="1"/>
  <c r="AC20" i="4" s="1"/>
  <c r="AD20" i="4" s="1"/>
  <c r="AE20" i="4" s="1"/>
  <c r="K20" i="4"/>
  <c r="L20" i="4" s="1"/>
  <c r="O20" i="4" s="1"/>
  <c r="P20" i="4" s="1"/>
  <c r="Q20" i="4" s="1"/>
  <c r="AF20" i="4"/>
  <c r="AG20" i="4" s="1"/>
  <c r="AJ20" i="4" s="1"/>
  <c r="AK20" i="4" s="1"/>
  <c r="AL20" i="4" s="1"/>
  <c r="V20" i="4" l="1"/>
  <c r="W20" i="4" s="1"/>
  <c r="H21" i="4"/>
  <c r="D21" i="4"/>
  <c r="F21" i="4"/>
  <c r="X20" i="4" l="1"/>
  <c r="AM20" i="4" s="1"/>
  <c r="B21" i="4"/>
  <c r="I21" i="4"/>
  <c r="C21" i="4"/>
  <c r="J21" i="4"/>
  <c r="G21" i="4"/>
  <c r="E21" i="4"/>
  <c r="T21" i="4" l="1"/>
  <c r="U21" i="4" s="1"/>
  <c r="AA21" i="4"/>
  <c r="AB21" i="4" s="1"/>
  <c r="M21" i="4"/>
  <c r="N21" i="4" s="1"/>
  <c r="AH21" i="4"/>
  <c r="AI21" i="4" s="1"/>
  <c r="AF21" i="4"/>
  <c r="AG21" i="4" s="1"/>
  <c r="K21" i="4"/>
  <c r="L21" i="4" s="1"/>
  <c r="R21" i="4"/>
  <c r="S21" i="4" s="1"/>
  <c r="V21" i="4" s="1"/>
  <c r="W21" i="4" s="1"/>
  <c r="X21" i="4" s="1"/>
  <c r="Y21" i="4"/>
  <c r="Z21" i="4" s="1"/>
  <c r="AC21" i="4" s="1"/>
  <c r="AD21" i="4" s="1"/>
  <c r="AE21" i="4" s="1"/>
  <c r="O21" i="4" l="1"/>
  <c r="P21" i="4" s="1"/>
  <c r="AJ21" i="4"/>
  <c r="AK21" i="4" s="1"/>
  <c r="AL21" i="4" s="1"/>
  <c r="Q21" i="4" l="1"/>
  <c r="AM21" i="4" s="1"/>
  <c r="D22" i="4"/>
  <c r="H22" i="4"/>
  <c r="F22" i="4"/>
  <c r="J22" i="4"/>
  <c r="I22" i="4"/>
  <c r="E22" i="4"/>
  <c r="G22" i="4"/>
  <c r="B22" i="4"/>
  <c r="C22" i="4"/>
  <c r="M22" i="4" l="1"/>
  <c r="N22" i="4" s="1"/>
  <c r="AH22" i="4"/>
  <c r="AI22" i="4" s="1"/>
  <c r="T22" i="4"/>
  <c r="U22" i="4" s="1"/>
  <c r="AA22" i="4"/>
  <c r="AB22" i="4" s="1"/>
  <c r="Y22" i="4"/>
  <c r="Z22" i="4" s="1"/>
  <c r="AC22" i="4" s="1"/>
  <c r="AD22" i="4" s="1"/>
  <c r="AE22" i="4" s="1"/>
  <c r="AF22" i="4"/>
  <c r="AG22" i="4" s="1"/>
  <c r="AJ22" i="4" s="1"/>
  <c r="AK22" i="4" s="1"/>
  <c r="AL22" i="4" s="1"/>
  <c r="K22" i="4"/>
  <c r="L22" i="4" s="1"/>
  <c r="O22" i="4" s="1"/>
  <c r="P22" i="4" s="1"/>
  <c r="Q22" i="4" s="1"/>
  <c r="R22" i="4"/>
  <c r="S22" i="4" s="1"/>
  <c r="D23" i="4" l="1"/>
  <c r="J23" i="4"/>
  <c r="B23" i="4"/>
  <c r="F23" i="4"/>
  <c r="E23" i="4"/>
  <c r="V22" i="4"/>
  <c r="W22" i="4" s="1"/>
  <c r="X22" i="4" s="1"/>
  <c r="AM22" i="4" s="1"/>
  <c r="AP13" i="4" s="1"/>
  <c r="G23" i="4"/>
  <c r="AH23" i="4" l="1"/>
  <c r="AI23" i="4" s="1"/>
  <c r="AA23" i="4"/>
  <c r="AB23" i="4" s="1"/>
  <c r="M23" i="4"/>
  <c r="N23" i="4" s="1"/>
  <c r="T23" i="4"/>
  <c r="U23" i="4" s="1"/>
  <c r="C23" i="4"/>
  <c r="R23" i="4" s="1"/>
  <c r="S23" i="4" s="1"/>
  <c r="V23" i="4" s="1"/>
  <c r="W23" i="4" s="1"/>
  <c r="X23" i="4" s="1"/>
  <c r="I23" i="4"/>
  <c r="H23" i="4"/>
  <c r="Y23" i="4" l="1"/>
  <c r="Z23" i="4" s="1"/>
  <c r="AC23" i="4" s="1"/>
  <c r="AD23" i="4" s="1"/>
  <c r="AE23" i="4" s="1"/>
  <c r="K23" i="4"/>
  <c r="L23" i="4" s="1"/>
  <c r="O23" i="4" s="1"/>
  <c r="P23" i="4" s="1"/>
  <c r="AF23" i="4"/>
  <c r="AG23" i="4" s="1"/>
  <c r="AJ23" i="4" s="1"/>
  <c r="AK23" i="4" s="1"/>
  <c r="AL23" i="4" s="1"/>
  <c r="Q23" i="4" l="1"/>
  <c r="AM23" i="4" s="1"/>
  <c r="E24" i="4"/>
  <c r="G24" i="4"/>
  <c r="F24" i="4"/>
  <c r="J24" i="4"/>
  <c r="D24" i="4"/>
  <c r="B24" i="4"/>
  <c r="C24" i="4"/>
  <c r="H24" i="4"/>
  <c r="I24" i="4"/>
  <c r="AA24" i="4" l="1"/>
  <c r="AB24" i="4" s="1"/>
  <c r="AH24" i="4"/>
  <c r="AI24" i="4" s="1"/>
  <c r="T24" i="4"/>
  <c r="U24" i="4" s="1"/>
  <c r="M24" i="4"/>
  <c r="N24" i="4" s="1"/>
  <c r="K24" i="4"/>
  <c r="L24" i="4" s="1"/>
  <c r="R24" i="4"/>
  <c r="S24" i="4" s="1"/>
  <c r="AF24" i="4"/>
  <c r="AG24" i="4" s="1"/>
  <c r="Y24" i="4"/>
  <c r="Z24" i="4" s="1"/>
  <c r="AC24" i="4" s="1"/>
  <c r="AD24" i="4" s="1"/>
  <c r="AE24" i="4" s="1"/>
  <c r="AJ24" i="4" l="1"/>
  <c r="AK24" i="4" s="1"/>
  <c r="AL24" i="4" s="1"/>
  <c r="V24" i="4"/>
  <c r="W24" i="4" s="1"/>
  <c r="X24" i="4" s="1"/>
  <c r="O24" i="4"/>
  <c r="P24" i="4" s="1"/>
  <c r="Q24" i="4" l="1"/>
  <c r="AM24" i="4" s="1"/>
  <c r="C25" i="4"/>
  <c r="H25" i="4"/>
  <c r="D25" i="4"/>
  <c r="B25" i="4"/>
  <c r="G25" i="4"/>
  <c r="F25" i="4"/>
  <c r="E25" i="4"/>
  <c r="J25" i="4"/>
  <c r="I25" i="4"/>
  <c r="T25" i="4" l="1"/>
  <c r="U25" i="4" s="1"/>
  <c r="AA25" i="4"/>
  <c r="AB25" i="4" s="1"/>
  <c r="AH25" i="4"/>
  <c r="AI25" i="4" s="1"/>
  <c r="M25" i="4"/>
  <c r="N25" i="4" s="1"/>
  <c r="K25" i="4"/>
  <c r="L25" i="4" s="1"/>
  <c r="Y25" i="4"/>
  <c r="Z25" i="4" s="1"/>
  <c r="AC25" i="4" s="1"/>
  <c r="AD25" i="4" s="1"/>
  <c r="AE25" i="4" s="1"/>
  <c r="AF25" i="4"/>
  <c r="AG25" i="4" s="1"/>
  <c r="AJ25" i="4" s="1"/>
  <c r="AK25" i="4" s="1"/>
  <c r="AL25" i="4" s="1"/>
  <c r="R25" i="4"/>
  <c r="S25" i="4" s="1"/>
  <c r="V25" i="4" s="1"/>
  <c r="W25" i="4" s="1"/>
  <c r="X25" i="4" s="1"/>
  <c r="O25" i="4" l="1"/>
  <c r="P25" i="4" s="1"/>
  <c r="Q25" i="4" l="1"/>
  <c r="AM25" i="4" s="1"/>
  <c r="E26" i="4"/>
  <c r="F26" i="4"/>
  <c r="J26" i="4"/>
  <c r="B26" i="4"/>
  <c r="G26" i="4"/>
  <c r="D26" i="4"/>
  <c r="H26" i="4"/>
  <c r="C26" i="4"/>
  <c r="I26" i="4"/>
  <c r="R26" i="4" l="1"/>
  <c r="S26" i="4" s="1"/>
  <c r="V26" i="4" s="1"/>
  <c r="W26" i="4" s="1"/>
  <c r="X26" i="4" s="1"/>
  <c r="Y26" i="4"/>
  <c r="Z26" i="4" s="1"/>
  <c r="K26" i="4"/>
  <c r="L26" i="4" s="1"/>
  <c r="AF26" i="4"/>
  <c r="AG26" i="4" s="1"/>
  <c r="AJ26" i="4" s="1"/>
  <c r="AK26" i="4" s="1"/>
  <c r="AL26" i="4" s="1"/>
  <c r="M26" i="4"/>
  <c r="N26" i="4" s="1"/>
  <c r="T26" i="4"/>
  <c r="U26" i="4" s="1"/>
  <c r="AA26" i="4"/>
  <c r="AB26" i="4" s="1"/>
  <c r="AH26" i="4"/>
  <c r="AI26" i="4" s="1"/>
  <c r="O26" i="4" l="1"/>
  <c r="P26" i="4" s="1"/>
  <c r="AC26" i="4"/>
  <c r="AD26" i="4" s="1"/>
  <c r="AE26" i="4" s="1"/>
  <c r="Q26" i="4" l="1"/>
  <c r="AM26" i="4" s="1"/>
  <c r="D27" i="4"/>
  <c r="C27" i="4"/>
  <c r="I27" i="4"/>
  <c r="E27" i="4"/>
  <c r="H27" i="4"/>
  <c r="B27" i="4"/>
  <c r="G27" i="4"/>
  <c r="J27" i="4"/>
  <c r="F27" i="4"/>
  <c r="K27" i="4" l="1"/>
  <c r="L27" i="4" s="1"/>
  <c r="AF27" i="4"/>
  <c r="AG27" i="4" s="1"/>
  <c r="R27" i="4"/>
  <c r="S27" i="4" s="1"/>
  <c r="V27" i="4" s="1"/>
  <c r="W27" i="4" s="1"/>
  <c r="X27" i="4" s="1"/>
  <c r="Y27" i="4"/>
  <c r="Z27" i="4" s="1"/>
  <c r="AC27" i="4" s="1"/>
  <c r="AD27" i="4" s="1"/>
  <c r="AE27" i="4" s="1"/>
  <c r="M27" i="4"/>
  <c r="N27" i="4" s="1"/>
  <c r="T27" i="4"/>
  <c r="U27" i="4" s="1"/>
  <c r="AA27" i="4"/>
  <c r="AB27" i="4" s="1"/>
  <c r="AH27" i="4"/>
  <c r="AI27" i="4" s="1"/>
  <c r="AJ27" i="4" l="1"/>
  <c r="AK27" i="4" s="1"/>
  <c r="AL27" i="4" s="1"/>
  <c r="O27" i="4"/>
  <c r="P27" i="4" s="1"/>
  <c r="Q27" i="4" l="1"/>
  <c r="AM27" i="4" s="1"/>
  <c r="G28" i="4"/>
  <c r="J28" i="4"/>
  <c r="B28" i="4"/>
  <c r="C28" i="4"/>
  <c r="D28" i="4"/>
  <c r="H28" i="4"/>
  <c r="E28" i="4"/>
  <c r="I28" i="4"/>
  <c r="F28" i="4"/>
  <c r="M28" i="4" l="1"/>
  <c r="N28" i="4" s="1"/>
  <c r="AH28" i="4"/>
  <c r="AI28" i="4" s="1"/>
  <c r="T28" i="4"/>
  <c r="U28" i="4" s="1"/>
  <c r="AA28" i="4"/>
  <c r="AB28" i="4" s="1"/>
  <c r="Y28" i="4"/>
  <c r="Z28" i="4" s="1"/>
  <c r="AC28" i="4" s="1"/>
  <c r="AD28" i="4" s="1"/>
  <c r="AE28" i="4" s="1"/>
  <c r="K28" i="4"/>
  <c r="L28" i="4" s="1"/>
  <c r="AF28" i="4"/>
  <c r="AG28" i="4" s="1"/>
  <c r="R28" i="4"/>
  <c r="S28" i="4" s="1"/>
  <c r="AJ28" i="4" l="1"/>
  <c r="AK28" i="4" s="1"/>
  <c r="AL28" i="4" s="1"/>
  <c r="O28" i="4"/>
  <c r="P28" i="4" s="1"/>
  <c r="V28" i="4"/>
  <c r="W28" i="4" s="1"/>
  <c r="X28" i="4" s="1"/>
  <c r="Q28" i="4" l="1"/>
  <c r="AM28" i="4" s="1"/>
  <c r="H29" i="4"/>
  <c r="I29" i="4"/>
  <c r="C29" i="4"/>
  <c r="D29" i="4"/>
  <c r="J29" i="4"/>
  <c r="B29" i="4"/>
  <c r="F29" i="4"/>
  <c r="G29" i="4"/>
  <c r="E29" i="4"/>
  <c r="AF29" i="4" l="1"/>
  <c r="AG29" i="4" s="1"/>
  <c r="R29" i="4"/>
  <c r="S29" i="4" s="1"/>
  <c r="Y29" i="4"/>
  <c r="Z29" i="4" s="1"/>
  <c r="AC29" i="4" s="1"/>
  <c r="AD29" i="4" s="1"/>
  <c r="AE29" i="4" s="1"/>
  <c r="K29" i="4"/>
  <c r="L29" i="4" s="1"/>
  <c r="AA29" i="4"/>
  <c r="AB29" i="4" s="1"/>
  <c r="M29" i="4"/>
  <c r="N29" i="4" s="1"/>
  <c r="AH29" i="4"/>
  <c r="AI29" i="4" s="1"/>
  <c r="T29" i="4"/>
  <c r="U29" i="4" s="1"/>
  <c r="O29" i="4" l="1"/>
  <c r="P29" i="4" s="1"/>
  <c r="V29" i="4"/>
  <c r="W29" i="4" s="1"/>
  <c r="X29" i="4" s="1"/>
  <c r="AJ29" i="4"/>
  <c r="AK29" i="4" s="1"/>
  <c r="AL29" i="4" s="1"/>
  <c r="Q29" i="4" l="1"/>
  <c r="AM29" i="4" s="1"/>
  <c r="F30" i="4"/>
  <c r="G30" i="4"/>
  <c r="B30" i="4"/>
  <c r="J30" i="4"/>
  <c r="I30" i="4"/>
  <c r="H30" i="4"/>
  <c r="C30" i="4"/>
  <c r="D30" i="4"/>
  <c r="E30" i="4"/>
  <c r="Y30" i="4" l="1"/>
  <c r="Z30" i="4" s="1"/>
  <c r="AC30" i="4" s="1"/>
  <c r="AD30" i="4" s="1"/>
  <c r="AE30" i="4" s="1"/>
  <c r="AF30" i="4"/>
  <c r="AG30" i="4" s="1"/>
  <c r="K30" i="4"/>
  <c r="L30" i="4" s="1"/>
  <c r="R30" i="4"/>
  <c r="S30" i="4" s="1"/>
  <c r="AH30" i="4"/>
  <c r="AI30" i="4" s="1"/>
  <c r="T30" i="4"/>
  <c r="U30" i="4" s="1"/>
  <c r="AA30" i="4"/>
  <c r="AB30" i="4" s="1"/>
  <c r="M30" i="4"/>
  <c r="N30" i="4" s="1"/>
  <c r="V30" i="4" l="1"/>
  <c r="W30" i="4" s="1"/>
  <c r="X30" i="4" s="1"/>
  <c r="O30" i="4"/>
  <c r="P30" i="4" s="1"/>
  <c r="AJ30" i="4"/>
  <c r="AK30" i="4" s="1"/>
  <c r="AL30" i="4" s="1"/>
  <c r="Q30" i="4" l="1"/>
  <c r="AM30" i="4" s="1"/>
  <c r="H31" i="4"/>
  <c r="D31" i="4"/>
  <c r="J31" i="4"/>
  <c r="C31" i="4"/>
  <c r="I31" i="4"/>
  <c r="G31" i="4"/>
  <c r="F31" i="4"/>
  <c r="E31" i="4"/>
  <c r="B31" i="4"/>
  <c r="R31" i="4" l="1"/>
  <c r="S31" i="4" s="1"/>
  <c r="V31" i="4" s="1"/>
  <c r="W31" i="4" s="1"/>
  <c r="X31" i="4" s="1"/>
  <c r="Y31" i="4"/>
  <c r="Z31" i="4" s="1"/>
  <c r="AF31" i="4"/>
  <c r="AG31" i="4" s="1"/>
  <c r="K31" i="4"/>
  <c r="L31" i="4" s="1"/>
  <c r="AH31" i="4"/>
  <c r="AI31" i="4" s="1"/>
  <c r="AA31" i="4"/>
  <c r="AB31" i="4" s="1"/>
  <c r="M31" i="4"/>
  <c r="N31" i="4" s="1"/>
  <c r="T31" i="4"/>
  <c r="U31" i="4" s="1"/>
  <c r="AJ31" i="4" l="1"/>
  <c r="AK31" i="4" s="1"/>
  <c r="AL31" i="4" s="1"/>
  <c r="O31" i="4"/>
  <c r="P31" i="4" s="1"/>
  <c r="AC31" i="4"/>
  <c r="AD31" i="4" s="1"/>
  <c r="AE31" i="4" s="1"/>
  <c r="Q31" i="4" l="1"/>
  <c r="AM31" i="4" s="1"/>
  <c r="G32" i="4"/>
  <c r="B32" i="4"/>
  <c r="D32" i="4"/>
  <c r="H32" i="4"/>
  <c r="I32" i="4"/>
  <c r="C32" i="4"/>
  <c r="F32" i="4"/>
  <c r="J32" i="4"/>
  <c r="E32" i="4"/>
  <c r="K32" i="4" l="1"/>
  <c r="L32" i="4" s="1"/>
  <c r="R32" i="4"/>
  <c r="S32" i="4" s="1"/>
  <c r="Y32" i="4"/>
  <c r="Z32" i="4" s="1"/>
  <c r="AC32" i="4" s="1"/>
  <c r="AD32" i="4" s="1"/>
  <c r="AE32" i="4" s="1"/>
  <c r="AF32" i="4"/>
  <c r="AG32" i="4" s="1"/>
  <c r="AJ32" i="4" s="1"/>
  <c r="AK32" i="4" s="1"/>
  <c r="AL32" i="4" s="1"/>
  <c r="AA32" i="4"/>
  <c r="AB32" i="4" s="1"/>
  <c r="AH32" i="4"/>
  <c r="AI32" i="4" s="1"/>
  <c r="M32" i="4"/>
  <c r="N32" i="4" s="1"/>
  <c r="T32" i="4"/>
  <c r="U32" i="4" s="1"/>
  <c r="V32" i="4" l="1"/>
  <c r="W32" i="4" s="1"/>
  <c r="X32" i="4" s="1"/>
  <c r="O32" i="4"/>
  <c r="P32" i="4" s="1"/>
  <c r="Q32" i="4" l="1"/>
  <c r="AM32" i="4" s="1"/>
  <c r="AP14" i="4" s="1"/>
  <c r="C33" i="4"/>
  <c r="F33" i="4"/>
  <c r="J33" i="4"/>
  <c r="H33" i="4"/>
  <c r="I33" i="4"/>
  <c r="D33" i="4"/>
  <c r="B33" i="4"/>
  <c r="G33" i="4"/>
  <c r="E33" i="4"/>
  <c r="K33" i="4" l="1"/>
  <c r="L33" i="4" s="1"/>
  <c r="AF33" i="4"/>
  <c r="AG33" i="4" s="1"/>
  <c r="Y33" i="4"/>
  <c r="Z33" i="4" s="1"/>
  <c r="AC33" i="4" s="1"/>
  <c r="AD33" i="4" s="1"/>
  <c r="AE33" i="4" s="1"/>
  <c r="R33" i="4"/>
  <c r="S33" i="4" s="1"/>
  <c r="V33" i="4" s="1"/>
  <c r="W33" i="4" s="1"/>
  <c r="X33" i="4" s="1"/>
  <c r="T33" i="4"/>
  <c r="U33" i="4" s="1"/>
  <c r="AA33" i="4"/>
  <c r="AB33" i="4" s="1"/>
  <c r="M33" i="4"/>
  <c r="N33" i="4" s="1"/>
  <c r="AH33" i="4"/>
  <c r="AI33" i="4" s="1"/>
  <c r="AJ33" i="4" l="1"/>
  <c r="AK33" i="4" s="1"/>
  <c r="AL33" i="4" s="1"/>
  <c r="O33" i="4"/>
  <c r="P33" i="4" s="1"/>
  <c r="Q33" i="4" l="1"/>
  <c r="AM33" i="4" s="1"/>
  <c r="D34" i="4"/>
  <c r="B34" i="4"/>
  <c r="G34" i="4"/>
  <c r="H34" i="4"/>
  <c r="I34" i="4"/>
  <c r="F34" i="4"/>
  <c r="J34" i="4"/>
  <c r="C34" i="4"/>
  <c r="E34" i="4"/>
  <c r="Y34" i="4" l="1"/>
  <c r="Z34" i="4" s="1"/>
  <c r="K34" i="4"/>
  <c r="L34" i="4" s="1"/>
  <c r="O34" i="4" s="1"/>
  <c r="P34" i="4" s="1"/>
  <c r="Q34" i="4" s="1"/>
  <c r="AF34" i="4"/>
  <c r="AG34" i="4" s="1"/>
  <c r="R34" i="4"/>
  <c r="S34" i="4" s="1"/>
  <c r="V34" i="4" s="1"/>
  <c r="W34" i="4" s="1"/>
  <c r="X34" i="4" s="1"/>
  <c r="M34" i="4"/>
  <c r="N34" i="4" s="1"/>
  <c r="T34" i="4"/>
  <c r="U34" i="4" s="1"/>
  <c r="AH34" i="4"/>
  <c r="AI34" i="4" s="1"/>
  <c r="AA34" i="4"/>
  <c r="AB34" i="4" s="1"/>
  <c r="AJ34" i="4" l="1"/>
  <c r="AK34" i="4" s="1"/>
  <c r="AL34" i="4" s="1"/>
  <c r="AC34" i="4"/>
  <c r="AD34" i="4" s="1"/>
  <c r="F35" i="4" s="1"/>
  <c r="G35" i="4"/>
  <c r="B35" i="4"/>
  <c r="I35" i="4"/>
  <c r="H35" i="4"/>
  <c r="AE34" i="4" l="1"/>
  <c r="AM34" i="4" s="1"/>
  <c r="D35" i="4"/>
  <c r="J35" i="4"/>
  <c r="E35" i="4"/>
  <c r="C35" i="4"/>
  <c r="K35" i="4" l="1"/>
  <c r="L35" i="4" s="1"/>
  <c r="AF35" i="4"/>
  <c r="AG35" i="4" s="1"/>
  <c r="M35" i="4"/>
  <c r="N35" i="4" s="1"/>
  <c r="AH35" i="4"/>
  <c r="AI35" i="4" s="1"/>
  <c r="T35" i="4"/>
  <c r="U35" i="4" s="1"/>
  <c r="AA35" i="4"/>
  <c r="AB35" i="4" s="1"/>
  <c r="R35" i="4"/>
  <c r="S35" i="4" s="1"/>
  <c r="Y35" i="4"/>
  <c r="Z35" i="4" s="1"/>
  <c r="AC35" i="4" s="1"/>
  <c r="AD35" i="4" s="1"/>
  <c r="AE35" i="4" s="1"/>
  <c r="AJ35" i="4" l="1"/>
  <c r="AK35" i="4" s="1"/>
  <c r="AL35" i="4" s="1"/>
  <c r="V35" i="4"/>
  <c r="W35" i="4" s="1"/>
  <c r="X35" i="4" s="1"/>
  <c r="O35" i="4"/>
  <c r="P35" i="4" s="1"/>
  <c r="Q35" i="4" l="1"/>
  <c r="AM35" i="4" s="1"/>
  <c r="F36" i="4"/>
  <c r="I36" i="4"/>
  <c r="G36" i="4"/>
  <c r="B36" i="4"/>
  <c r="H36" i="4"/>
  <c r="C36" i="4"/>
  <c r="D36" i="4"/>
  <c r="E36" i="4"/>
  <c r="J36" i="4"/>
  <c r="K36" i="4" l="1"/>
  <c r="L36" i="4" s="1"/>
  <c r="O36" i="4" s="1"/>
  <c r="P36" i="4" s="1"/>
  <c r="Q36" i="4" s="1"/>
  <c r="AF36" i="4"/>
  <c r="AG36" i="4" s="1"/>
  <c r="AJ36" i="4" s="1"/>
  <c r="AK36" i="4" s="1"/>
  <c r="AL36" i="4" s="1"/>
  <c r="R36" i="4"/>
  <c r="S36" i="4" s="1"/>
  <c r="V36" i="4" s="1"/>
  <c r="W36" i="4" s="1"/>
  <c r="X36" i="4" s="1"/>
  <c r="Y36" i="4"/>
  <c r="Z36" i="4" s="1"/>
  <c r="AA36" i="4"/>
  <c r="AB36" i="4" s="1"/>
  <c r="AH36" i="4"/>
  <c r="AI36" i="4" s="1"/>
  <c r="T36" i="4"/>
  <c r="U36" i="4" s="1"/>
  <c r="M36" i="4"/>
  <c r="N36" i="4" s="1"/>
  <c r="AC36" i="4" l="1"/>
  <c r="AD36" i="4" s="1"/>
  <c r="AE36" i="4" s="1"/>
  <c r="AM36" i="4" s="1"/>
  <c r="F37" i="4" l="1"/>
  <c r="G37" i="4"/>
  <c r="I37" i="4"/>
  <c r="C37" i="4"/>
  <c r="D37" i="4"/>
  <c r="B37" i="4"/>
  <c r="J37" i="4"/>
  <c r="H37" i="4"/>
  <c r="E37" i="4"/>
  <c r="AF37" i="4" l="1"/>
  <c r="AG37" i="4" s="1"/>
  <c r="R37" i="4"/>
  <c r="S37" i="4" s="1"/>
  <c r="V37" i="4" s="1"/>
  <c r="W37" i="4" s="1"/>
  <c r="X37" i="4" s="1"/>
  <c r="Y37" i="4"/>
  <c r="Z37" i="4" s="1"/>
  <c r="K37" i="4"/>
  <c r="L37" i="4" s="1"/>
  <c r="T37" i="4"/>
  <c r="U37" i="4" s="1"/>
  <c r="AH37" i="4"/>
  <c r="AI37" i="4" s="1"/>
  <c r="AA37" i="4"/>
  <c r="AB37" i="4" s="1"/>
  <c r="M37" i="4"/>
  <c r="N37" i="4" s="1"/>
  <c r="O37" i="4" l="1"/>
  <c r="P37" i="4" s="1"/>
  <c r="AJ37" i="4"/>
  <c r="AK37" i="4" s="1"/>
  <c r="AL37" i="4" s="1"/>
  <c r="AC37" i="4"/>
  <c r="AD37" i="4" s="1"/>
  <c r="AE37" i="4" s="1"/>
  <c r="Q37" i="4" l="1"/>
  <c r="AM37" i="4" s="1"/>
  <c r="H38" i="4"/>
  <c r="F38" i="4"/>
  <c r="D38" i="4"/>
  <c r="C38" i="4"/>
  <c r="I38" i="4"/>
  <c r="G38" i="4"/>
  <c r="J38" i="4"/>
  <c r="E38" i="4"/>
  <c r="B38" i="4"/>
  <c r="Y38" i="4" l="1"/>
  <c r="Z38" i="4" s="1"/>
  <c r="AF38" i="4"/>
  <c r="AG38" i="4" s="1"/>
  <c r="R38" i="4"/>
  <c r="S38" i="4" s="1"/>
  <c r="K38" i="4"/>
  <c r="L38" i="4" s="1"/>
  <c r="M38" i="4"/>
  <c r="N38" i="4" s="1"/>
  <c r="AH38" i="4"/>
  <c r="AI38" i="4" s="1"/>
  <c r="T38" i="4"/>
  <c r="U38" i="4" s="1"/>
  <c r="AA38" i="4"/>
  <c r="AB38" i="4" s="1"/>
  <c r="O38" i="4" l="1"/>
  <c r="P38" i="4" s="1"/>
  <c r="AJ38" i="4"/>
  <c r="AK38" i="4" s="1"/>
  <c r="AL38" i="4" s="1"/>
  <c r="V38" i="4"/>
  <c r="W38" i="4" s="1"/>
  <c r="X38" i="4" s="1"/>
  <c r="AC38" i="4"/>
  <c r="AD38" i="4" s="1"/>
  <c r="AE38" i="4" s="1"/>
  <c r="Q38" i="4" l="1"/>
  <c r="AM38" i="4" s="1"/>
  <c r="G39" i="4"/>
  <c r="C39" i="4"/>
  <c r="F39" i="4"/>
  <c r="H39" i="4"/>
  <c r="J39" i="4"/>
  <c r="D39" i="4"/>
  <c r="I39" i="4"/>
  <c r="B39" i="4"/>
  <c r="E39" i="4"/>
  <c r="AH39" i="4" l="1"/>
  <c r="AI39" i="4" s="1"/>
  <c r="T39" i="4"/>
  <c r="U39" i="4" s="1"/>
  <c r="AA39" i="4"/>
  <c r="AB39" i="4" s="1"/>
  <c r="M39" i="4"/>
  <c r="N39" i="4" s="1"/>
  <c r="R39" i="4"/>
  <c r="S39" i="4" s="1"/>
  <c r="V39" i="4" s="1"/>
  <c r="W39" i="4" s="1"/>
  <c r="X39" i="4" s="1"/>
  <c r="Y39" i="4"/>
  <c r="Z39" i="4" s="1"/>
  <c r="AC39" i="4" s="1"/>
  <c r="AD39" i="4" s="1"/>
  <c r="AE39" i="4" s="1"/>
  <c r="AF39" i="4"/>
  <c r="AG39" i="4" s="1"/>
  <c r="AJ39" i="4" s="1"/>
  <c r="AK39" i="4" s="1"/>
  <c r="AL39" i="4" s="1"/>
  <c r="K39" i="4"/>
  <c r="L39" i="4" s="1"/>
  <c r="O39" i="4" l="1"/>
  <c r="P39" i="4" s="1"/>
  <c r="Q39" i="4" l="1"/>
  <c r="AM39" i="4" s="1"/>
  <c r="D40" i="4"/>
  <c r="H40" i="4"/>
  <c r="E40" i="4"/>
  <c r="C40" i="4"/>
  <c r="G40" i="4"/>
  <c r="I40" i="4"/>
  <c r="J40" i="4"/>
  <c r="B40" i="4"/>
  <c r="F40" i="4"/>
  <c r="AA40" i="4" l="1"/>
  <c r="AB40" i="4" s="1"/>
  <c r="AH40" i="4"/>
  <c r="AI40" i="4" s="1"/>
  <c r="T40" i="4"/>
  <c r="U40" i="4" s="1"/>
  <c r="M40" i="4"/>
  <c r="N40" i="4" s="1"/>
  <c r="K40" i="4"/>
  <c r="L40" i="4" s="1"/>
  <c r="O40" i="4" s="1"/>
  <c r="P40" i="4" s="1"/>
  <c r="Q40" i="4" s="1"/>
  <c r="R40" i="4"/>
  <c r="S40" i="4" s="1"/>
  <c r="V40" i="4" s="1"/>
  <c r="W40" i="4" s="1"/>
  <c r="X40" i="4" s="1"/>
  <c r="AF40" i="4"/>
  <c r="AG40" i="4" s="1"/>
  <c r="Y40" i="4"/>
  <c r="Z40" i="4" s="1"/>
  <c r="AJ40" i="4" l="1"/>
  <c r="AK40" i="4" s="1"/>
  <c r="AL40" i="4" s="1"/>
  <c r="G41" i="4"/>
  <c r="J41" i="4"/>
  <c r="H41" i="4"/>
  <c r="AC40" i="4"/>
  <c r="AD40" i="4" s="1"/>
  <c r="I41" i="4" l="1"/>
  <c r="E41" i="4"/>
  <c r="D41" i="4"/>
  <c r="AE40" i="4"/>
  <c r="AM40" i="4" s="1"/>
  <c r="B41" i="4"/>
  <c r="F41" i="4"/>
  <c r="C41" i="4"/>
  <c r="K41" i="4" l="1"/>
  <c r="L41" i="4" s="1"/>
  <c r="AF41" i="4"/>
  <c r="AG41" i="4" s="1"/>
  <c r="R41" i="4"/>
  <c r="S41" i="4" s="1"/>
  <c r="V41" i="4" s="1"/>
  <c r="W41" i="4" s="1"/>
  <c r="X41" i="4" s="1"/>
  <c r="Y41" i="4"/>
  <c r="Z41" i="4" s="1"/>
  <c r="AC41" i="4" s="1"/>
  <c r="AD41" i="4" s="1"/>
  <c r="AE41" i="4" s="1"/>
  <c r="T41" i="4"/>
  <c r="U41" i="4" s="1"/>
  <c r="AA41" i="4"/>
  <c r="AB41" i="4" s="1"/>
  <c r="M41" i="4"/>
  <c r="N41" i="4" s="1"/>
  <c r="AH41" i="4"/>
  <c r="AI41" i="4" s="1"/>
  <c r="AJ41" i="4" l="1"/>
  <c r="AK41" i="4" s="1"/>
  <c r="AL41" i="4" s="1"/>
  <c r="O41" i="4"/>
  <c r="P41" i="4" s="1"/>
  <c r="Q41" i="4" l="1"/>
  <c r="AM41" i="4" s="1"/>
  <c r="H42" i="4"/>
  <c r="G42" i="4"/>
  <c r="J42" i="4"/>
  <c r="B42" i="4"/>
  <c r="I42" i="4"/>
  <c r="D42" i="4"/>
  <c r="F42" i="4"/>
  <c r="C42" i="4"/>
  <c r="E42" i="4"/>
  <c r="Y42" i="4" l="1"/>
  <c r="Z42" i="4" s="1"/>
  <c r="AF42" i="4"/>
  <c r="AG42" i="4" s="1"/>
  <c r="R42" i="4"/>
  <c r="S42" i="4" s="1"/>
  <c r="K42" i="4"/>
  <c r="L42" i="4" s="1"/>
  <c r="O42" i="4" s="1"/>
  <c r="P42" i="4" s="1"/>
  <c r="Q42" i="4" s="1"/>
  <c r="M42" i="4"/>
  <c r="N42" i="4" s="1"/>
  <c r="T42" i="4"/>
  <c r="U42" i="4" s="1"/>
  <c r="AA42" i="4"/>
  <c r="AB42" i="4" s="1"/>
  <c r="AH42" i="4"/>
  <c r="AI42" i="4" s="1"/>
  <c r="AJ42" i="4" l="1"/>
  <c r="AK42" i="4" s="1"/>
  <c r="AL42" i="4" s="1"/>
  <c r="V42" i="4"/>
  <c r="W42" i="4" s="1"/>
  <c r="AC42" i="4"/>
  <c r="AD42" i="4" s="1"/>
  <c r="AE42" i="4" s="1"/>
  <c r="I43" i="4"/>
  <c r="B43" i="4"/>
  <c r="X42" i="4" l="1"/>
  <c r="AM42" i="4" s="1"/>
  <c r="AP15" i="4" s="1"/>
  <c r="G43" i="4"/>
  <c r="H43" i="4"/>
  <c r="J43" i="4"/>
  <c r="F43" i="4"/>
  <c r="D43" i="4"/>
  <c r="E43" i="4"/>
  <c r="C43" i="4"/>
  <c r="R43" i="4" s="1"/>
  <c r="S43" i="4" s="1"/>
  <c r="Y43" i="4" l="1"/>
  <c r="Z43" i="4" s="1"/>
  <c r="M43" i="4"/>
  <c r="N43" i="4" s="1"/>
  <c r="AH43" i="4"/>
  <c r="AI43" i="4" s="1"/>
  <c r="AA43" i="4"/>
  <c r="AB43" i="4" s="1"/>
  <c r="T43" i="4"/>
  <c r="U43" i="4" s="1"/>
  <c r="V43" i="4" s="1"/>
  <c r="W43" i="4" s="1"/>
  <c r="X43" i="4" s="1"/>
  <c r="AF43" i="4"/>
  <c r="AG43" i="4" s="1"/>
  <c r="K43" i="4"/>
  <c r="L43" i="4" s="1"/>
  <c r="O43" i="4" s="1"/>
  <c r="P43" i="4" s="1"/>
  <c r="Q43" i="4" l="1"/>
  <c r="E44" i="4"/>
  <c r="H44" i="4"/>
  <c r="J44" i="4"/>
  <c r="F44" i="4"/>
  <c r="D44" i="4"/>
  <c r="AJ43" i="4"/>
  <c r="AK43" i="4" s="1"/>
  <c r="AL43" i="4" s="1"/>
  <c r="AC43" i="4"/>
  <c r="AD43" i="4" s="1"/>
  <c r="AE43" i="4" s="1"/>
  <c r="G44" i="4"/>
  <c r="AA44" i="4" l="1"/>
  <c r="AB44" i="4" s="1"/>
  <c r="M44" i="4"/>
  <c r="N44" i="4" s="1"/>
  <c r="AH44" i="4"/>
  <c r="AI44" i="4" s="1"/>
  <c r="T44" i="4"/>
  <c r="U44" i="4" s="1"/>
  <c r="B44" i="4"/>
  <c r="C44" i="4"/>
  <c r="I44" i="4"/>
  <c r="AM43" i="4"/>
  <c r="K44" i="4" l="1"/>
  <c r="L44" i="4" s="1"/>
  <c r="O44" i="4" s="1"/>
  <c r="P44" i="4" s="1"/>
  <c r="AF44" i="4"/>
  <c r="AG44" i="4" s="1"/>
  <c r="AJ44" i="4" s="1"/>
  <c r="AK44" i="4" s="1"/>
  <c r="AL44" i="4" s="1"/>
  <c r="R44" i="4"/>
  <c r="S44" i="4" s="1"/>
  <c r="V44" i="4" s="1"/>
  <c r="W44" i="4" s="1"/>
  <c r="X44" i="4" s="1"/>
  <c r="Y44" i="4"/>
  <c r="Z44" i="4" s="1"/>
  <c r="AC44" i="4" s="1"/>
  <c r="AD44" i="4" s="1"/>
  <c r="AE44" i="4" s="1"/>
  <c r="C45" i="4"/>
  <c r="B45" i="4" l="1"/>
  <c r="Q44" i="4"/>
  <c r="AM44" i="4" s="1"/>
  <c r="F45" i="4"/>
  <c r="D45" i="4"/>
  <c r="H45" i="4"/>
  <c r="J45" i="4"/>
  <c r="G45" i="4"/>
  <c r="E45" i="4"/>
  <c r="I45" i="4"/>
  <c r="AF45" i="4" l="1"/>
  <c r="AG45" i="4" s="1"/>
  <c r="R45" i="4"/>
  <c r="S45" i="4" s="1"/>
  <c r="Y45" i="4"/>
  <c r="Z45" i="4" s="1"/>
  <c r="AC45" i="4" s="1"/>
  <c r="AD45" i="4" s="1"/>
  <c r="AE45" i="4" s="1"/>
  <c r="K45" i="4"/>
  <c r="L45" i="4" s="1"/>
  <c r="O45" i="4" s="1"/>
  <c r="P45" i="4" s="1"/>
  <c r="T45" i="4"/>
  <c r="U45" i="4" s="1"/>
  <c r="AA45" i="4"/>
  <c r="AB45" i="4" s="1"/>
  <c r="M45" i="4"/>
  <c r="N45" i="4" s="1"/>
  <c r="AH45" i="4"/>
  <c r="AI45" i="4" s="1"/>
  <c r="Q45" i="4" l="1"/>
  <c r="V45" i="4"/>
  <c r="W45" i="4" s="1"/>
  <c r="X45" i="4" s="1"/>
  <c r="AJ45" i="4"/>
  <c r="AK45" i="4" s="1"/>
  <c r="AL45" i="4" s="1"/>
  <c r="I46" i="4"/>
  <c r="F46" i="4"/>
  <c r="G46" i="4" l="1"/>
  <c r="H46" i="4"/>
  <c r="E46" i="4"/>
  <c r="B46" i="4"/>
  <c r="J46" i="4"/>
  <c r="C46" i="4"/>
  <c r="D46" i="4"/>
  <c r="AM45" i="4"/>
  <c r="M46" i="4" l="1"/>
  <c r="N46" i="4" s="1"/>
  <c r="AA46" i="4"/>
  <c r="AB46" i="4" s="1"/>
  <c r="AH46" i="4"/>
  <c r="AI46" i="4" s="1"/>
  <c r="T46" i="4"/>
  <c r="U46" i="4" s="1"/>
  <c r="Y46" i="4"/>
  <c r="Z46" i="4" s="1"/>
  <c r="AF46" i="4"/>
  <c r="AG46" i="4" s="1"/>
  <c r="R46" i="4"/>
  <c r="S46" i="4" s="1"/>
  <c r="K46" i="4"/>
  <c r="L46" i="4" s="1"/>
  <c r="O46" i="4" s="1"/>
  <c r="P46" i="4" s="1"/>
  <c r="Q46" i="4" l="1"/>
  <c r="V46" i="4"/>
  <c r="W46" i="4" s="1"/>
  <c r="H47" i="4" s="1"/>
  <c r="AJ46" i="4"/>
  <c r="AK46" i="4" s="1"/>
  <c r="AL46" i="4" s="1"/>
  <c r="AC46" i="4"/>
  <c r="AD46" i="4" s="1"/>
  <c r="AE46" i="4" s="1"/>
  <c r="I47" i="4" l="1"/>
  <c r="F47" i="4"/>
  <c r="X46" i="4"/>
  <c r="C47" i="4"/>
  <c r="D47" i="4"/>
  <c r="AM46" i="4"/>
  <c r="J47" i="4"/>
  <c r="B47" i="4"/>
  <c r="G47" i="4"/>
  <c r="E47" i="4"/>
  <c r="AH47" i="4" l="1"/>
  <c r="AI47" i="4" s="1"/>
  <c r="AA47" i="4"/>
  <c r="AB47" i="4" s="1"/>
  <c r="M47" i="4"/>
  <c r="N47" i="4" s="1"/>
  <c r="T47" i="4"/>
  <c r="U47" i="4" s="1"/>
  <c r="R47" i="4"/>
  <c r="S47" i="4" s="1"/>
  <c r="V47" i="4" s="1"/>
  <c r="W47" i="4" s="1"/>
  <c r="X47" i="4" s="1"/>
  <c r="Y47" i="4"/>
  <c r="Z47" i="4" s="1"/>
  <c r="K47" i="4"/>
  <c r="L47" i="4" s="1"/>
  <c r="AF47" i="4"/>
  <c r="AG47" i="4" s="1"/>
  <c r="AJ47" i="4" s="1"/>
  <c r="AK47" i="4" s="1"/>
  <c r="AL47" i="4" s="1"/>
  <c r="O47" i="4" l="1"/>
  <c r="P47" i="4" s="1"/>
  <c r="AC47" i="4"/>
  <c r="AD47" i="4" s="1"/>
  <c r="AE47" i="4" s="1"/>
  <c r="Q47" i="4" l="1"/>
  <c r="AM47" i="4" s="1"/>
  <c r="H48" i="4"/>
  <c r="J48" i="4"/>
  <c r="C48" i="4"/>
  <c r="E48" i="4"/>
  <c r="F48" i="4"/>
  <c r="G48" i="4"/>
  <c r="I48" i="4"/>
  <c r="D48" i="4"/>
  <c r="B48" i="4"/>
  <c r="T48" i="4" l="1"/>
  <c r="U48" i="4" s="1"/>
  <c r="AA48" i="4"/>
  <c r="AB48" i="4" s="1"/>
  <c r="M48" i="4"/>
  <c r="N48" i="4" s="1"/>
  <c r="AH48" i="4"/>
  <c r="AI48" i="4" s="1"/>
  <c r="K48" i="4"/>
  <c r="L48" i="4" s="1"/>
  <c r="O48" i="4" s="1"/>
  <c r="P48" i="4" s="1"/>
  <c r="Q48" i="4" s="1"/>
  <c r="R48" i="4"/>
  <c r="S48" i="4" s="1"/>
  <c r="AF48" i="4"/>
  <c r="AG48" i="4" s="1"/>
  <c r="AJ48" i="4" s="1"/>
  <c r="AK48" i="4" s="1"/>
  <c r="AL48" i="4" s="1"/>
  <c r="Y48" i="4"/>
  <c r="Z48" i="4" s="1"/>
  <c r="AC48" i="4" s="1"/>
  <c r="AD48" i="4" s="1"/>
  <c r="AE48" i="4" s="1"/>
  <c r="V48" i="4" l="1"/>
  <c r="W48" i="4" s="1"/>
  <c r="H49" i="4"/>
  <c r="J49" i="4"/>
  <c r="C49" i="4"/>
  <c r="G49" i="4"/>
  <c r="D49" i="4"/>
  <c r="I49" i="4"/>
  <c r="X48" i="4" l="1"/>
  <c r="AM48" i="4" s="1"/>
  <c r="E49" i="4"/>
  <c r="F49" i="4"/>
  <c r="B49" i="4"/>
  <c r="AF49" i="4" l="1"/>
  <c r="AG49" i="4" s="1"/>
  <c r="R49" i="4"/>
  <c r="S49" i="4" s="1"/>
  <c r="Y49" i="4"/>
  <c r="Z49" i="4" s="1"/>
  <c r="K49" i="4"/>
  <c r="L49" i="4" s="1"/>
  <c r="O49" i="4" s="1"/>
  <c r="P49" i="4" s="1"/>
  <c r="AA49" i="4"/>
  <c r="AB49" i="4" s="1"/>
  <c r="AH49" i="4"/>
  <c r="AI49" i="4" s="1"/>
  <c r="T49" i="4"/>
  <c r="U49" i="4" s="1"/>
  <c r="M49" i="4"/>
  <c r="N49" i="4" s="1"/>
  <c r="Q49" i="4" l="1"/>
  <c r="AC49" i="4"/>
  <c r="AD49" i="4" s="1"/>
  <c r="AE49" i="4" s="1"/>
  <c r="V49" i="4"/>
  <c r="W49" i="4" s="1"/>
  <c r="X49" i="4" s="1"/>
  <c r="AJ49" i="4"/>
  <c r="AK49" i="4" s="1"/>
  <c r="AL49" i="4" s="1"/>
  <c r="C50" i="4" l="1"/>
  <c r="H50" i="4"/>
  <c r="J50" i="4"/>
  <c r="G50" i="4"/>
  <c r="I50" i="4"/>
  <c r="E50" i="4"/>
  <c r="B50" i="4"/>
  <c r="D50" i="4"/>
  <c r="F50" i="4"/>
  <c r="AM49" i="4"/>
  <c r="AH50" i="4" l="1"/>
  <c r="AI50" i="4" s="1"/>
  <c r="M50" i="4"/>
  <c r="N50" i="4" s="1"/>
  <c r="AA50" i="4"/>
  <c r="AB50" i="4" s="1"/>
  <c r="T50" i="4"/>
  <c r="U50" i="4" s="1"/>
  <c r="Y50" i="4"/>
  <c r="Z50" i="4" s="1"/>
  <c r="K50" i="4"/>
  <c r="L50" i="4" s="1"/>
  <c r="O50" i="4" s="1"/>
  <c r="P50" i="4" s="1"/>
  <c r="Q50" i="4" s="1"/>
  <c r="AF50" i="4"/>
  <c r="AG50" i="4" s="1"/>
  <c r="AJ50" i="4" s="1"/>
  <c r="AK50" i="4" s="1"/>
  <c r="AL50" i="4" s="1"/>
  <c r="R50" i="4"/>
  <c r="S50" i="4" s="1"/>
  <c r="V50" i="4" s="1"/>
  <c r="W50" i="4" s="1"/>
  <c r="X50" i="4" s="1"/>
  <c r="AC50" i="4" l="1"/>
  <c r="AD50" i="4" s="1"/>
  <c r="I51" i="4"/>
  <c r="B51" i="4"/>
  <c r="E51" i="4"/>
  <c r="C51" i="4"/>
  <c r="H51" i="4"/>
  <c r="D51" i="4"/>
  <c r="R51" i="4" l="1"/>
  <c r="S51" i="4" s="1"/>
  <c r="AF51" i="4"/>
  <c r="AG51" i="4" s="1"/>
  <c r="Y51" i="4"/>
  <c r="Z51" i="4" s="1"/>
  <c r="K51" i="4"/>
  <c r="L51" i="4" s="1"/>
  <c r="AE50" i="4"/>
  <c r="AM50" i="4" s="1"/>
  <c r="G51" i="4"/>
  <c r="F51" i="4"/>
  <c r="M51" i="4" s="1"/>
  <c r="N51" i="4" s="1"/>
  <c r="J51" i="4"/>
  <c r="O51" i="4" l="1"/>
  <c r="P51" i="4" s="1"/>
  <c r="T51" i="4"/>
  <c r="U51" i="4" s="1"/>
  <c r="V51" i="4" s="1"/>
  <c r="W51" i="4" s="1"/>
  <c r="X51" i="4" s="1"/>
  <c r="AA51" i="4"/>
  <c r="AB51" i="4" s="1"/>
  <c r="AC51" i="4" s="1"/>
  <c r="AD51" i="4" s="1"/>
  <c r="AE51" i="4" s="1"/>
  <c r="AJ51" i="4"/>
  <c r="AK51" i="4" s="1"/>
  <c r="AL51" i="4" s="1"/>
  <c r="AH51" i="4"/>
  <c r="AI51" i="4" s="1"/>
  <c r="Q51" i="4" l="1"/>
  <c r="AM51" i="4" s="1"/>
  <c r="C52" i="4"/>
  <c r="B52" i="4"/>
  <c r="E52" i="4"/>
  <c r="H52" i="4"/>
  <c r="I52" i="4"/>
  <c r="D52" i="4"/>
  <c r="G52" i="4"/>
  <c r="J52" i="4"/>
  <c r="F52" i="4"/>
  <c r="AA52" i="4" l="1"/>
  <c r="AB52" i="4" s="1"/>
  <c r="T52" i="4"/>
  <c r="U52" i="4" s="1"/>
  <c r="AH52" i="4"/>
  <c r="AI52" i="4" s="1"/>
  <c r="M52" i="4"/>
  <c r="N52" i="4" s="1"/>
  <c r="K52" i="4"/>
  <c r="L52" i="4" s="1"/>
  <c r="Y52" i="4"/>
  <c r="Z52" i="4" s="1"/>
  <c r="AC52" i="4" s="1"/>
  <c r="AD52" i="4" s="1"/>
  <c r="AE52" i="4" s="1"/>
  <c r="R52" i="4"/>
  <c r="S52" i="4" s="1"/>
  <c r="V52" i="4" s="1"/>
  <c r="W52" i="4" s="1"/>
  <c r="X52" i="4" s="1"/>
  <c r="AF52" i="4"/>
  <c r="AG52" i="4" s="1"/>
  <c r="AJ52" i="4" s="1"/>
  <c r="AK52" i="4" s="1"/>
  <c r="AL52" i="4" s="1"/>
  <c r="O52" i="4" l="1"/>
  <c r="P52" i="4" s="1"/>
  <c r="Q52" i="4" l="1"/>
  <c r="AM52" i="4" s="1"/>
  <c r="AP16" i="4" s="1"/>
  <c r="D53" i="4"/>
  <c r="G53" i="4"/>
  <c r="J53" i="4"/>
  <c r="H53" i="4"/>
  <c r="I53" i="4"/>
  <c r="B53" i="4"/>
  <c r="C53" i="4"/>
  <c r="F53" i="4"/>
  <c r="E53" i="4"/>
  <c r="R53" i="4" l="1"/>
  <c r="S53" i="4" s="1"/>
  <c r="AF53" i="4"/>
  <c r="AG53" i="4" s="1"/>
  <c r="Y53" i="4"/>
  <c r="Z53" i="4" s="1"/>
  <c r="AC53" i="4" s="1"/>
  <c r="AD53" i="4" s="1"/>
  <c r="AE53" i="4" s="1"/>
  <c r="K53" i="4"/>
  <c r="L53" i="4" s="1"/>
  <c r="T53" i="4"/>
  <c r="U53" i="4" s="1"/>
  <c r="AA53" i="4"/>
  <c r="AB53" i="4" s="1"/>
  <c r="M53" i="4"/>
  <c r="N53" i="4" s="1"/>
  <c r="AH53" i="4"/>
  <c r="AI53" i="4" s="1"/>
  <c r="AJ53" i="4" l="1"/>
  <c r="AK53" i="4" s="1"/>
  <c r="AL53" i="4" s="1"/>
  <c r="V53" i="4"/>
  <c r="W53" i="4" s="1"/>
  <c r="X53" i="4" s="1"/>
  <c r="O53" i="4"/>
  <c r="P53" i="4" s="1"/>
  <c r="Q53" i="4" l="1"/>
  <c r="AM53" i="4" s="1"/>
  <c r="C54" i="4"/>
  <c r="F54" i="4"/>
  <c r="I54" i="4"/>
  <c r="H54" i="4"/>
  <c r="G54" i="4"/>
  <c r="J54" i="4"/>
  <c r="D54" i="4"/>
  <c r="E54" i="4"/>
  <c r="B54" i="4"/>
  <c r="Y54" i="4" l="1"/>
  <c r="Z54" i="4" s="1"/>
  <c r="AC54" i="4" s="1"/>
  <c r="AD54" i="4" s="1"/>
  <c r="AE54" i="4" s="1"/>
  <c r="K54" i="4"/>
  <c r="L54" i="4" s="1"/>
  <c r="AF54" i="4"/>
  <c r="AG54" i="4" s="1"/>
  <c r="R54" i="4"/>
  <c r="S54" i="4" s="1"/>
  <c r="M54" i="4"/>
  <c r="N54" i="4" s="1"/>
  <c r="AH54" i="4"/>
  <c r="AI54" i="4" s="1"/>
  <c r="T54" i="4"/>
  <c r="U54" i="4" s="1"/>
  <c r="AA54" i="4"/>
  <c r="AB54" i="4" s="1"/>
  <c r="AJ54" i="4" l="1"/>
  <c r="AK54" i="4" s="1"/>
  <c r="AL54" i="4" s="1"/>
  <c r="V54" i="4"/>
  <c r="W54" i="4" s="1"/>
  <c r="X54" i="4" s="1"/>
  <c r="O54" i="4"/>
  <c r="P54" i="4" s="1"/>
  <c r="Q54" i="4" l="1"/>
  <c r="AM54" i="4" s="1"/>
  <c r="D55" i="4"/>
  <c r="F55" i="4"/>
  <c r="C55" i="4"/>
  <c r="J55" i="4"/>
  <c r="H55" i="4"/>
  <c r="G55" i="4"/>
  <c r="B55" i="4"/>
  <c r="I55" i="4"/>
  <c r="E55" i="4"/>
  <c r="AF55" i="4" l="1"/>
  <c r="AG55" i="4" s="1"/>
  <c r="R55" i="4"/>
  <c r="S55" i="4" s="1"/>
  <c r="V55" i="4" s="1"/>
  <c r="W55" i="4" s="1"/>
  <c r="X55" i="4" s="1"/>
  <c r="K55" i="4"/>
  <c r="L55" i="4" s="1"/>
  <c r="O55" i="4" s="1"/>
  <c r="P55" i="4" s="1"/>
  <c r="Q55" i="4" s="1"/>
  <c r="Y55" i="4"/>
  <c r="Z55" i="4" s="1"/>
  <c r="M55" i="4"/>
  <c r="N55" i="4" s="1"/>
  <c r="AA55" i="4"/>
  <c r="AB55" i="4" s="1"/>
  <c r="T55" i="4"/>
  <c r="U55" i="4" s="1"/>
  <c r="AH55" i="4"/>
  <c r="AI55" i="4" s="1"/>
  <c r="AJ55" i="4" l="1"/>
  <c r="AK55" i="4" s="1"/>
  <c r="AL55" i="4" s="1"/>
  <c r="D56" i="4"/>
  <c r="C56" i="4"/>
  <c r="F56" i="4"/>
  <c r="H56" i="4"/>
  <c r="AC55" i="4"/>
  <c r="AD55" i="4" s="1"/>
  <c r="AE55" i="4" s="1"/>
  <c r="AM55" i="4" s="1"/>
  <c r="G56" i="4"/>
  <c r="E56" i="4" l="1"/>
  <c r="I56" i="4"/>
  <c r="B56" i="4"/>
  <c r="J56" i="4"/>
  <c r="K56" i="4" l="1"/>
  <c r="L56" i="4" s="1"/>
  <c r="Y56" i="4"/>
  <c r="Z56" i="4" s="1"/>
  <c r="AC56" i="4" s="1"/>
  <c r="AD56" i="4" s="1"/>
  <c r="AE56" i="4" s="1"/>
  <c r="R56" i="4"/>
  <c r="S56" i="4" s="1"/>
  <c r="AF56" i="4"/>
  <c r="AG56" i="4" s="1"/>
  <c r="T56" i="4"/>
  <c r="U56" i="4" s="1"/>
  <c r="AH56" i="4"/>
  <c r="AI56" i="4" s="1"/>
  <c r="AA56" i="4"/>
  <c r="AB56" i="4" s="1"/>
  <c r="M56" i="4"/>
  <c r="N56" i="4" s="1"/>
  <c r="V56" i="4" l="1"/>
  <c r="W56" i="4" s="1"/>
  <c r="X56" i="4" s="1"/>
  <c r="AJ56" i="4"/>
  <c r="AK56" i="4" s="1"/>
  <c r="AL56" i="4" s="1"/>
  <c r="O56" i="4"/>
  <c r="P56" i="4" s="1"/>
  <c r="Q56" i="4" l="1"/>
  <c r="AM56" i="4" s="1"/>
  <c r="F57" i="4"/>
  <c r="D57" i="4"/>
  <c r="H57" i="4"/>
  <c r="C57" i="4"/>
  <c r="G57" i="4"/>
  <c r="I57" i="4"/>
  <c r="E57" i="4"/>
  <c r="B57" i="4"/>
  <c r="J57" i="4"/>
  <c r="AA57" i="4" l="1"/>
  <c r="AB57" i="4" s="1"/>
  <c r="M57" i="4"/>
  <c r="N57" i="4" s="1"/>
  <c r="AH57" i="4"/>
  <c r="AI57" i="4" s="1"/>
  <c r="T57" i="4"/>
  <c r="U57" i="4" s="1"/>
  <c r="AF57" i="4"/>
  <c r="AG57" i="4" s="1"/>
  <c r="AJ57" i="4" s="1"/>
  <c r="AK57" i="4" s="1"/>
  <c r="AL57" i="4" s="1"/>
  <c r="R57" i="4"/>
  <c r="S57" i="4" s="1"/>
  <c r="V57" i="4" s="1"/>
  <c r="W57" i="4" s="1"/>
  <c r="X57" i="4" s="1"/>
  <c r="Y57" i="4"/>
  <c r="Z57" i="4" s="1"/>
  <c r="AC57" i="4" s="1"/>
  <c r="AD57" i="4" s="1"/>
  <c r="AE57" i="4" s="1"/>
  <c r="K57" i="4"/>
  <c r="L57" i="4" s="1"/>
  <c r="O57" i="4" l="1"/>
  <c r="P57" i="4" s="1"/>
  <c r="Q57" i="4" l="1"/>
  <c r="AM57" i="4" s="1"/>
  <c r="I58" i="4"/>
  <c r="E58" i="4"/>
  <c r="C58" i="4"/>
  <c r="H58" i="4"/>
  <c r="J58" i="4"/>
  <c r="G58" i="4"/>
  <c r="F58" i="4"/>
  <c r="D58" i="4"/>
  <c r="B58" i="4"/>
  <c r="AH58" i="4" l="1"/>
  <c r="AI58" i="4" s="1"/>
  <c r="T58" i="4"/>
  <c r="U58" i="4" s="1"/>
  <c r="M58" i="4"/>
  <c r="N58" i="4" s="1"/>
  <c r="AA58" i="4"/>
  <c r="AB58" i="4" s="1"/>
  <c r="Y58" i="4"/>
  <c r="Z58" i="4" s="1"/>
  <c r="AF58" i="4"/>
  <c r="AG58" i="4" s="1"/>
  <c r="AJ58" i="4" s="1"/>
  <c r="AK58" i="4" s="1"/>
  <c r="AL58" i="4" s="1"/>
  <c r="K58" i="4"/>
  <c r="L58" i="4" s="1"/>
  <c r="O58" i="4" s="1"/>
  <c r="P58" i="4" s="1"/>
  <c r="Q58" i="4" s="1"/>
  <c r="R58" i="4"/>
  <c r="S58" i="4" s="1"/>
  <c r="V58" i="4" s="1"/>
  <c r="W58" i="4" s="1"/>
  <c r="X58" i="4" s="1"/>
  <c r="AC58" i="4" l="1"/>
  <c r="AD58" i="4" s="1"/>
  <c r="AE58" i="4" s="1"/>
  <c r="AM58" i="4" s="1"/>
  <c r="B59" i="4"/>
  <c r="I59" i="4"/>
  <c r="E59" i="4"/>
  <c r="C59" i="4"/>
  <c r="J59" i="4"/>
  <c r="H59" i="4"/>
  <c r="F59" i="4"/>
  <c r="G59" i="4"/>
  <c r="AH59" i="4" l="1"/>
  <c r="AI59" i="4" s="1"/>
  <c r="M59" i="4"/>
  <c r="N59" i="4" s="1"/>
  <c r="AA59" i="4"/>
  <c r="AB59" i="4" s="1"/>
  <c r="T59" i="4"/>
  <c r="U59" i="4" s="1"/>
  <c r="Y59" i="4"/>
  <c r="Z59" i="4" s="1"/>
  <c r="K59" i="4"/>
  <c r="L59" i="4" s="1"/>
  <c r="O59" i="4" s="1"/>
  <c r="P59" i="4" s="1"/>
  <c r="Q59" i="4" s="1"/>
  <c r="AF59" i="4"/>
  <c r="AG59" i="4" s="1"/>
  <c r="AJ59" i="4" s="1"/>
  <c r="AK59" i="4" s="1"/>
  <c r="AL59" i="4" s="1"/>
  <c r="D59" i="4"/>
  <c r="R59" i="4" s="1"/>
  <c r="S59" i="4" s="1"/>
  <c r="V59" i="4" s="1"/>
  <c r="W59" i="4" s="1"/>
  <c r="X59" i="4" l="1"/>
  <c r="AC59" i="4"/>
  <c r="AD59" i="4" s="1"/>
  <c r="AE59" i="4" s="1"/>
  <c r="AM59" i="4" s="1"/>
  <c r="B60" i="4"/>
  <c r="H60" i="4"/>
  <c r="C60" i="4"/>
  <c r="G60" i="4"/>
  <c r="J60" i="4"/>
  <c r="D60" i="4" l="1"/>
  <c r="E60" i="4"/>
  <c r="F60" i="4"/>
  <c r="I60" i="4"/>
  <c r="Y60" i="4" l="1"/>
  <c r="Z60" i="4" s="1"/>
  <c r="AF60" i="4"/>
  <c r="AG60" i="4" s="1"/>
  <c r="AJ60" i="4" s="1"/>
  <c r="AK60" i="4" s="1"/>
  <c r="AL60" i="4" s="1"/>
  <c r="AA60" i="4"/>
  <c r="AB60" i="4" s="1"/>
  <c r="T60" i="4"/>
  <c r="U60" i="4" s="1"/>
  <c r="M60" i="4"/>
  <c r="N60" i="4" s="1"/>
  <c r="AH60" i="4"/>
  <c r="AI60" i="4" s="1"/>
  <c r="R60" i="4"/>
  <c r="S60" i="4" s="1"/>
  <c r="K60" i="4"/>
  <c r="L60" i="4" s="1"/>
  <c r="O60" i="4" s="1"/>
  <c r="P60" i="4" s="1"/>
  <c r="Q60" i="4" l="1"/>
  <c r="V60" i="4"/>
  <c r="W60" i="4" s="1"/>
  <c r="H61" i="4" s="1"/>
  <c r="F61" i="4"/>
  <c r="AC60" i="4"/>
  <c r="AD60" i="4" s="1"/>
  <c r="AE60" i="4" s="1"/>
  <c r="G61" i="4" l="1"/>
  <c r="J61" i="4"/>
  <c r="X60" i="4"/>
  <c r="AM60" i="4" s="1"/>
  <c r="E61" i="4"/>
  <c r="B61" i="4"/>
  <c r="D61" i="4"/>
  <c r="C61" i="4"/>
  <c r="I61" i="4"/>
  <c r="Y61" i="4" l="1"/>
  <c r="Z61" i="4" s="1"/>
  <c r="AF61" i="4"/>
  <c r="AG61" i="4" s="1"/>
  <c r="R61" i="4"/>
  <c r="S61" i="4" s="1"/>
  <c r="V61" i="4" s="1"/>
  <c r="W61" i="4" s="1"/>
  <c r="X61" i="4" s="1"/>
  <c r="K61" i="4"/>
  <c r="L61" i="4" s="1"/>
  <c r="O61" i="4" s="1"/>
  <c r="P61" i="4" s="1"/>
  <c r="T61" i="4"/>
  <c r="U61" i="4" s="1"/>
  <c r="AH61" i="4"/>
  <c r="AI61" i="4" s="1"/>
  <c r="M61" i="4"/>
  <c r="N61" i="4" s="1"/>
  <c r="AA61" i="4"/>
  <c r="AB61" i="4" s="1"/>
  <c r="Q61" i="4" l="1"/>
  <c r="AJ61" i="4"/>
  <c r="AK61" i="4" s="1"/>
  <c r="AL61" i="4" s="1"/>
  <c r="E62" i="4"/>
  <c r="AC61" i="4"/>
  <c r="AD61" i="4" s="1"/>
  <c r="F62" i="4" l="1"/>
  <c r="T62" i="4" s="1"/>
  <c r="U62" i="4" s="1"/>
  <c r="J62" i="4"/>
  <c r="H62" i="4"/>
  <c r="G62" i="4"/>
  <c r="AE61" i="4"/>
  <c r="AM61" i="4" s="1"/>
  <c r="C62" i="4"/>
  <c r="I62" i="4"/>
  <c r="D62" i="4"/>
  <c r="B62" i="4"/>
  <c r="AF62" i="4" l="1"/>
  <c r="AG62" i="4" s="1"/>
  <c r="K62" i="4"/>
  <c r="L62" i="4" s="1"/>
  <c r="Y62" i="4"/>
  <c r="Z62" i="4" s="1"/>
  <c r="R62" i="4"/>
  <c r="S62" i="4" s="1"/>
  <c r="V62" i="4" s="1"/>
  <c r="W62" i="4" s="1"/>
  <c r="X62" i="4" s="1"/>
  <c r="AH62" i="4"/>
  <c r="AI62" i="4" s="1"/>
  <c r="AA62" i="4"/>
  <c r="AB62" i="4" s="1"/>
  <c r="M62" i="4"/>
  <c r="N62" i="4" s="1"/>
  <c r="AC62" i="4" l="1"/>
  <c r="AD62" i="4" s="1"/>
  <c r="AE62" i="4" s="1"/>
  <c r="O62" i="4"/>
  <c r="P62" i="4" s="1"/>
  <c r="AJ62" i="4"/>
  <c r="AK62" i="4" s="1"/>
  <c r="AL62" i="4" s="1"/>
  <c r="Q62" i="4" l="1"/>
  <c r="AM62" i="4" s="1"/>
  <c r="AP17" i="4" s="1"/>
  <c r="E63" i="4"/>
  <c r="B63" i="4"/>
  <c r="H63" i="4"/>
  <c r="J63" i="4"/>
  <c r="F63" i="4"/>
  <c r="I63" i="4"/>
  <c r="C63" i="4"/>
  <c r="G63" i="4"/>
  <c r="D63" i="4"/>
  <c r="K63" i="4" l="1"/>
  <c r="L63" i="4" s="1"/>
  <c r="R63" i="4"/>
  <c r="S63" i="4" s="1"/>
  <c r="AF63" i="4"/>
  <c r="AG63" i="4" s="1"/>
  <c r="AJ63" i="4" s="1"/>
  <c r="AK63" i="4" s="1"/>
  <c r="AL63" i="4" s="1"/>
  <c r="Y63" i="4"/>
  <c r="Z63" i="4" s="1"/>
  <c r="AC63" i="4" s="1"/>
  <c r="AD63" i="4" s="1"/>
  <c r="AE63" i="4" s="1"/>
  <c r="T63" i="4"/>
  <c r="U63" i="4" s="1"/>
  <c r="AA63" i="4"/>
  <c r="AB63" i="4" s="1"/>
  <c r="M63" i="4"/>
  <c r="N63" i="4" s="1"/>
  <c r="AH63" i="4"/>
  <c r="AI63" i="4" s="1"/>
  <c r="V63" i="4" l="1"/>
  <c r="W63" i="4" s="1"/>
  <c r="X63" i="4" s="1"/>
  <c r="O63" i="4"/>
  <c r="P63" i="4" s="1"/>
  <c r="Q63" i="4" l="1"/>
  <c r="AM63" i="4" s="1"/>
  <c r="C64" i="4"/>
  <c r="E64" i="4"/>
  <c r="G64" i="4"/>
  <c r="F64" i="4"/>
  <c r="H64" i="4"/>
  <c r="D64" i="4"/>
  <c r="I64" i="4"/>
  <c r="B64" i="4"/>
  <c r="J64" i="4"/>
  <c r="AA64" i="4" l="1"/>
  <c r="AB64" i="4" s="1"/>
  <c r="AH64" i="4"/>
  <c r="AI64" i="4" s="1"/>
  <c r="T64" i="4"/>
  <c r="U64" i="4" s="1"/>
  <c r="M64" i="4"/>
  <c r="N64" i="4" s="1"/>
  <c r="R64" i="4"/>
  <c r="S64" i="4" s="1"/>
  <c r="V64" i="4" s="1"/>
  <c r="W64" i="4" s="1"/>
  <c r="X64" i="4" s="1"/>
  <c r="AF64" i="4"/>
  <c r="AG64" i="4" s="1"/>
  <c r="Y64" i="4"/>
  <c r="Z64" i="4" s="1"/>
  <c r="AC64" i="4" s="1"/>
  <c r="AD64" i="4" s="1"/>
  <c r="AE64" i="4" s="1"/>
  <c r="K64" i="4"/>
  <c r="L64" i="4" s="1"/>
  <c r="AJ64" i="4" l="1"/>
  <c r="AK64" i="4" s="1"/>
  <c r="AL64" i="4" s="1"/>
  <c r="O64" i="4"/>
  <c r="P64" i="4" s="1"/>
  <c r="Q64" i="4" l="1"/>
  <c r="AM64" i="4" s="1"/>
  <c r="D65" i="4"/>
  <c r="E65" i="4"/>
  <c r="G65" i="4"/>
  <c r="C65" i="4"/>
  <c r="J65" i="4"/>
  <c r="I65" i="4"/>
  <c r="F65" i="4"/>
  <c r="H65" i="4"/>
  <c r="B65" i="4"/>
  <c r="AH65" i="4" l="1"/>
  <c r="AI65" i="4" s="1"/>
  <c r="M65" i="4"/>
  <c r="N65" i="4" s="1"/>
  <c r="AA65" i="4"/>
  <c r="AB65" i="4" s="1"/>
  <c r="T65" i="4"/>
  <c r="U65" i="4" s="1"/>
  <c r="AF65" i="4"/>
  <c r="AG65" i="4" s="1"/>
  <c r="AJ65" i="4" s="1"/>
  <c r="AK65" i="4" s="1"/>
  <c r="AL65" i="4" s="1"/>
  <c r="Y65" i="4"/>
  <c r="Z65" i="4" s="1"/>
  <c r="K65" i="4"/>
  <c r="L65" i="4" s="1"/>
  <c r="O65" i="4" s="1"/>
  <c r="P65" i="4" s="1"/>
  <c r="Q65" i="4" s="1"/>
  <c r="R65" i="4"/>
  <c r="S65" i="4" s="1"/>
  <c r="V65" i="4" s="1"/>
  <c r="W65" i="4" s="1"/>
  <c r="X65" i="4" s="1"/>
  <c r="AC65" i="4" l="1"/>
  <c r="AD65" i="4" s="1"/>
  <c r="AE65" i="4" s="1"/>
  <c r="AM65" i="4"/>
  <c r="B66" i="4"/>
  <c r="G66" i="4"/>
  <c r="E66" i="4"/>
  <c r="J66" i="4"/>
  <c r="C66" i="4"/>
  <c r="I66" i="4"/>
  <c r="F66" i="4"/>
  <c r="M66" i="4" l="1"/>
  <c r="N66" i="4" s="1"/>
  <c r="AH66" i="4"/>
  <c r="AI66" i="4" s="1"/>
  <c r="AA66" i="4"/>
  <c r="AB66" i="4" s="1"/>
  <c r="T66" i="4"/>
  <c r="U66" i="4" s="1"/>
  <c r="Y66" i="4"/>
  <c r="Z66" i="4" s="1"/>
  <c r="R66" i="4"/>
  <c r="S66" i="4" s="1"/>
  <c r="K66" i="4"/>
  <c r="L66" i="4" s="1"/>
  <c r="H66" i="4"/>
  <c r="D66" i="4"/>
  <c r="O66" i="4" l="1"/>
  <c r="P66" i="4" s="1"/>
  <c r="V66" i="4"/>
  <c r="W66" i="4" s="1"/>
  <c r="X66" i="4" s="1"/>
  <c r="AC66" i="4"/>
  <c r="AD66" i="4" s="1"/>
  <c r="AE66" i="4" s="1"/>
  <c r="AF66" i="4"/>
  <c r="AG66" i="4" s="1"/>
  <c r="AJ66" i="4" s="1"/>
  <c r="AK66" i="4" s="1"/>
  <c r="AL66" i="4" s="1"/>
  <c r="D67" i="4" l="1"/>
  <c r="Q66" i="4"/>
  <c r="AM66" i="4" s="1"/>
  <c r="C67" i="4"/>
  <c r="E67" i="4"/>
  <c r="I67" i="4"/>
  <c r="G67" i="4"/>
  <c r="B67" i="4"/>
  <c r="J67" i="4"/>
  <c r="F67" i="4"/>
  <c r="H67" i="4"/>
  <c r="R67" i="4" l="1"/>
  <c r="S67" i="4" s="1"/>
  <c r="K67" i="4"/>
  <c r="L67" i="4" s="1"/>
  <c r="Y67" i="4"/>
  <c r="Z67" i="4" s="1"/>
  <c r="AF67" i="4"/>
  <c r="AG67" i="4" s="1"/>
  <c r="AJ67" i="4" s="1"/>
  <c r="AK67" i="4" s="1"/>
  <c r="AL67" i="4" s="1"/>
  <c r="AH67" i="4"/>
  <c r="AI67" i="4" s="1"/>
  <c r="T67" i="4"/>
  <c r="U67" i="4" s="1"/>
  <c r="AA67" i="4"/>
  <c r="AB67" i="4" s="1"/>
  <c r="M67" i="4"/>
  <c r="N67" i="4" s="1"/>
  <c r="AC67" i="4" l="1"/>
  <c r="AD67" i="4" s="1"/>
  <c r="AE67" i="4" s="1"/>
  <c r="O67" i="4"/>
  <c r="P67" i="4" s="1"/>
  <c r="V67" i="4"/>
  <c r="W67" i="4" s="1"/>
  <c r="X67" i="4" s="1"/>
  <c r="Q67" i="4" l="1"/>
  <c r="AM67" i="4" s="1"/>
  <c r="J68" i="4"/>
  <c r="D68" i="4"/>
  <c r="G68" i="4"/>
  <c r="B68" i="4"/>
  <c r="E68" i="4"/>
  <c r="I68" i="4"/>
  <c r="C68" i="4"/>
  <c r="H68" i="4"/>
  <c r="F68" i="4"/>
  <c r="K68" i="4" l="1"/>
  <c r="L68" i="4" s="1"/>
  <c r="R68" i="4"/>
  <c r="S68" i="4" s="1"/>
  <c r="AF68" i="4"/>
  <c r="AG68" i="4" s="1"/>
  <c r="AJ68" i="4" s="1"/>
  <c r="AK68" i="4" s="1"/>
  <c r="AL68" i="4" s="1"/>
  <c r="Y68" i="4"/>
  <c r="Z68" i="4" s="1"/>
  <c r="AC68" i="4" s="1"/>
  <c r="AD68" i="4" s="1"/>
  <c r="AE68" i="4" s="1"/>
  <c r="AA68" i="4"/>
  <c r="AB68" i="4" s="1"/>
  <c r="M68" i="4"/>
  <c r="N68" i="4" s="1"/>
  <c r="AH68" i="4"/>
  <c r="AI68" i="4" s="1"/>
  <c r="T68" i="4"/>
  <c r="U68" i="4" s="1"/>
  <c r="V68" i="4" l="1"/>
  <c r="W68" i="4" s="1"/>
  <c r="X68" i="4" s="1"/>
  <c r="O68" i="4"/>
  <c r="P68" i="4" s="1"/>
  <c r="Q68" i="4" l="1"/>
  <c r="AM68" i="4" s="1"/>
  <c r="I69" i="4"/>
  <c r="C69" i="4"/>
  <c r="H69" i="4"/>
  <c r="B69" i="4"/>
  <c r="E69" i="4"/>
  <c r="D69" i="4"/>
  <c r="G69" i="4"/>
  <c r="J69" i="4"/>
  <c r="F69" i="4"/>
  <c r="T69" i="4" l="1"/>
  <c r="U69" i="4" s="1"/>
  <c r="AH69" i="4"/>
  <c r="AI69" i="4" s="1"/>
  <c r="AA69" i="4"/>
  <c r="AB69" i="4" s="1"/>
  <c r="M69" i="4"/>
  <c r="N69" i="4" s="1"/>
  <c r="Y69" i="4"/>
  <c r="Z69" i="4" s="1"/>
  <c r="K69" i="4"/>
  <c r="L69" i="4" s="1"/>
  <c r="AF69" i="4"/>
  <c r="AG69" i="4" s="1"/>
  <c r="AJ69" i="4" s="1"/>
  <c r="AK69" i="4" s="1"/>
  <c r="AL69" i="4" s="1"/>
  <c r="R69" i="4"/>
  <c r="S69" i="4" s="1"/>
  <c r="V69" i="4" s="1"/>
  <c r="W69" i="4" s="1"/>
  <c r="X69" i="4" s="1"/>
  <c r="O69" i="4" l="1"/>
  <c r="P69" i="4" s="1"/>
  <c r="AC69" i="4"/>
  <c r="AD69" i="4" s="1"/>
  <c r="AE69" i="4" s="1"/>
  <c r="Q69" i="4" l="1"/>
  <c r="AM69" i="4" s="1"/>
  <c r="G70" i="4"/>
  <c r="D70" i="4"/>
  <c r="J70" i="4"/>
  <c r="E70" i="4"/>
  <c r="B70" i="4"/>
  <c r="C70" i="4"/>
  <c r="I70" i="4"/>
  <c r="H70" i="4"/>
  <c r="F70" i="4"/>
  <c r="AF70" i="4" l="1"/>
  <c r="AG70" i="4" s="1"/>
  <c r="R70" i="4"/>
  <c r="S70" i="4" s="1"/>
  <c r="K70" i="4"/>
  <c r="L70" i="4" s="1"/>
  <c r="O70" i="4" s="1"/>
  <c r="P70" i="4" s="1"/>
  <c r="Q70" i="4" s="1"/>
  <c r="Y70" i="4"/>
  <c r="Z70" i="4" s="1"/>
  <c r="AC70" i="4" s="1"/>
  <c r="AD70" i="4" s="1"/>
  <c r="AE70" i="4" s="1"/>
  <c r="M70" i="4"/>
  <c r="N70" i="4" s="1"/>
  <c r="AA70" i="4"/>
  <c r="AB70" i="4" s="1"/>
  <c r="T70" i="4"/>
  <c r="U70" i="4" s="1"/>
  <c r="AH70" i="4"/>
  <c r="AI70" i="4" s="1"/>
  <c r="V70" i="4" l="1"/>
  <c r="W70" i="4" s="1"/>
  <c r="AJ70" i="4"/>
  <c r="AK70" i="4" s="1"/>
  <c r="AL70" i="4" s="1"/>
  <c r="B71" i="4"/>
  <c r="H71" i="4"/>
  <c r="C71" i="4"/>
  <c r="I71" i="4"/>
  <c r="R71" i="4" l="1"/>
  <c r="S71" i="4" s="1"/>
  <c r="AF71" i="4"/>
  <c r="AG71" i="4" s="1"/>
  <c r="X70" i="4"/>
  <c r="AM70" i="4" s="1"/>
  <c r="E71" i="4"/>
  <c r="J71" i="4"/>
  <c r="F71" i="4"/>
  <c r="D71" i="4"/>
  <c r="G71" i="4"/>
  <c r="Y71" i="4" l="1"/>
  <c r="Z71" i="4" s="1"/>
  <c r="AJ71" i="4"/>
  <c r="AK71" i="4" s="1"/>
  <c r="AL71" i="4" s="1"/>
  <c r="V71" i="4"/>
  <c r="W71" i="4" s="1"/>
  <c r="X71" i="4" s="1"/>
  <c r="K71" i="4"/>
  <c r="L71" i="4" s="1"/>
  <c r="O71" i="4" s="1"/>
  <c r="P71" i="4" s="1"/>
  <c r="T71" i="4"/>
  <c r="U71" i="4" s="1"/>
  <c r="AH71" i="4"/>
  <c r="AI71" i="4" s="1"/>
  <c r="AA71" i="4"/>
  <c r="AB71" i="4" s="1"/>
  <c r="M71" i="4"/>
  <c r="N71" i="4" s="1"/>
  <c r="Q71" i="4" l="1"/>
  <c r="C72" i="4"/>
  <c r="H72" i="4"/>
  <c r="B72" i="4"/>
  <c r="I72" i="4"/>
  <c r="F72" i="4"/>
  <c r="E72" i="4"/>
  <c r="J72" i="4"/>
  <c r="AC71" i="4"/>
  <c r="AD71" i="4" s="1"/>
  <c r="AE71" i="4" s="1"/>
  <c r="D72" i="4"/>
  <c r="G72" i="4"/>
  <c r="AA72" i="4" l="1"/>
  <c r="AB72" i="4" s="1"/>
  <c r="M72" i="4"/>
  <c r="N72" i="4" s="1"/>
  <c r="T72" i="4"/>
  <c r="U72" i="4" s="1"/>
  <c r="AH72" i="4"/>
  <c r="AI72" i="4" s="1"/>
  <c r="R72" i="4"/>
  <c r="S72" i="4" s="1"/>
  <c r="AF72" i="4"/>
  <c r="AG72" i="4" s="1"/>
  <c r="AJ72" i="4" s="1"/>
  <c r="AK72" i="4" s="1"/>
  <c r="AL72" i="4" s="1"/>
  <c r="Y72" i="4"/>
  <c r="Z72" i="4" s="1"/>
  <c r="AC72" i="4" s="1"/>
  <c r="AD72" i="4" s="1"/>
  <c r="AE72" i="4" s="1"/>
  <c r="K72" i="4"/>
  <c r="L72" i="4" s="1"/>
  <c r="O72" i="4" s="1"/>
  <c r="P72" i="4" s="1"/>
  <c r="Q72" i="4" s="1"/>
  <c r="AM71" i="4"/>
  <c r="V72" i="4" l="1"/>
  <c r="W72" i="4" s="1"/>
  <c r="X72" i="4" s="1"/>
  <c r="AM72" i="4" s="1"/>
  <c r="AP18" i="4" s="1"/>
  <c r="G73" i="4"/>
  <c r="F73" i="4"/>
  <c r="B73" i="4" l="1"/>
  <c r="J73" i="4"/>
  <c r="I73" i="4"/>
  <c r="C73" i="4"/>
  <c r="D73" i="4"/>
  <c r="E73" i="4"/>
  <c r="H73" i="4"/>
  <c r="AH73" i="4" l="1"/>
  <c r="AI73" i="4" s="1"/>
  <c r="T73" i="4"/>
  <c r="U73" i="4" s="1"/>
  <c r="M73" i="4"/>
  <c r="N73" i="4" s="1"/>
  <c r="AA73" i="4"/>
  <c r="AB73" i="4" s="1"/>
  <c r="AF73" i="4"/>
  <c r="AG73" i="4" s="1"/>
  <c r="AJ73" i="4" s="1"/>
  <c r="AK73" i="4" s="1"/>
  <c r="AL73" i="4" s="1"/>
  <c r="Y73" i="4"/>
  <c r="Z73" i="4" s="1"/>
  <c r="AC73" i="4" s="1"/>
  <c r="AD73" i="4" s="1"/>
  <c r="AE73" i="4" s="1"/>
  <c r="K73" i="4"/>
  <c r="L73" i="4" s="1"/>
  <c r="R73" i="4"/>
  <c r="S73" i="4" s="1"/>
  <c r="V73" i="4" s="1"/>
  <c r="W73" i="4" s="1"/>
  <c r="X73" i="4" s="1"/>
  <c r="O73" i="4" l="1"/>
  <c r="P73" i="4" s="1"/>
  <c r="Q73" i="4" l="1"/>
  <c r="AM73" i="4" s="1"/>
  <c r="G74" i="4"/>
  <c r="F74" i="4"/>
  <c r="E74" i="4"/>
  <c r="B74" i="4"/>
  <c r="D74" i="4"/>
  <c r="I74" i="4"/>
  <c r="C74" i="4"/>
  <c r="J74" i="4"/>
  <c r="H74" i="4"/>
  <c r="Y74" i="4" l="1"/>
  <c r="Z74" i="4" s="1"/>
  <c r="R74" i="4"/>
  <c r="S74" i="4" s="1"/>
  <c r="K74" i="4"/>
  <c r="L74" i="4" s="1"/>
  <c r="O74" i="4" s="1"/>
  <c r="P74" i="4" s="1"/>
  <c r="Q74" i="4" s="1"/>
  <c r="AF74" i="4"/>
  <c r="AG74" i="4" s="1"/>
  <c r="M74" i="4"/>
  <c r="N74" i="4" s="1"/>
  <c r="AA74" i="4"/>
  <c r="AB74" i="4" s="1"/>
  <c r="T74" i="4"/>
  <c r="U74" i="4" s="1"/>
  <c r="AH74" i="4"/>
  <c r="AI74" i="4" s="1"/>
  <c r="AJ74" i="4" l="1"/>
  <c r="AK74" i="4" s="1"/>
  <c r="AL74" i="4" s="1"/>
  <c r="V74" i="4"/>
  <c r="W74" i="4" s="1"/>
  <c r="AC74" i="4"/>
  <c r="AD74" i="4" s="1"/>
  <c r="AE74" i="4" s="1"/>
  <c r="D75" i="4"/>
  <c r="B75" i="4"/>
  <c r="J75" i="4"/>
  <c r="C75" i="4"/>
  <c r="R75" i="4" l="1"/>
  <c r="S75" i="4" s="1"/>
  <c r="K75" i="4"/>
  <c r="L75" i="4" s="1"/>
  <c r="AF75" i="4"/>
  <c r="AG75" i="4" s="1"/>
  <c r="Y75" i="4"/>
  <c r="Z75" i="4" s="1"/>
  <c r="X74" i="4"/>
  <c r="AM74" i="4" s="1"/>
  <c r="E75" i="4"/>
  <c r="G75" i="4"/>
  <c r="F75" i="4"/>
  <c r="H75" i="4"/>
  <c r="I75" i="4"/>
  <c r="AJ75" i="4" l="1"/>
  <c r="AK75" i="4" s="1"/>
  <c r="AL75" i="4" s="1"/>
  <c r="V75" i="4"/>
  <c r="W75" i="4" s="1"/>
  <c r="X75" i="4" s="1"/>
  <c r="AH75" i="4"/>
  <c r="AI75" i="4" s="1"/>
  <c r="T75" i="4"/>
  <c r="U75" i="4" s="1"/>
  <c r="AA75" i="4"/>
  <c r="AB75" i="4" s="1"/>
  <c r="AC75" i="4" s="1"/>
  <c r="AD75" i="4" s="1"/>
  <c r="AE75" i="4" s="1"/>
  <c r="M75" i="4"/>
  <c r="N75" i="4" s="1"/>
  <c r="O75" i="4" s="1"/>
  <c r="P75" i="4" s="1"/>
  <c r="Q75" i="4" l="1"/>
  <c r="AM75" i="4" s="1"/>
  <c r="J76" i="4"/>
  <c r="D76" i="4"/>
  <c r="C76" i="4"/>
  <c r="B76" i="4"/>
  <c r="H76" i="4"/>
  <c r="G76" i="4"/>
  <c r="I76" i="4"/>
  <c r="F76" i="4"/>
  <c r="E76" i="4"/>
  <c r="K76" i="4" l="1"/>
  <c r="L76" i="4" s="1"/>
  <c r="Y76" i="4"/>
  <c r="Z76" i="4" s="1"/>
  <c r="AF76" i="4"/>
  <c r="AG76" i="4" s="1"/>
  <c r="R76" i="4"/>
  <c r="S76" i="4" s="1"/>
  <c r="AA76" i="4"/>
  <c r="AB76" i="4" s="1"/>
  <c r="AH76" i="4"/>
  <c r="AI76" i="4" s="1"/>
  <c r="M76" i="4"/>
  <c r="N76" i="4" s="1"/>
  <c r="T76" i="4"/>
  <c r="U76" i="4" s="1"/>
  <c r="V76" i="4" l="1"/>
  <c r="W76" i="4" s="1"/>
  <c r="X76" i="4" s="1"/>
  <c r="AJ76" i="4"/>
  <c r="AK76" i="4" s="1"/>
  <c r="AL76" i="4" s="1"/>
  <c r="AC76" i="4"/>
  <c r="AD76" i="4" s="1"/>
  <c r="AE76" i="4" s="1"/>
  <c r="O76" i="4"/>
  <c r="P76" i="4" s="1"/>
  <c r="Q76" i="4" l="1"/>
  <c r="AM76" i="4" s="1"/>
  <c r="G77" i="4"/>
  <c r="I77" i="4"/>
  <c r="F77" i="4"/>
  <c r="H77" i="4"/>
  <c r="E77" i="4"/>
  <c r="B77" i="4"/>
  <c r="J77" i="4"/>
  <c r="C77" i="4"/>
  <c r="D77" i="4"/>
  <c r="T77" i="4" l="1"/>
  <c r="U77" i="4" s="1"/>
  <c r="AA77" i="4"/>
  <c r="AB77" i="4" s="1"/>
  <c r="M77" i="4"/>
  <c r="N77" i="4" s="1"/>
  <c r="AH77" i="4"/>
  <c r="AI77" i="4" s="1"/>
  <c r="AF77" i="4"/>
  <c r="AG77" i="4" s="1"/>
  <c r="K77" i="4"/>
  <c r="L77" i="4" s="1"/>
  <c r="Y77" i="4"/>
  <c r="Z77" i="4" s="1"/>
  <c r="AC77" i="4" s="1"/>
  <c r="AD77" i="4" s="1"/>
  <c r="AE77" i="4" s="1"/>
  <c r="R77" i="4"/>
  <c r="S77" i="4" s="1"/>
  <c r="V77" i="4" s="1"/>
  <c r="W77" i="4" s="1"/>
  <c r="X77" i="4" s="1"/>
  <c r="O77" i="4" l="1"/>
  <c r="P77" i="4" s="1"/>
  <c r="AJ77" i="4"/>
  <c r="AK77" i="4" s="1"/>
  <c r="AL77" i="4" s="1"/>
  <c r="Q77" i="4" l="1"/>
  <c r="AM77" i="4" s="1"/>
  <c r="J78" i="4"/>
  <c r="G78" i="4"/>
  <c r="C78" i="4"/>
  <c r="E78" i="4"/>
  <c r="B78" i="4"/>
  <c r="H78" i="4"/>
  <c r="F78" i="4"/>
  <c r="I78" i="4"/>
  <c r="D78" i="4"/>
  <c r="K78" i="4" l="1"/>
  <c r="L78" i="4" s="1"/>
  <c r="R78" i="4"/>
  <c r="S78" i="4" s="1"/>
  <c r="V78" i="4" s="1"/>
  <c r="W78" i="4" s="1"/>
  <c r="X78" i="4" s="1"/>
  <c r="AF78" i="4"/>
  <c r="AG78" i="4" s="1"/>
  <c r="Y78" i="4"/>
  <c r="Z78" i="4" s="1"/>
  <c r="AC78" i="4" s="1"/>
  <c r="AD78" i="4" s="1"/>
  <c r="AE78" i="4" s="1"/>
  <c r="M78" i="4"/>
  <c r="N78" i="4" s="1"/>
  <c r="T78" i="4"/>
  <c r="U78" i="4" s="1"/>
  <c r="AA78" i="4"/>
  <c r="AB78" i="4" s="1"/>
  <c r="AH78" i="4"/>
  <c r="AI78" i="4" s="1"/>
  <c r="AJ78" i="4" l="1"/>
  <c r="AK78" i="4" s="1"/>
  <c r="AL78" i="4" s="1"/>
  <c r="O78" i="4"/>
  <c r="P78" i="4" s="1"/>
  <c r="Q78" i="4" l="1"/>
  <c r="AM78" i="4" s="1"/>
  <c r="F79" i="4"/>
  <c r="H79" i="4"/>
  <c r="I79" i="4"/>
  <c r="E79" i="4"/>
  <c r="B79" i="4"/>
  <c r="J79" i="4"/>
  <c r="C79" i="4"/>
  <c r="G79" i="4"/>
  <c r="D79" i="4"/>
  <c r="AA79" i="4" l="1"/>
  <c r="AB79" i="4" s="1"/>
  <c r="AH79" i="4"/>
  <c r="AI79" i="4" s="1"/>
  <c r="T79" i="4"/>
  <c r="U79" i="4" s="1"/>
  <c r="M79" i="4"/>
  <c r="N79" i="4" s="1"/>
  <c r="R79" i="4"/>
  <c r="S79" i="4" s="1"/>
  <c r="AF79" i="4"/>
  <c r="AG79" i="4" s="1"/>
  <c r="AJ79" i="4" s="1"/>
  <c r="AK79" i="4" s="1"/>
  <c r="AL79" i="4" s="1"/>
  <c r="Y79" i="4"/>
  <c r="Z79" i="4" s="1"/>
  <c r="AC79" i="4" s="1"/>
  <c r="AD79" i="4" s="1"/>
  <c r="AE79" i="4" s="1"/>
  <c r="K79" i="4"/>
  <c r="L79" i="4" s="1"/>
  <c r="O79" i="4" s="1"/>
  <c r="P79" i="4" s="1"/>
  <c r="Q79" i="4" s="1"/>
  <c r="V79" i="4" l="1"/>
  <c r="W79" i="4" s="1"/>
  <c r="G80" i="4"/>
  <c r="C80" i="4"/>
  <c r="X79" i="4" l="1"/>
  <c r="AM79" i="4" s="1"/>
  <c r="F80" i="4"/>
  <c r="D80" i="4"/>
  <c r="E80" i="4"/>
  <c r="B80" i="4"/>
  <c r="H80" i="4"/>
  <c r="J80" i="4"/>
  <c r="I80" i="4"/>
  <c r="AH80" i="4" l="1"/>
  <c r="AI80" i="4" s="1"/>
  <c r="M80" i="4"/>
  <c r="N80" i="4" s="1"/>
  <c r="AA80" i="4"/>
  <c r="AB80" i="4" s="1"/>
  <c r="T80" i="4"/>
  <c r="U80" i="4" s="1"/>
  <c r="Y80" i="4"/>
  <c r="Z80" i="4" s="1"/>
  <c r="AC80" i="4" s="1"/>
  <c r="AD80" i="4" s="1"/>
  <c r="AE80" i="4" s="1"/>
  <c r="K80" i="4"/>
  <c r="L80" i="4" s="1"/>
  <c r="AF80" i="4"/>
  <c r="AG80" i="4" s="1"/>
  <c r="AJ80" i="4" s="1"/>
  <c r="AK80" i="4" s="1"/>
  <c r="AL80" i="4" s="1"/>
  <c r="R80" i="4"/>
  <c r="S80" i="4" s="1"/>
  <c r="V80" i="4" l="1"/>
  <c r="W80" i="4" s="1"/>
  <c r="X80" i="4" s="1"/>
  <c r="O80" i="4"/>
  <c r="P80" i="4" s="1"/>
  <c r="Q80" i="4" l="1"/>
  <c r="AM80" i="4" s="1"/>
  <c r="G81" i="4"/>
  <c r="C81" i="4"/>
  <c r="H81" i="4"/>
  <c r="B81" i="4"/>
  <c r="E81" i="4"/>
  <c r="D81" i="4"/>
  <c r="I81" i="4"/>
  <c r="F81" i="4"/>
  <c r="J81" i="4"/>
  <c r="M81" i="4" l="1"/>
  <c r="N81" i="4" s="1"/>
  <c r="AH81" i="4"/>
  <c r="AI81" i="4" s="1"/>
  <c r="AA81" i="4"/>
  <c r="AB81" i="4" s="1"/>
  <c r="T81" i="4"/>
  <c r="U81" i="4" s="1"/>
  <c r="AF81" i="4"/>
  <c r="AG81" i="4" s="1"/>
  <c r="R81" i="4"/>
  <c r="S81" i="4" s="1"/>
  <c r="K81" i="4"/>
  <c r="L81" i="4" s="1"/>
  <c r="O81" i="4" s="1"/>
  <c r="P81" i="4" s="1"/>
  <c r="Q81" i="4" s="1"/>
  <c r="Y81" i="4"/>
  <c r="Z81" i="4" s="1"/>
  <c r="AC81" i="4" s="1"/>
  <c r="AD81" i="4" s="1"/>
  <c r="AE81" i="4" s="1"/>
  <c r="V81" i="4" l="1"/>
  <c r="W81" i="4" s="1"/>
  <c r="AJ81" i="4"/>
  <c r="AK81" i="4" s="1"/>
  <c r="AL81" i="4" s="1"/>
  <c r="F82" i="4"/>
  <c r="D82" i="4"/>
  <c r="I82" i="4"/>
  <c r="X81" i="4" l="1"/>
  <c r="AM81" i="4" s="1"/>
  <c r="C82" i="4"/>
  <c r="G82" i="4"/>
  <c r="H82" i="4"/>
  <c r="J82" i="4"/>
  <c r="B82" i="4"/>
  <c r="E82" i="4"/>
  <c r="T82" i="4" l="1"/>
  <c r="U82" i="4" s="1"/>
  <c r="AH82" i="4"/>
  <c r="AI82" i="4" s="1"/>
  <c r="AA82" i="4"/>
  <c r="AB82" i="4" s="1"/>
  <c r="M82" i="4"/>
  <c r="N82" i="4" s="1"/>
  <c r="Y82" i="4"/>
  <c r="Z82" i="4" s="1"/>
  <c r="K82" i="4"/>
  <c r="L82" i="4" s="1"/>
  <c r="AF82" i="4"/>
  <c r="AG82" i="4" s="1"/>
  <c r="AJ82" i="4" s="1"/>
  <c r="AK82" i="4" s="1"/>
  <c r="AL82" i="4" s="1"/>
  <c r="R82" i="4"/>
  <c r="S82" i="4" s="1"/>
  <c r="V82" i="4" s="1"/>
  <c r="W82" i="4" s="1"/>
  <c r="X82" i="4" s="1"/>
  <c r="O82" i="4" l="1"/>
  <c r="P82" i="4" s="1"/>
  <c r="AC82" i="4"/>
  <c r="AD82" i="4" s="1"/>
  <c r="AE82" i="4" s="1"/>
  <c r="Q82" i="4" l="1"/>
  <c r="AM82" i="4" s="1"/>
  <c r="AP19" i="4" s="1"/>
  <c r="D83" i="4"/>
  <c r="F83" i="4"/>
  <c r="I83" i="4"/>
  <c r="J83" i="4"/>
  <c r="C83" i="4"/>
  <c r="G83" i="4"/>
  <c r="B83" i="4"/>
  <c r="E83" i="4"/>
  <c r="H83" i="4"/>
  <c r="R83" i="4" l="1"/>
  <c r="S83" i="4" s="1"/>
  <c r="AF83" i="4"/>
  <c r="AG83" i="4" s="1"/>
  <c r="Y83" i="4"/>
  <c r="Z83" i="4" s="1"/>
  <c r="K83" i="4"/>
  <c r="L83" i="4" s="1"/>
  <c r="AH83" i="4"/>
  <c r="AI83" i="4" s="1"/>
  <c r="AA83" i="4"/>
  <c r="AB83" i="4" s="1"/>
  <c r="M83" i="4"/>
  <c r="N83" i="4" s="1"/>
  <c r="T83" i="4"/>
  <c r="U83" i="4" s="1"/>
  <c r="O83" i="4" l="1"/>
  <c r="P83" i="4" s="1"/>
  <c r="AC83" i="4"/>
  <c r="AD83" i="4" s="1"/>
  <c r="AE83" i="4" s="1"/>
  <c r="AJ83" i="4"/>
  <c r="AK83" i="4" s="1"/>
  <c r="AL83" i="4" s="1"/>
  <c r="V83" i="4"/>
  <c r="W83" i="4" s="1"/>
  <c r="X83" i="4" s="1"/>
  <c r="Q83" i="4" l="1"/>
  <c r="AM83" i="4" s="1"/>
  <c r="G84" i="4"/>
  <c r="E84" i="4"/>
  <c r="B84" i="4"/>
  <c r="J84" i="4"/>
  <c r="D84" i="4"/>
  <c r="I84" i="4"/>
  <c r="H84" i="4"/>
  <c r="C84" i="4"/>
  <c r="F84" i="4"/>
  <c r="AA84" i="4" l="1"/>
  <c r="AB84" i="4" s="1"/>
  <c r="AH84" i="4"/>
  <c r="AI84" i="4" s="1"/>
  <c r="M84" i="4"/>
  <c r="N84" i="4" s="1"/>
  <c r="T84" i="4"/>
  <c r="U84" i="4" s="1"/>
  <c r="K84" i="4"/>
  <c r="L84" i="4" s="1"/>
  <c r="Y84" i="4"/>
  <c r="Z84" i="4" s="1"/>
  <c r="AC84" i="4" s="1"/>
  <c r="AD84" i="4" s="1"/>
  <c r="AE84" i="4" s="1"/>
  <c r="AF84" i="4"/>
  <c r="AG84" i="4" s="1"/>
  <c r="R84" i="4"/>
  <c r="S84" i="4" s="1"/>
  <c r="V84" i="4" l="1"/>
  <c r="W84" i="4" s="1"/>
  <c r="X84" i="4" s="1"/>
  <c r="AJ84" i="4"/>
  <c r="AK84" i="4" s="1"/>
  <c r="AL84" i="4" s="1"/>
  <c r="O84" i="4"/>
  <c r="P84" i="4" s="1"/>
  <c r="Q84" i="4" l="1"/>
  <c r="AM84" i="4" s="1"/>
  <c r="H85" i="4"/>
  <c r="G85" i="4"/>
  <c r="C85" i="4"/>
  <c r="I85" i="4"/>
  <c r="D85" i="4"/>
  <c r="J85" i="4"/>
  <c r="E85" i="4"/>
  <c r="B85" i="4"/>
  <c r="F85" i="4"/>
  <c r="T85" i="4" l="1"/>
  <c r="U85" i="4" s="1"/>
  <c r="M85" i="4"/>
  <c r="N85" i="4" s="1"/>
  <c r="AA85" i="4"/>
  <c r="AB85" i="4" s="1"/>
  <c r="AH85" i="4"/>
  <c r="AI85" i="4" s="1"/>
  <c r="AF85" i="4"/>
  <c r="AG85" i="4" s="1"/>
  <c r="AJ85" i="4" s="1"/>
  <c r="AK85" i="4" s="1"/>
  <c r="AL85" i="4" s="1"/>
  <c r="R85" i="4"/>
  <c r="S85" i="4" s="1"/>
  <c r="V85" i="4" s="1"/>
  <c r="W85" i="4" s="1"/>
  <c r="X85" i="4" s="1"/>
  <c r="K85" i="4"/>
  <c r="L85" i="4" s="1"/>
  <c r="O85" i="4" s="1"/>
  <c r="P85" i="4" s="1"/>
  <c r="Q85" i="4" s="1"/>
  <c r="Y85" i="4"/>
  <c r="Z85" i="4" s="1"/>
  <c r="F86" i="4" l="1"/>
  <c r="C86" i="4"/>
  <c r="AM85" i="4"/>
  <c r="G86" i="4"/>
  <c r="J86" i="4"/>
  <c r="B86" i="4"/>
  <c r="D86" i="4"/>
  <c r="AC85" i="4"/>
  <c r="AD85" i="4" s="1"/>
  <c r="AE85" i="4" s="1"/>
  <c r="H86" i="4"/>
  <c r="E86" i="4"/>
  <c r="K86" i="4" l="1"/>
  <c r="L86" i="4" s="1"/>
  <c r="Y86" i="4"/>
  <c r="Z86" i="4" s="1"/>
  <c r="R86" i="4"/>
  <c r="S86" i="4" s="1"/>
  <c r="AF86" i="4"/>
  <c r="AG86" i="4" s="1"/>
  <c r="AJ86" i="4" s="1"/>
  <c r="AK86" i="4" s="1"/>
  <c r="AL86" i="4" s="1"/>
  <c r="M86" i="4"/>
  <c r="N86" i="4" s="1"/>
  <c r="T86" i="4"/>
  <c r="U86" i="4" s="1"/>
  <c r="AH86" i="4"/>
  <c r="AI86" i="4" s="1"/>
  <c r="AA86" i="4"/>
  <c r="AB86" i="4" s="1"/>
  <c r="I86" i="4"/>
  <c r="V86" i="4" l="1"/>
  <c r="W86" i="4" s="1"/>
  <c r="X86" i="4" s="1"/>
  <c r="AC86" i="4"/>
  <c r="AD86" i="4" s="1"/>
  <c r="AE86" i="4" s="1"/>
  <c r="O86" i="4"/>
  <c r="P86" i="4" s="1"/>
  <c r="Q86" i="4" l="1"/>
  <c r="AM86" i="4" s="1"/>
  <c r="E87" i="4"/>
  <c r="H87" i="4"/>
  <c r="C87" i="4"/>
  <c r="B87" i="4"/>
  <c r="D87" i="4"/>
  <c r="J87" i="4"/>
  <c r="G87" i="4"/>
  <c r="F87" i="4"/>
  <c r="I87" i="4"/>
  <c r="R87" i="4" l="1"/>
  <c r="S87" i="4" s="1"/>
  <c r="AF87" i="4"/>
  <c r="AG87" i="4" s="1"/>
  <c r="AJ87" i="4" s="1"/>
  <c r="AK87" i="4" s="1"/>
  <c r="AL87" i="4" s="1"/>
  <c r="Y87" i="4"/>
  <c r="Z87" i="4" s="1"/>
  <c r="K87" i="4"/>
  <c r="L87" i="4" s="1"/>
  <c r="O87" i="4" s="1"/>
  <c r="P87" i="4" s="1"/>
  <c r="Q87" i="4" s="1"/>
  <c r="AA87" i="4"/>
  <c r="AB87" i="4" s="1"/>
  <c r="M87" i="4"/>
  <c r="N87" i="4" s="1"/>
  <c r="AH87" i="4"/>
  <c r="AI87" i="4" s="1"/>
  <c r="T87" i="4"/>
  <c r="U87" i="4" s="1"/>
  <c r="AC87" i="4" l="1"/>
  <c r="AD87" i="4" s="1"/>
  <c r="AE87" i="4" s="1"/>
  <c r="V87" i="4"/>
  <c r="W87" i="4" s="1"/>
  <c r="D88" i="4" s="1"/>
  <c r="X87" i="4" l="1"/>
  <c r="AM87" i="4" s="1"/>
  <c r="I88" i="4"/>
  <c r="B88" i="4"/>
  <c r="G88" i="4"/>
  <c r="J88" i="4"/>
  <c r="H88" i="4"/>
  <c r="E88" i="4"/>
  <c r="C88" i="4"/>
  <c r="F88" i="4"/>
  <c r="AH88" i="4" l="1"/>
  <c r="AI88" i="4" s="1"/>
  <c r="T88" i="4"/>
  <c r="U88" i="4" s="1"/>
  <c r="M88" i="4"/>
  <c r="N88" i="4" s="1"/>
  <c r="AA88" i="4"/>
  <c r="AB88" i="4" s="1"/>
  <c r="Y88" i="4"/>
  <c r="Z88" i="4" s="1"/>
  <c r="K88" i="4"/>
  <c r="L88" i="4" s="1"/>
  <c r="AF88" i="4"/>
  <c r="AG88" i="4" s="1"/>
  <c r="AJ88" i="4" s="1"/>
  <c r="AK88" i="4" s="1"/>
  <c r="AL88" i="4" s="1"/>
  <c r="R88" i="4"/>
  <c r="S88" i="4" s="1"/>
  <c r="V88" i="4" s="1"/>
  <c r="W88" i="4" s="1"/>
  <c r="X88" i="4" s="1"/>
  <c r="O88" i="4" l="1"/>
  <c r="P88" i="4" s="1"/>
  <c r="AC88" i="4"/>
  <c r="AD88" i="4" s="1"/>
  <c r="AE88" i="4" s="1"/>
  <c r="Q88" i="4" l="1"/>
  <c r="AM88" i="4" s="1"/>
  <c r="D89" i="4"/>
  <c r="H89" i="4"/>
  <c r="J89" i="4"/>
  <c r="G89" i="4"/>
  <c r="F89" i="4"/>
  <c r="I89" i="4"/>
  <c r="E89" i="4"/>
  <c r="B89" i="4"/>
  <c r="C89" i="4"/>
  <c r="M89" i="4" l="1"/>
  <c r="N89" i="4" s="1"/>
  <c r="AA89" i="4"/>
  <c r="AB89" i="4" s="1"/>
  <c r="T89" i="4"/>
  <c r="U89" i="4" s="1"/>
  <c r="AH89" i="4"/>
  <c r="AI89" i="4" s="1"/>
  <c r="AF89" i="4"/>
  <c r="AG89" i="4" s="1"/>
  <c r="R89" i="4"/>
  <c r="S89" i="4" s="1"/>
  <c r="V89" i="4" s="1"/>
  <c r="W89" i="4" s="1"/>
  <c r="X89" i="4" s="1"/>
  <c r="K89" i="4"/>
  <c r="L89" i="4" s="1"/>
  <c r="O89" i="4" s="1"/>
  <c r="P89" i="4" s="1"/>
  <c r="Q89" i="4" s="1"/>
  <c r="Y89" i="4"/>
  <c r="Z89" i="4" s="1"/>
  <c r="AJ89" i="4" l="1"/>
  <c r="AK89" i="4" s="1"/>
  <c r="AL89" i="4" s="1"/>
  <c r="AM89" i="4"/>
  <c r="C90" i="4"/>
  <c r="D90" i="4"/>
  <c r="J90" i="4"/>
  <c r="H90" i="4"/>
  <c r="F90" i="4"/>
  <c r="AC89" i="4"/>
  <c r="AD89" i="4" s="1"/>
  <c r="AE89" i="4" s="1"/>
  <c r="E90" i="4"/>
  <c r="I90" i="4"/>
  <c r="AA90" i="4" l="1"/>
  <c r="AB90" i="4" s="1"/>
  <c r="M90" i="4"/>
  <c r="N90" i="4" s="1"/>
  <c r="G90" i="4"/>
  <c r="AH90" i="4" s="1"/>
  <c r="AI90" i="4" s="1"/>
  <c r="B90" i="4"/>
  <c r="Y90" i="4" l="1"/>
  <c r="Z90" i="4" s="1"/>
  <c r="AC90" i="4" s="1"/>
  <c r="AD90" i="4" s="1"/>
  <c r="AE90" i="4" s="1"/>
  <c r="K90" i="4"/>
  <c r="L90" i="4" s="1"/>
  <c r="O90" i="4" s="1"/>
  <c r="P90" i="4" s="1"/>
  <c r="AF90" i="4"/>
  <c r="AG90" i="4" s="1"/>
  <c r="AJ90" i="4" s="1"/>
  <c r="AK90" i="4" s="1"/>
  <c r="AL90" i="4" s="1"/>
  <c r="R90" i="4"/>
  <c r="S90" i="4" s="1"/>
  <c r="T90" i="4"/>
  <c r="U90" i="4" s="1"/>
  <c r="V90" i="4" l="1"/>
  <c r="W90" i="4" s="1"/>
  <c r="Q90" i="4"/>
  <c r="F91" i="4"/>
  <c r="H91" i="4"/>
  <c r="J91" i="4"/>
  <c r="D91" i="4"/>
  <c r="I91" i="4"/>
  <c r="C91" i="4"/>
  <c r="E91" i="4"/>
  <c r="B91" i="4"/>
  <c r="R91" i="4" l="1"/>
  <c r="S91" i="4" s="1"/>
  <c r="Y91" i="4"/>
  <c r="Z91" i="4" s="1"/>
  <c r="AF91" i="4"/>
  <c r="AG91" i="4" s="1"/>
  <c r="K91" i="4"/>
  <c r="L91" i="4" s="1"/>
  <c r="AA91" i="4"/>
  <c r="AB91" i="4" s="1"/>
  <c r="M91" i="4"/>
  <c r="N91" i="4" s="1"/>
  <c r="X90" i="4"/>
  <c r="AM90" i="4" s="1"/>
  <c r="G91" i="4"/>
  <c r="AH91" i="4" s="1"/>
  <c r="AI91" i="4" s="1"/>
  <c r="AJ91" i="4" l="1"/>
  <c r="AK91" i="4" s="1"/>
  <c r="AL91" i="4" s="1"/>
  <c r="AC91" i="4"/>
  <c r="AD91" i="4" s="1"/>
  <c r="AE91" i="4" s="1"/>
  <c r="O91" i="4"/>
  <c r="P91" i="4" s="1"/>
  <c r="T91" i="4"/>
  <c r="U91" i="4" s="1"/>
  <c r="V91" i="4" s="1"/>
  <c r="W91" i="4" s="1"/>
  <c r="X91" i="4" s="1"/>
  <c r="G92" i="4" l="1"/>
  <c r="Q91" i="4"/>
  <c r="AM91" i="4" s="1"/>
  <c r="C92" i="4"/>
  <c r="D92" i="4"/>
  <c r="I92" i="4"/>
  <c r="H92" i="4"/>
  <c r="J92" i="4"/>
  <c r="F92" i="4"/>
  <c r="B92" i="4"/>
  <c r="E92" i="4"/>
  <c r="AA92" i="4" l="1"/>
  <c r="AB92" i="4" s="1"/>
  <c r="T92" i="4"/>
  <c r="U92" i="4" s="1"/>
  <c r="M92" i="4"/>
  <c r="N92" i="4" s="1"/>
  <c r="AH92" i="4"/>
  <c r="AI92" i="4" s="1"/>
  <c r="K92" i="4"/>
  <c r="L92" i="4" s="1"/>
  <c r="AF92" i="4"/>
  <c r="AG92" i="4" s="1"/>
  <c r="Y92" i="4"/>
  <c r="Z92" i="4" s="1"/>
  <c r="AC92" i="4" s="1"/>
  <c r="AD92" i="4" s="1"/>
  <c r="AE92" i="4" s="1"/>
  <c r="R92" i="4"/>
  <c r="S92" i="4" s="1"/>
  <c r="V92" i="4" s="1"/>
  <c r="W92" i="4" s="1"/>
  <c r="X92" i="4" s="1"/>
  <c r="AJ92" i="4" l="1"/>
  <c r="AK92" i="4" s="1"/>
  <c r="AL92" i="4" s="1"/>
  <c r="O92" i="4"/>
  <c r="P92" i="4" s="1"/>
  <c r="Q92" i="4" l="1"/>
  <c r="AM92" i="4" s="1"/>
  <c r="AP20" i="4" s="1"/>
  <c r="F93" i="4"/>
  <c r="J93" i="4"/>
  <c r="G93" i="4"/>
  <c r="H93" i="4"/>
  <c r="I93" i="4"/>
  <c r="C93" i="4"/>
  <c r="D93" i="4"/>
  <c r="E93" i="4"/>
  <c r="B93" i="4"/>
  <c r="K93" i="4" l="1"/>
  <c r="L93" i="4" s="1"/>
  <c r="O93" i="4" s="1"/>
  <c r="P93" i="4" s="1"/>
  <c r="Q93" i="4" s="1"/>
  <c r="R93" i="4"/>
  <c r="S93" i="4" s="1"/>
  <c r="AF93" i="4"/>
  <c r="AG93" i="4" s="1"/>
  <c r="AJ93" i="4" s="1"/>
  <c r="AK93" i="4" s="1"/>
  <c r="AL93" i="4" s="1"/>
  <c r="Y93" i="4"/>
  <c r="Z93" i="4" s="1"/>
  <c r="T93" i="4"/>
  <c r="U93" i="4" s="1"/>
  <c r="M93" i="4"/>
  <c r="N93" i="4" s="1"/>
  <c r="AA93" i="4"/>
  <c r="AB93" i="4" s="1"/>
  <c r="AH93" i="4"/>
  <c r="AI93" i="4" s="1"/>
  <c r="AC93" i="4" l="1"/>
  <c r="AD93" i="4" s="1"/>
  <c r="AE93" i="4" s="1"/>
  <c r="AM93" i="4" s="1"/>
  <c r="F94" i="4"/>
  <c r="V93" i="4"/>
  <c r="W93" i="4" s="1"/>
  <c r="X93" i="4" s="1"/>
  <c r="E94" i="4" l="1"/>
  <c r="H94" i="4"/>
  <c r="D94" i="4"/>
  <c r="C94" i="4"/>
  <c r="J94" i="4"/>
  <c r="I94" i="4"/>
  <c r="B94" i="4"/>
  <c r="G94" i="4"/>
  <c r="R94" i="4" l="1"/>
  <c r="S94" i="4" s="1"/>
  <c r="AF94" i="4"/>
  <c r="AG94" i="4" s="1"/>
  <c r="AJ94" i="4" s="1"/>
  <c r="AK94" i="4" s="1"/>
  <c r="AL94" i="4" s="1"/>
  <c r="Y94" i="4"/>
  <c r="Z94" i="4" s="1"/>
  <c r="AC94" i="4" s="1"/>
  <c r="AD94" i="4" s="1"/>
  <c r="AE94" i="4" s="1"/>
  <c r="K94" i="4"/>
  <c r="L94" i="4" s="1"/>
  <c r="M94" i="4"/>
  <c r="N94" i="4" s="1"/>
  <c r="AH94" i="4"/>
  <c r="AI94" i="4" s="1"/>
  <c r="T94" i="4"/>
  <c r="U94" i="4" s="1"/>
  <c r="AA94" i="4"/>
  <c r="AB94" i="4" s="1"/>
  <c r="O94" i="4" l="1"/>
  <c r="P94" i="4" s="1"/>
  <c r="V94" i="4"/>
  <c r="W94" i="4" s="1"/>
  <c r="X94" i="4" s="1"/>
  <c r="Q94" i="4" l="1"/>
  <c r="AM94" i="4" s="1"/>
  <c r="F95" i="4"/>
  <c r="B95" i="4"/>
  <c r="H95" i="4"/>
  <c r="G95" i="4"/>
  <c r="E95" i="4"/>
  <c r="I95" i="4"/>
  <c r="J95" i="4"/>
  <c r="C95" i="4"/>
  <c r="D95" i="4"/>
  <c r="AA95" i="4" l="1"/>
  <c r="AB95" i="4" s="1"/>
  <c r="AH95" i="4"/>
  <c r="AI95" i="4" s="1"/>
  <c r="M95" i="4"/>
  <c r="N95" i="4" s="1"/>
  <c r="T95" i="4"/>
  <c r="U95" i="4" s="1"/>
  <c r="K95" i="4"/>
  <c r="L95" i="4" s="1"/>
  <c r="O95" i="4" s="1"/>
  <c r="P95" i="4" s="1"/>
  <c r="Q95" i="4" s="1"/>
  <c r="AF95" i="4"/>
  <c r="AG95" i="4" s="1"/>
  <c r="AJ95" i="4" s="1"/>
  <c r="AK95" i="4" s="1"/>
  <c r="AL95" i="4" s="1"/>
  <c r="R95" i="4"/>
  <c r="S95" i="4" s="1"/>
  <c r="Y95" i="4"/>
  <c r="Z95" i="4" s="1"/>
  <c r="AC95" i="4" s="1"/>
  <c r="AD95" i="4" s="1"/>
  <c r="AE95" i="4" s="1"/>
  <c r="I96" i="4" l="1"/>
  <c r="F96" i="4"/>
  <c r="H96" i="4"/>
  <c r="G96" i="4"/>
  <c r="E96" i="4"/>
  <c r="B96" i="4"/>
  <c r="C96" i="4"/>
  <c r="V95" i="4"/>
  <c r="W95" i="4" s="1"/>
  <c r="J96" i="4"/>
  <c r="T96" i="4" l="1"/>
  <c r="U96" i="4" s="1"/>
  <c r="M96" i="4"/>
  <c r="N96" i="4" s="1"/>
  <c r="AA96" i="4"/>
  <c r="AB96" i="4" s="1"/>
  <c r="AH96" i="4"/>
  <c r="AI96" i="4" s="1"/>
  <c r="R96" i="4"/>
  <c r="S96" i="4" s="1"/>
  <c r="V96" i="4" s="1"/>
  <c r="W96" i="4" s="1"/>
  <c r="X96" i="4" s="1"/>
  <c r="X95" i="4"/>
  <c r="AM95" i="4" s="1"/>
  <c r="D96" i="4"/>
  <c r="K96" i="4" s="1"/>
  <c r="L96" i="4" s="1"/>
  <c r="O96" i="4" s="1"/>
  <c r="P96" i="4" s="1"/>
  <c r="Q96" i="4" l="1"/>
  <c r="B97" i="4"/>
  <c r="G97" i="4"/>
  <c r="H97" i="4"/>
  <c r="AF96" i="4"/>
  <c r="AG96" i="4" s="1"/>
  <c r="AJ96" i="4" s="1"/>
  <c r="AK96" i="4" s="1"/>
  <c r="AL96" i="4" s="1"/>
  <c r="Y96" i="4"/>
  <c r="Z96" i="4" s="1"/>
  <c r="AC96" i="4" s="1"/>
  <c r="AD96" i="4" s="1"/>
  <c r="AE96" i="4" s="1"/>
  <c r="F97" i="4" l="1"/>
  <c r="E97" i="4"/>
  <c r="R97" i="4"/>
  <c r="S97" i="4" s="1"/>
  <c r="Y97" i="4"/>
  <c r="Z97" i="4" s="1"/>
  <c r="I97" i="4"/>
  <c r="D97" i="4"/>
  <c r="C97" i="4"/>
  <c r="AF97" i="4" s="1"/>
  <c r="AG97" i="4" s="1"/>
  <c r="J97" i="4"/>
  <c r="AM96" i="4"/>
  <c r="V97" i="4" l="1"/>
  <c r="W97" i="4" s="1"/>
  <c r="X97" i="4" s="1"/>
  <c r="M97" i="4"/>
  <c r="N97" i="4" s="1"/>
  <c r="T97" i="4"/>
  <c r="U97" i="4" s="1"/>
  <c r="AH97" i="4"/>
  <c r="AI97" i="4" s="1"/>
  <c r="AJ97" i="4" s="1"/>
  <c r="AK97" i="4" s="1"/>
  <c r="AL97" i="4" s="1"/>
  <c r="AA97" i="4"/>
  <c r="AB97" i="4" s="1"/>
  <c r="AC97" i="4" s="1"/>
  <c r="AD97" i="4" s="1"/>
  <c r="AE97" i="4" s="1"/>
  <c r="K97" i="4"/>
  <c r="L97" i="4" s="1"/>
  <c r="O97" i="4" l="1"/>
  <c r="P97" i="4" s="1"/>
  <c r="Q97" i="4" l="1"/>
  <c r="AM97" i="4" s="1"/>
  <c r="G98" i="4"/>
  <c r="H98" i="4"/>
  <c r="B98" i="4"/>
  <c r="J98" i="4"/>
  <c r="D98" i="4"/>
  <c r="I98" i="4"/>
  <c r="F98" i="4"/>
  <c r="E98" i="4"/>
  <c r="C98" i="4"/>
  <c r="Y98" i="4" l="1"/>
  <c r="Z98" i="4" s="1"/>
  <c r="AC98" i="4" s="1"/>
  <c r="AD98" i="4" s="1"/>
  <c r="AE98" i="4" s="1"/>
  <c r="AF98" i="4"/>
  <c r="AG98" i="4" s="1"/>
  <c r="K98" i="4"/>
  <c r="L98" i="4" s="1"/>
  <c r="R98" i="4"/>
  <c r="S98" i="4" s="1"/>
  <c r="AH98" i="4"/>
  <c r="AI98" i="4" s="1"/>
  <c r="T98" i="4"/>
  <c r="U98" i="4" s="1"/>
  <c r="M98" i="4"/>
  <c r="N98" i="4" s="1"/>
  <c r="AA98" i="4"/>
  <c r="AB98" i="4" s="1"/>
  <c r="V98" i="4" l="1"/>
  <c r="W98" i="4" s="1"/>
  <c r="X98" i="4" s="1"/>
  <c r="O98" i="4"/>
  <c r="P98" i="4" s="1"/>
  <c r="AJ98" i="4"/>
  <c r="AK98" i="4" s="1"/>
  <c r="AL98" i="4" s="1"/>
  <c r="Q98" i="4" l="1"/>
  <c r="AM98" i="4" s="1"/>
  <c r="D99" i="4"/>
  <c r="G99" i="4"/>
  <c r="C99" i="4"/>
  <c r="F99" i="4"/>
  <c r="E99" i="4"/>
  <c r="I99" i="4"/>
  <c r="B99" i="4"/>
  <c r="J99" i="4"/>
  <c r="H99" i="4"/>
  <c r="R99" i="4" l="1"/>
  <c r="S99" i="4" s="1"/>
  <c r="Y99" i="4"/>
  <c r="Z99" i="4" s="1"/>
  <c r="AF99" i="4"/>
  <c r="AG99" i="4" s="1"/>
  <c r="K99" i="4"/>
  <c r="L99" i="4" s="1"/>
  <c r="AH99" i="4"/>
  <c r="AI99" i="4" s="1"/>
  <c r="AA99" i="4"/>
  <c r="AB99" i="4" s="1"/>
  <c r="M99" i="4"/>
  <c r="N99" i="4" s="1"/>
  <c r="T99" i="4"/>
  <c r="U99" i="4" s="1"/>
  <c r="AC99" i="4" l="1"/>
  <c r="AD99" i="4" s="1"/>
  <c r="AE99" i="4" s="1"/>
  <c r="O99" i="4"/>
  <c r="P99" i="4" s="1"/>
  <c r="AJ99" i="4"/>
  <c r="AK99" i="4" s="1"/>
  <c r="AL99" i="4" s="1"/>
  <c r="V99" i="4"/>
  <c r="W99" i="4" s="1"/>
  <c r="X99" i="4" s="1"/>
  <c r="Q99" i="4" l="1"/>
  <c r="AM99" i="4" s="1"/>
  <c r="E100" i="4"/>
  <c r="J100" i="4"/>
  <c r="B100" i="4"/>
  <c r="C100" i="4"/>
  <c r="F100" i="4"/>
  <c r="H100" i="4"/>
  <c r="D100" i="4"/>
  <c r="I100" i="4"/>
  <c r="G100" i="4"/>
  <c r="AA100" i="4" l="1"/>
  <c r="AB100" i="4" s="1"/>
  <c r="AH100" i="4"/>
  <c r="AI100" i="4" s="1"/>
  <c r="M100" i="4"/>
  <c r="N100" i="4" s="1"/>
  <c r="T100" i="4"/>
  <c r="U100" i="4" s="1"/>
  <c r="K100" i="4"/>
  <c r="L100" i="4" s="1"/>
  <c r="R100" i="4"/>
  <c r="S100" i="4" s="1"/>
  <c r="AF100" i="4"/>
  <c r="AG100" i="4" s="1"/>
  <c r="AJ100" i="4" s="1"/>
  <c r="AK100" i="4" s="1"/>
  <c r="AL100" i="4" s="1"/>
  <c r="Y100" i="4"/>
  <c r="Z100" i="4" s="1"/>
  <c r="AC100" i="4" s="1"/>
  <c r="AD100" i="4" s="1"/>
  <c r="AE100" i="4" s="1"/>
  <c r="V100" i="4" l="1"/>
  <c r="W100" i="4" s="1"/>
  <c r="X100" i="4" s="1"/>
  <c r="O100" i="4"/>
  <c r="P100" i="4" s="1"/>
  <c r="Q100" i="4" l="1"/>
  <c r="AM100" i="4" s="1"/>
  <c r="H101" i="4"/>
  <c r="D101" i="4"/>
  <c r="I101" i="4"/>
  <c r="C101" i="4"/>
  <c r="F101" i="4"/>
  <c r="J101" i="4"/>
  <c r="G101" i="4"/>
  <c r="B101" i="4"/>
  <c r="E101" i="4"/>
  <c r="T101" i="4" l="1"/>
  <c r="U101" i="4" s="1"/>
  <c r="AA101" i="4"/>
  <c r="AB101" i="4" s="1"/>
  <c r="M101" i="4"/>
  <c r="N101" i="4" s="1"/>
  <c r="AH101" i="4"/>
  <c r="AI101" i="4" s="1"/>
  <c r="K101" i="4"/>
  <c r="L101" i="4" s="1"/>
  <c r="O101" i="4" s="1"/>
  <c r="P101" i="4" s="1"/>
  <c r="Q101" i="4" s="1"/>
  <c r="Y101" i="4"/>
  <c r="Z101" i="4" s="1"/>
  <c r="AC101" i="4" s="1"/>
  <c r="AD101" i="4" s="1"/>
  <c r="AE101" i="4" s="1"/>
  <c r="R101" i="4"/>
  <c r="S101" i="4" s="1"/>
  <c r="V101" i="4" s="1"/>
  <c r="W101" i="4" s="1"/>
  <c r="X101" i="4" s="1"/>
  <c r="AF101" i="4"/>
  <c r="AG101" i="4" s="1"/>
  <c r="F102" i="4" l="1"/>
  <c r="H102" i="4"/>
  <c r="D102" i="4"/>
  <c r="E102" i="4"/>
  <c r="AM101" i="4"/>
  <c r="G102" i="4"/>
  <c r="AJ101" i="4"/>
  <c r="AK101" i="4" s="1"/>
  <c r="AL101" i="4" s="1"/>
  <c r="J102" i="4"/>
  <c r="M102" i="4" l="1"/>
  <c r="N102" i="4" s="1"/>
  <c r="T102" i="4"/>
  <c r="U102" i="4" s="1"/>
  <c r="AH102" i="4"/>
  <c r="AI102" i="4" s="1"/>
  <c r="AA102" i="4"/>
  <c r="AB102" i="4" s="1"/>
  <c r="B102" i="4"/>
  <c r="C102" i="4"/>
  <c r="I102" i="4"/>
  <c r="R102" i="4" l="1"/>
  <c r="S102" i="4" s="1"/>
  <c r="V102" i="4" s="1"/>
  <c r="W102" i="4" s="1"/>
  <c r="X102" i="4" s="1"/>
  <c r="K102" i="4"/>
  <c r="L102" i="4" s="1"/>
  <c r="O102" i="4" s="1"/>
  <c r="P102" i="4" s="1"/>
  <c r="AF102" i="4"/>
  <c r="AG102" i="4" s="1"/>
  <c r="AJ102" i="4" s="1"/>
  <c r="AK102" i="4" s="1"/>
  <c r="AL102" i="4" s="1"/>
  <c r="Y102" i="4"/>
  <c r="Z102" i="4" s="1"/>
  <c r="AC102" i="4" s="1"/>
  <c r="AD102" i="4" s="1"/>
  <c r="AE102" i="4" s="1"/>
  <c r="B103" i="4"/>
  <c r="Q102" i="4" l="1"/>
  <c r="AM102" i="4" s="1"/>
  <c r="AP21" i="4" s="1"/>
  <c r="D103" i="4"/>
  <c r="E103" i="4"/>
  <c r="F103" i="4"/>
  <c r="H103" i="4"/>
  <c r="J103" i="4"/>
  <c r="G103" i="4"/>
  <c r="I103" i="4"/>
  <c r="C103" i="4"/>
  <c r="AF103" i="4" s="1"/>
  <c r="AG103" i="4" s="1"/>
  <c r="Y103" i="4" l="1"/>
  <c r="Z103" i="4" s="1"/>
  <c r="M103" i="4"/>
  <c r="N103" i="4" s="1"/>
  <c r="AA103" i="4"/>
  <c r="AB103" i="4" s="1"/>
  <c r="AH103" i="4"/>
  <c r="AI103" i="4" s="1"/>
  <c r="AJ103" i="4" s="1"/>
  <c r="AK103" i="4" s="1"/>
  <c r="AL103" i="4" s="1"/>
  <c r="T103" i="4"/>
  <c r="U103" i="4" s="1"/>
  <c r="R103" i="4"/>
  <c r="S103" i="4" s="1"/>
  <c r="V103" i="4" s="1"/>
  <c r="W103" i="4" s="1"/>
  <c r="X103" i="4" s="1"/>
  <c r="K103" i="4"/>
  <c r="L103" i="4" s="1"/>
  <c r="O103" i="4" s="1"/>
  <c r="P103" i="4" s="1"/>
  <c r="Q103" i="4" l="1"/>
  <c r="AC103" i="4"/>
  <c r="AD103" i="4" s="1"/>
  <c r="AE103" i="4" s="1"/>
  <c r="C104" i="4"/>
  <c r="J104" i="4" l="1"/>
  <c r="H104" i="4"/>
  <c r="F104" i="4"/>
  <c r="G104" i="4"/>
  <c r="D104" i="4"/>
  <c r="E104" i="4"/>
  <c r="B104" i="4"/>
  <c r="I104" i="4"/>
  <c r="AM103" i="4"/>
  <c r="T104" i="4" l="1"/>
  <c r="U104" i="4" s="1"/>
  <c r="AH104" i="4"/>
  <c r="AI104" i="4" s="1"/>
  <c r="M104" i="4"/>
  <c r="N104" i="4" s="1"/>
  <c r="AA104" i="4"/>
  <c r="AB104" i="4" s="1"/>
  <c r="Y104" i="4"/>
  <c r="Z104" i="4" s="1"/>
  <c r="AC104" i="4" s="1"/>
  <c r="AD104" i="4" s="1"/>
  <c r="AE104" i="4" s="1"/>
  <c r="R104" i="4"/>
  <c r="S104" i="4" s="1"/>
  <c r="V104" i="4" s="1"/>
  <c r="W104" i="4" s="1"/>
  <c r="X104" i="4" s="1"/>
  <c r="AF104" i="4"/>
  <c r="AG104" i="4" s="1"/>
  <c r="AJ104" i="4" s="1"/>
  <c r="AK104" i="4" s="1"/>
  <c r="AL104" i="4" s="1"/>
  <c r="K104" i="4"/>
  <c r="L104" i="4" s="1"/>
  <c r="O104" i="4" s="1"/>
  <c r="P104" i="4" s="1"/>
  <c r="H105" i="4" l="1"/>
  <c r="G105" i="4"/>
  <c r="I105" i="4"/>
  <c r="J105" i="4"/>
  <c r="F105" i="4"/>
  <c r="D105" i="4"/>
  <c r="Q104" i="4"/>
  <c r="AM104" i="4" s="1"/>
  <c r="C105" i="4"/>
  <c r="B105" i="4"/>
  <c r="E105" i="4"/>
  <c r="M105" i="4" l="1"/>
  <c r="N105" i="4" s="1"/>
  <c r="AH105" i="4"/>
  <c r="AI105" i="4" s="1"/>
  <c r="T105" i="4"/>
  <c r="U105" i="4" s="1"/>
  <c r="AA105" i="4"/>
  <c r="AB105" i="4" s="1"/>
  <c r="AF105" i="4"/>
  <c r="AG105" i="4" s="1"/>
  <c r="Y105" i="4"/>
  <c r="Z105" i="4" s="1"/>
  <c r="AC105" i="4" s="1"/>
  <c r="AD105" i="4" s="1"/>
  <c r="AE105" i="4" s="1"/>
  <c r="R105" i="4"/>
  <c r="S105" i="4" s="1"/>
  <c r="V105" i="4" s="1"/>
  <c r="W105" i="4" s="1"/>
  <c r="X105" i="4" s="1"/>
  <c r="K105" i="4"/>
  <c r="L105" i="4" s="1"/>
  <c r="O105" i="4" s="1"/>
  <c r="P105" i="4" s="1"/>
  <c r="Q105" i="4" s="1"/>
  <c r="AJ105" i="4" l="1"/>
  <c r="AK105" i="4" s="1"/>
  <c r="AL105" i="4" s="1"/>
  <c r="AM105" i="4" s="1"/>
  <c r="C106" i="4"/>
  <c r="G106" i="4"/>
  <c r="I106" i="4"/>
  <c r="E106" i="4"/>
  <c r="F106" i="4" l="1"/>
  <c r="D106" i="4"/>
  <c r="H106" i="4"/>
  <c r="B106" i="4"/>
  <c r="J106" i="4"/>
  <c r="M106" i="4" l="1"/>
  <c r="N106" i="4" s="1"/>
  <c r="Y106" i="4"/>
  <c r="Z106" i="4" s="1"/>
  <c r="AC106" i="4" s="1"/>
  <c r="AD106" i="4" s="1"/>
  <c r="AE106" i="4" s="1"/>
  <c r="AF106" i="4"/>
  <c r="AG106" i="4" s="1"/>
  <c r="AJ106" i="4" s="1"/>
  <c r="AK106" i="4" s="1"/>
  <c r="AL106" i="4" s="1"/>
  <c r="R106" i="4"/>
  <c r="S106" i="4" s="1"/>
  <c r="V106" i="4" s="1"/>
  <c r="W106" i="4" s="1"/>
  <c r="X106" i="4" s="1"/>
  <c r="K106" i="4"/>
  <c r="L106" i="4" s="1"/>
  <c r="O106" i="4" s="1"/>
  <c r="P106" i="4" s="1"/>
  <c r="D107" i="4" s="1"/>
  <c r="AA106" i="4"/>
  <c r="AB106" i="4" s="1"/>
  <c r="T106" i="4"/>
  <c r="U106" i="4" s="1"/>
  <c r="AH106" i="4"/>
  <c r="AI106" i="4" s="1"/>
  <c r="Q106" i="4" l="1"/>
  <c r="AM106" i="4" s="1"/>
  <c r="C107" i="4"/>
  <c r="E107" i="4"/>
  <c r="I107" i="4"/>
  <c r="G107" i="4"/>
  <c r="B107" i="4"/>
  <c r="J107" i="4"/>
  <c r="H107" i="4"/>
  <c r="F107" i="4"/>
  <c r="R107" i="4" l="1"/>
  <c r="S107" i="4" s="1"/>
  <c r="Y107" i="4"/>
  <c r="Z107" i="4" s="1"/>
  <c r="AF107" i="4"/>
  <c r="AG107" i="4" s="1"/>
  <c r="K107" i="4"/>
  <c r="L107" i="4" s="1"/>
  <c r="O107" i="4" s="1"/>
  <c r="P107" i="4" s="1"/>
  <c r="AH107" i="4"/>
  <c r="AI107" i="4" s="1"/>
  <c r="T107" i="4"/>
  <c r="U107" i="4" s="1"/>
  <c r="AA107" i="4"/>
  <c r="AB107" i="4" s="1"/>
  <c r="M107" i="4"/>
  <c r="N107" i="4" s="1"/>
  <c r="AC107" i="4" l="1"/>
  <c r="AD107" i="4" s="1"/>
  <c r="AE107" i="4" s="1"/>
  <c r="Q107" i="4"/>
  <c r="AJ107" i="4"/>
  <c r="AK107" i="4" s="1"/>
  <c r="AL107" i="4" s="1"/>
  <c r="F108" i="4"/>
  <c r="V107" i="4"/>
  <c r="W107" i="4" s="1"/>
  <c r="G108" i="4" s="1"/>
  <c r="D108" i="4" l="1"/>
  <c r="X107" i="4"/>
  <c r="AM107" i="4" s="1"/>
  <c r="C108" i="4"/>
  <c r="H108" i="4"/>
  <c r="E108" i="4"/>
  <c r="I108" i="4"/>
  <c r="B108" i="4"/>
  <c r="J108" i="4"/>
  <c r="K108" i="4" l="1"/>
  <c r="L108" i="4" s="1"/>
  <c r="R108" i="4"/>
  <c r="S108" i="4" s="1"/>
  <c r="V108" i="4" s="1"/>
  <c r="W108" i="4" s="1"/>
  <c r="X108" i="4" s="1"/>
  <c r="AF108" i="4"/>
  <c r="AG108" i="4" s="1"/>
  <c r="AJ108" i="4" s="1"/>
  <c r="AK108" i="4" s="1"/>
  <c r="AL108" i="4" s="1"/>
  <c r="Y108" i="4"/>
  <c r="Z108" i="4" s="1"/>
  <c r="AA108" i="4"/>
  <c r="AB108" i="4" s="1"/>
  <c r="AH108" i="4"/>
  <c r="AI108" i="4" s="1"/>
  <c r="T108" i="4"/>
  <c r="U108" i="4" s="1"/>
  <c r="M108" i="4"/>
  <c r="N108" i="4" s="1"/>
  <c r="AC108" i="4" l="1"/>
  <c r="AD108" i="4" s="1"/>
  <c r="AE108" i="4" s="1"/>
  <c r="O108" i="4"/>
  <c r="P108" i="4" s="1"/>
  <c r="Q108" i="4" l="1"/>
  <c r="AM108" i="4" s="1"/>
  <c r="G109" i="4"/>
  <c r="F109" i="4"/>
  <c r="H109" i="4"/>
  <c r="J109" i="4"/>
  <c r="D109" i="4"/>
  <c r="B109" i="4"/>
  <c r="E109" i="4"/>
  <c r="C109" i="4"/>
  <c r="I109" i="4"/>
  <c r="K109" i="4" l="1"/>
  <c r="L109" i="4" s="1"/>
  <c r="Y109" i="4"/>
  <c r="Z109" i="4" s="1"/>
  <c r="AC109" i="4" s="1"/>
  <c r="AD109" i="4" s="1"/>
  <c r="AE109" i="4" s="1"/>
  <c r="AF109" i="4"/>
  <c r="AG109" i="4" s="1"/>
  <c r="R109" i="4"/>
  <c r="S109" i="4" s="1"/>
  <c r="V109" i="4" s="1"/>
  <c r="W109" i="4" s="1"/>
  <c r="X109" i="4" s="1"/>
  <c r="T109" i="4"/>
  <c r="U109" i="4" s="1"/>
  <c r="AA109" i="4"/>
  <c r="AB109" i="4" s="1"/>
  <c r="AH109" i="4"/>
  <c r="AI109" i="4" s="1"/>
  <c r="M109" i="4"/>
  <c r="N109" i="4" s="1"/>
  <c r="AJ109" i="4" l="1"/>
  <c r="AK109" i="4" s="1"/>
  <c r="AL109" i="4" s="1"/>
  <c r="O109" i="4"/>
  <c r="P109" i="4" s="1"/>
  <c r="Q109" i="4" l="1"/>
  <c r="AM109" i="4" s="1"/>
  <c r="E110" i="4"/>
  <c r="C110" i="4"/>
  <c r="B110" i="4"/>
  <c r="J110" i="4"/>
  <c r="D110" i="4"/>
  <c r="H110" i="4"/>
  <c r="F110" i="4"/>
  <c r="G110" i="4"/>
  <c r="I110" i="4"/>
  <c r="R110" i="4" l="1"/>
  <c r="S110" i="4" s="1"/>
  <c r="V110" i="4" s="1"/>
  <c r="W110" i="4" s="1"/>
  <c r="X110" i="4" s="1"/>
  <c r="AF110" i="4"/>
  <c r="AG110" i="4" s="1"/>
  <c r="AJ110" i="4" s="1"/>
  <c r="AK110" i="4" s="1"/>
  <c r="AL110" i="4" s="1"/>
  <c r="Y110" i="4"/>
  <c r="Z110" i="4" s="1"/>
  <c r="AC110" i="4" s="1"/>
  <c r="AD110" i="4" s="1"/>
  <c r="AE110" i="4" s="1"/>
  <c r="K110" i="4"/>
  <c r="L110" i="4" s="1"/>
  <c r="O110" i="4" s="1"/>
  <c r="P110" i="4" s="1"/>
  <c r="Q110" i="4" s="1"/>
  <c r="AM110" i="4" s="1"/>
  <c r="B111" i="4"/>
  <c r="M110" i="4"/>
  <c r="N110" i="4" s="1"/>
  <c r="T110" i="4"/>
  <c r="U110" i="4" s="1"/>
  <c r="AH110" i="4"/>
  <c r="AI110" i="4" s="1"/>
  <c r="AA110" i="4"/>
  <c r="AB110" i="4" s="1"/>
  <c r="I111" i="4"/>
  <c r="C111" i="4" l="1"/>
  <c r="D111" i="4"/>
  <c r="J111" i="4"/>
  <c r="E111" i="4"/>
  <c r="H111" i="4"/>
  <c r="G111" i="4"/>
  <c r="F111" i="4"/>
  <c r="Y111" i="4" l="1"/>
  <c r="Z111" i="4" s="1"/>
  <c r="AC111" i="4" s="1"/>
  <c r="AD111" i="4" s="1"/>
  <c r="AE111" i="4" s="1"/>
  <c r="R111" i="4"/>
  <c r="S111" i="4" s="1"/>
  <c r="AF111" i="4"/>
  <c r="AG111" i="4" s="1"/>
  <c r="AJ111" i="4" s="1"/>
  <c r="AK111" i="4" s="1"/>
  <c r="AL111" i="4" s="1"/>
  <c r="M111" i="4"/>
  <c r="N111" i="4" s="1"/>
  <c r="AA111" i="4"/>
  <c r="AB111" i="4" s="1"/>
  <c r="AH111" i="4"/>
  <c r="AI111" i="4" s="1"/>
  <c r="T111" i="4"/>
  <c r="U111" i="4" s="1"/>
  <c r="K111" i="4"/>
  <c r="L111" i="4" s="1"/>
  <c r="O111" i="4" s="1"/>
  <c r="P111" i="4" s="1"/>
  <c r="F112" i="4" l="1"/>
  <c r="H112" i="4"/>
  <c r="Q111" i="4"/>
  <c r="AM111" i="4" s="1"/>
  <c r="B112" i="4"/>
  <c r="I112" i="4"/>
  <c r="D112" i="4"/>
  <c r="J112" i="4"/>
  <c r="V111" i="4"/>
  <c r="W111" i="4" s="1"/>
  <c r="X111" i="4" s="1"/>
  <c r="G112" i="4"/>
  <c r="C112" i="4"/>
  <c r="AF112" i="4" l="1"/>
  <c r="AG112" i="4" s="1"/>
  <c r="R112" i="4"/>
  <c r="S112" i="4" s="1"/>
  <c r="Y112" i="4"/>
  <c r="Z112" i="4" s="1"/>
  <c r="K112" i="4"/>
  <c r="L112" i="4" s="1"/>
  <c r="E112" i="4"/>
  <c r="T112" i="4" l="1"/>
  <c r="U112" i="4" s="1"/>
  <c r="AH112" i="4"/>
  <c r="AI112" i="4" s="1"/>
  <c r="M112" i="4"/>
  <c r="N112" i="4" s="1"/>
  <c r="O112" i="4" s="1"/>
  <c r="P112" i="4" s="1"/>
  <c r="AA112" i="4"/>
  <c r="AB112" i="4" s="1"/>
  <c r="AC112" i="4" s="1"/>
  <c r="AD112" i="4" s="1"/>
  <c r="AE112" i="4" s="1"/>
  <c r="V112" i="4"/>
  <c r="W112" i="4" s="1"/>
  <c r="X112" i="4" s="1"/>
  <c r="AJ112" i="4"/>
  <c r="AK112" i="4" s="1"/>
  <c r="AL112" i="4" s="1"/>
  <c r="Q112" i="4" l="1"/>
  <c r="AM112" i="4" s="1"/>
  <c r="AP22" i="4" s="1"/>
  <c r="J113" i="4"/>
  <c r="D113" i="4"/>
  <c r="B113" i="4"/>
  <c r="I113" i="4"/>
  <c r="H113" i="4"/>
  <c r="C113" i="4"/>
  <c r="G113" i="4"/>
  <c r="F113" i="4"/>
  <c r="E113" i="4"/>
  <c r="Y113" i="4" l="1"/>
  <c r="Z113" i="4" s="1"/>
  <c r="AF113" i="4"/>
  <c r="AG113" i="4" s="1"/>
  <c r="R113" i="4"/>
  <c r="S113" i="4" s="1"/>
  <c r="V113" i="4" s="1"/>
  <c r="W113" i="4" s="1"/>
  <c r="X113" i="4" s="1"/>
  <c r="K113" i="4"/>
  <c r="L113" i="4" s="1"/>
  <c r="O113" i="4" s="1"/>
  <c r="P113" i="4" s="1"/>
  <c r="Q113" i="4" s="1"/>
  <c r="T113" i="4"/>
  <c r="U113" i="4" s="1"/>
  <c r="M113" i="4"/>
  <c r="N113" i="4" s="1"/>
  <c r="AH113" i="4"/>
  <c r="AI113" i="4" s="1"/>
  <c r="AA113" i="4"/>
  <c r="AB113" i="4" s="1"/>
  <c r="AJ113" i="4" l="1"/>
  <c r="AK113" i="4" s="1"/>
  <c r="AL113" i="4" s="1"/>
  <c r="I114" i="4"/>
  <c r="AC113" i="4"/>
  <c r="AD113" i="4" s="1"/>
  <c r="G114" i="4" s="1"/>
  <c r="H114" i="4"/>
  <c r="C114" i="4"/>
  <c r="AE113" i="4" l="1"/>
  <c r="AM113" i="4" s="1"/>
  <c r="D114" i="4"/>
  <c r="B114" i="4"/>
  <c r="J114" i="4"/>
  <c r="E114" i="4"/>
  <c r="F114" i="4"/>
  <c r="AF114" i="4" l="1"/>
  <c r="AG114" i="4" s="1"/>
  <c r="K114" i="4"/>
  <c r="L114" i="4" s="1"/>
  <c r="R114" i="4"/>
  <c r="S114" i="4" s="1"/>
  <c r="V114" i="4" s="1"/>
  <c r="W114" i="4" s="1"/>
  <c r="X114" i="4" s="1"/>
  <c r="Y114" i="4"/>
  <c r="Z114" i="4" s="1"/>
  <c r="AC114" i="4" s="1"/>
  <c r="AD114" i="4" s="1"/>
  <c r="AE114" i="4" s="1"/>
  <c r="AA114" i="4"/>
  <c r="AB114" i="4" s="1"/>
  <c r="T114" i="4"/>
  <c r="U114" i="4" s="1"/>
  <c r="M114" i="4"/>
  <c r="N114" i="4" s="1"/>
  <c r="AH114" i="4"/>
  <c r="AI114" i="4" s="1"/>
  <c r="O114" i="4" l="1"/>
  <c r="P114" i="4" s="1"/>
  <c r="AJ114" i="4"/>
  <c r="AK114" i="4" s="1"/>
  <c r="AL114" i="4" s="1"/>
  <c r="Q114" i="4" l="1"/>
  <c r="AM114" i="4" s="1"/>
  <c r="G115" i="4"/>
  <c r="I115" i="4"/>
  <c r="H115" i="4"/>
  <c r="C115" i="4"/>
  <c r="B115" i="4"/>
  <c r="J115" i="4"/>
  <c r="D115" i="4"/>
  <c r="E115" i="4"/>
  <c r="F115" i="4"/>
  <c r="R115" i="4" l="1"/>
  <c r="S115" i="4" s="1"/>
  <c r="V115" i="4" s="1"/>
  <c r="W115" i="4" s="1"/>
  <c r="X115" i="4" s="1"/>
  <c r="Y115" i="4"/>
  <c r="Z115" i="4" s="1"/>
  <c r="AF115" i="4"/>
  <c r="AG115" i="4" s="1"/>
  <c r="K115" i="4"/>
  <c r="L115" i="4" s="1"/>
  <c r="AH115" i="4"/>
  <c r="AI115" i="4" s="1"/>
  <c r="M115" i="4"/>
  <c r="N115" i="4" s="1"/>
  <c r="AA115" i="4"/>
  <c r="AB115" i="4" s="1"/>
  <c r="T115" i="4"/>
  <c r="U115" i="4" s="1"/>
  <c r="AC115" i="4" l="1"/>
  <c r="AD115" i="4" s="1"/>
  <c r="AE115" i="4" s="1"/>
  <c r="O115" i="4"/>
  <c r="P115" i="4" s="1"/>
  <c r="AJ115" i="4"/>
  <c r="AK115" i="4" s="1"/>
  <c r="AL115" i="4" s="1"/>
  <c r="Q115" i="4" l="1"/>
  <c r="AM115" i="4" s="1"/>
  <c r="J116" i="4"/>
  <c r="D116" i="4"/>
  <c r="C116" i="4"/>
  <c r="H116" i="4"/>
  <c r="I116" i="4"/>
  <c r="F116" i="4"/>
  <c r="G116" i="4"/>
  <c r="E116" i="4"/>
  <c r="B116" i="4"/>
  <c r="AF116" i="4" l="1"/>
  <c r="AG116" i="4" s="1"/>
  <c r="AJ116" i="4" s="1"/>
  <c r="AK116" i="4" s="1"/>
  <c r="AL116" i="4" s="1"/>
  <c r="K116" i="4"/>
  <c r="L116" i="4" s="1"/>
  <c r="R116" i="4"/>
  <c r="S116" i="4" s="1"/>
  <c r="Y116" i="4"/>
  <c r="Z116" i="4" s="1"/>
  <c r="T116" i="4"/>
  <c r="U116" i="4" s="1"/>
  <c r="AA116" i="4"/>
  <c r="AB116" i="4" s="1"/>
  <c r="M116" i="4"/>
  <c r="N116" i="4" s="1"/>
  <c r="AH116" i="4"/>
  <c r="AI116" i="4" s="1"/>
  <c r="V116" i="4" l="1"/>
  <c r="W116" i="4" s="1"/>
  <c r="X116" i="4" s="1"/>
  <c r="AC116" i="4"/>
  <c r="AD116" i="4" s="1"/>
  <c r="AE116" i="4" s="1"/>
  <c r="O116" i="4"/>
  <c r="P116" i="4" s="1"/>
  <c r="Q116" i="4" l="1"/>
  <c r="AM116" i="4" s="1"/>
  <c r="G117" i="4"/>
  <c r="I117" i="4"/>
  <c r="B117" i="4"/>
  <c r="H117" i="4"/>
  <c r="D117" i="4"/>
  <c r="J117" i="4"/>
  <c r="F117" i="4"/>
  <c r="E117" i="4"/>
  <c r="C117" i="4"/>
  <c r="AF117" i="4" l="1"/>
  <c r="AG117" i="4" s="1"/>
  <c r="R117" i="4"/>
  <c r="S117" i="4" s="1"/>
  <c r="Y117" i="4"/>
  <c r="Z117" i="4" s="1"/>
  <c r="AC117" i="4" s="1"/>
  <c r="AD117" i="4" s="1"/>
  <c r="AE117" i="4" s="1"/>
  <c r="K117" i="4"/>
  <c r="L117" i="4" s="1"/>
  <c r="M117" i="4"/>
  <c r="N117" i="4" s="1"/>
  <c r="T117" i="4"/>
  <c r="U117" i="4" s="1"/>
  <c r="AH117" i="4"/>
  <c r="AI117" i="4" s="1"/>
  <c r="AA117" i="4"/>
  <c r="AB117" i="4" s="1"/>
  <c r="AJ117" i="4" l="1"/>
  <c r="AK117" i="4" s="1"/>
  <c r="AL117" i="4" s="1"/>
  <c r="O117" i="4"/>
  <c r="P117" i="4" s="1"/>
  <c r="V117" i="4"/>
  <c r="W117" i="4" s="1"/>
  <c r="X117" i="4" s="1"/>
  <c r="Q117" i="4" l="1"/>
  <c r="AM117" i="4" s="1"/>
  <c r="D118" i="4"/>
  <c r="B118" i="4"/>
  <c r="H118" i="4"/>
  <c r="I118" i="4"/>
  <c r="G118" i="4"/>
  <c r="C118" i="4"/>
  <c r="F118" i="4"/>
  <c r="J118" i="4"/>
  <c r="E118" i="4"/>
  <c r="AF118" i="4" l="1"/>
  <c r="AG118" i="4" s="1"/>
  <c r="AJ118" i="4" s="1"/>
  <c r="AK118" i="4" s="1"/>
  <c r="AL118" i="4" s="1"/>
  <c r="K118" i="4"/>
  <c r="L118" i="4" s="1"/>
  <c r="R118" i="4"/>
  <c r="S118" i="4" s="1"/>
  <c r="Y118" i="4"/>
  <c r="Z118" i="4" s="1"/>
  <c r="T118" i="4"/>
  <c r="U118" i="4" s="1"/>
  <c r="AA118" i="4"/>
  <c r="AB118" i="4" s="1"/>
  <c r="M118" i="4"/>
  <c r="N118" i="4" s="1"/>
  <c r="AH118" i="4"/>
  <c r="AI118" i="4" s="1"/>
  <c r="AC118" i="4" l="1"/>
  <c r="AD118" i="4" s="1"/>
  <c r="AE118" i="4" s="1"/>
  <c r="V118" i="4"/>
  <c r="W118" i="4" s="1"/>
  <c r="X118" i="4" s="1"/>
  <c r="O118" i="4"/>
  <c r="P118" i="4" s="1"/>
  <c r="Q118" i="4" l="1"/>
  <c r="AM118" i="4" s="1"/>
  <c r="C119" i="4"/>
  <c r="J119" i="4"/>
  <c r="I119" i="4"/>
  <c r="F119" i="4"/>
  <c r="B119" i="4"/>
  <c r="H119" i="4"/>
  <c r="D119" i="4"/>
  <c r="G119" i="4"/>
  <c r="E119" i="4"/>
  <c r="R119" i="4" l="1"/>
  <c r="S119" i="4" s="1"/>
  <c r="V119" i="4" s="1"/>
  <c r="W119" i="4" s="1"/>
  <c r="X119" i="4" s="1"/>
  <c r="K119" i="4"/>
  <c r="L119" i="4" s="1"/>
  <c r="Y119" i="4"/>
  <c r="Z119" i="4" s="1"/>
  <c r="AC119" i="4" s="1"/>
  <c r="AD119" i="4" s="1"/>
  <c r="AE119" i="4" s="1"/>
  <c r="AF119" i="4"/>
  <c r="AG119" i="4" s="1"/>
  <c r="AH119" i="4"/>
  <c r="AI119" i="4" s="1"/>
  <c r="T119" i="4"/>
  <c r="U119" i="4" s="1"/>
  <c r="M119" i="4"/>
  <c r="N119" i="4" s="1"/>
  <c r="AA119" i="4"/>
  <c r="AB119" i="4" s="1"/>
  <c r="O119" i="4" l="1"/>
  <c r="P119" i="4" s="1"/>
  <c r="AJ119" i="4"/>
  <c r="AK119" i="4" s="1"/>
  <c r="AL119" i="4" s="1"/>
  <c r="Q119" i="4" l="1"/>
  <c r="AM119" i="4" s="1"/>
  <c r="D120" i="4"/>
  <c r="G120" i="4"/>
  <c r="H120" i="4"/>
  <c r="B120" i="4"/>
  <c r="F120" i="4"/>
  <c r="J120" i="4"/>
  <c r="I120" i="4"/>
  <c r="C120" i="4"/>
  <c r="E120" i="4"/>
  <c r="R120" i="4" l="1"/>
  <c r="S120" i="4" s="1"/>
  <c r="V120" i="4" s="1"/>
  <c r="W120" i="4" s="1"/>
  <c r="X120" i="4" s="1"/>
  <c r="Y120" i="4"/>
  <c r="Z120" i="4" s="1"/>
  <c r="AC120" i="4" s="1"/>
  <c r="AD120" i="4" s="1"/>
  <c r="AE120" i="4" s="1"/>
  <c r="AF120" i="4"/>
  <c r="AG120" i="4" s="1"/>
  <c r="K120" i="4"/>
  <c r="L120" i="4" s="1"/>
  <c r="T120" i="4"/>
  <c r="U120" i="4" s="1"/>
  <c r="AA120" i="4"/>
  <c r="AB120" i="4" s="1"/>
  <c r="M120" i="4"/>
  <c r="N120" i="4" s="1"/>
  <c r="AH120" i="4"/>
  <c r="AI120" i="4" s="1"/>
  <c r="O120" i="4" l="1"/>
  <c r="P120" i="4" s="1"/>
  <c r="AJ120" i="4"/>
  <c r="AK120" i="4" s="1"/>
  <c r="AL120" i="4" s="1"/>
  <c r="Q120" i="4" l="1"/>
  <c r="AM120" i="4" s="1"/>
  <c r="I121" i="4"/>
  <c r="B121" i="4"/>
  <c r="C121" i="4"/>
  <c r="F121" i="4"/>
  <c r="D121" i="4"/>
  <c r="E121" i="4"/>
  <c r="H121" i="4"/>
  <c r="G121" i="4"/>
  <c r="J121" i="4"/>
  <c r="AH121" i="4" l="1"/>
  <c r="AI121" i="4" s="1"/>
  <c r="M121" i="4"/>
  <c r="N121" i="4" s="1"/>
  <c r="AA121" i="4"/>
  <c r="AB121" i="4" s="1"/>
  <c r="T121" i="4"/>
  <c r="U121" i="4" s="1"/>
  <c r="Y121" i="4"/>
  <c r="Z121" i="4" s="1"/>
  <c r="AC121" i="4" s="1"/>
  <c r="AD121" i="4" s="1"/>
  <c r="AE121" i="4" s="1"/>
  <c r="AF121" i="4"/>
  <c r="AG121" i="4" s="1"/>
  <c r="R121" i="4"/>
  <c r="S121" i="4" s="1"/>
  <c r="K121" i="4"/>
  <c r="L121" i="4" s="1"/>
  <c r="O121" i="4" s="1"/>
  <c r="P121" i="4" s="1"/>
  <c r="Q121" i="4" s="1"/>
  <c r="V121" i="4" l="1"/>
  <c r="W121" i="4" s="1"/>
  <c r="AJ121" i="4"/>
  <c r="AK121" i="4" s="1"/>
  <c r="AL121" i="4" s="1"/>
  <c r="E122" i="4"/>
  <c r="G122" i="4" l="1"/>
  <c r="X121" i="4"/>
  <c r="AM121" i="4" s="1"/>
  <c r="F122" i="4"/>
  <c r="AH122" i="4" s="1"/>
  <c r="AI122" i="4" s="1"/>
  <c r="C122" i="4"/>
  <c r="I122" i="4"/>
  <c r="H122" i="4"/>
  <c r="D122" i="4"/>
  <c r="J122" i="4"/>
  <c r="B122" i="4"/>
  <c r="AF122" i="4" l="1"/>
  <c r="AG122" i="4" s="1"/>
  <c r="AJ122" i="4" s="1"/>
  <c r="AK122" i="4" s="1"/>
  <c r="AL122" i="4" s="1"/>
  <c r="Y122" i="4"/>
  <c r="Z122" i="4" s="1"/>
  <c r="R122" i="4"/>
  <c r="S122" i="4" s="1"/>
  <c r="K122" i="4"/>
  <c r="L122" i="4" s="1"/>
  <c r="AA122" i="4"/>
  <c r="AB122" i="4" s="1"/>
  <c r="M122" i="4"/>
  <c r="N122" i="4" s="1"/>
  <c r="T122" i="4"/>
  <c r="U122" i="4" s="1"/>
  <c r="O122" i="4" l="1"/>
  <c r="P122" i="4" s="1"/>
  <c r="V122" i="4"/>
  <c r="W122" i="4" s="1"/>
  <c r="X122" i="4" s="1"/>
  <c r="AC122" i="4"/>
  <c r="AD122" i="4" s="1"/>
  <c r="AE122" i="4" s="1"/>
  <c r="Q122" i="4" l="1"/>
  <c r="AM122" i="4" s="1"/>
  <c r="AP23" i="4" s="1"/>
  <c r="E123" i="4"/>
  <c r="B123" i="4"/>
  <c r="F123" i="4"/>
  <c r="G123" i="4"/>
  <c r="I123" i="4"/>
  <c r="D123" i="4"/>
  <c r="J123" i="4"/>
  <c r="H123" i="4"/>
  <c r="C123" i="4"/>
  <c r="R123" i="4" l="1"/>
  <c r="S123" i="4" s="1"/>
  <c r="V123" i="4" s="1"/>
  <c r="W123" i="4" s="1"/>
  <c r="X123" i="4" s="1"/>
  <c r="AF123" i="4"/>
  <c r="AG123" i="4" s="1"/>
  <c r="AJ123" i="4" s="1"/>
  <c r="AK123" i="4" s="1"/>
  <c r="AL123" i="4" s="1"/>
  <c r="K123" i="4"/>
  <c r="L123" i="4" s="1"/>
  <c r="O123" i="4" s="1"/>
  <c r="P123" i="4" s="1"/>
  <c r="Q123" i="4" s="1"/>
  <c r="AM123" i="4" s="1"/>
  <c r="Y123" i="4"/>
  <c r="Z123" i="4" s="1"/>
  <c r="AC123" i="4" s="1"/>
  <c r="AD123" i="4" s="1"/>
  <c r="AE123" i="4" s="1"/>
  <c r="AH123" i="4"/>
  <c r="AI123" i="4" s="1"/>
  <c r="M123" i="4"/>
  <c r="N123" i="4" s="1"/>
  <c r="T123" i="4"/>
  <c r="U123" i="4" s="1"/>
  <c r="AA123" i="4"/>
  <c r="AB123" i="4" s="1"/>
  <c r="I124" i="4" l="1"/>
  <c r="B124" i="4"/>
  <c r="E124" i="4"/>
  <c r="C124" i="4"/>
  <c r="F124" i="4"/>
  <c r="G124" i="4"/>
  <c r="J124" i="4"/>
  <c r="H124" i="4"/>
  <c r="D124" i="4"/>
  <c r="K124" i="4" l="1"/>
  <c r="L124" i="4" s="1"/>
  <c r="O124" i="4" s="1"/>
  <c r="P124" i="4" s="1"/>
  <c r="Q124" i="4" s="1"/>
  <c r="R124" i="4"/>
  <c r="S124" i="4" s="1"/>
  <c r="V124" i="4" s="1"/>
  <c r="W124" i="4" s="1"/>
  <c r="X124" i="4" s="1"/>
  <c r="AF124" i="4"/>
  <c r="AG124" i="4" s="1"/>
  <c r="AJ124" i="4" s="1"/>
  <c r="AK124" i="4" s="1"/>
  <c r="AL124" i="4" s="1"/>
  <c r="Y124" i="4"/>
  <c r="Z124" i="4" s="1"/>
  <c r="AC124" i="4" s="1"/>
  <c r="AD124" i="4" s="1"/>
  <c r="AE124" i="4" s="1"/>
  <c r="T124" i="4"/>
  <c r="U124" i="4" s="1"/>
  <c r="M124" i="4"/>
  <c r="N124" i="4" s="1"/>
  <c r="AA124" i="4"/>
  <c r="AB124" i="4" s="1"/>
  <c r="AH124" i="4"/>
  <c r="AI124" i="4" s="1"/>
  <c r="AM124" i="4" l="1"/>
  <c r="D125" i="4"/>
  <c r="E125" i="4"/>
  <c r="B125" i="4"/>
  <c r="C125" i="4"/>
  <c r="F125" i="4"/>
  <c r="G125" i="4"/>
  <c r="I125" i="4"/>
  <c r="J125" i="4"/>
  <c r="H125" i="4"/>
  <c r="K125" i="4" l="1"/>
  <c r="L125" i="4" s="1"/>
  <c r="R125" i="4"/>
  <c r="S125" i="4" s="1"/>
  <c r="V125" i="4" s="1"/>
  <c r="W125" i="4" s="1"/>
  <c r="X125" i="4" s="1"/>
  <c r="AF125" i="4"/>
  <c r="AG125" i="4" s="1"/>
  <c r="Y125" i="4"/>
  <c r="Z125" i="4" s="1"/>
  <c r="AC125" i="4" s="1"/>
  <c r="AD125" i="4" s="1"/>
  <c r="AE125" i="4" s="1"/>
  <c r="T125" i="4"/>
  <c r="U125" i="4" s="1"/>
  <c r="AA125" i="4"/>
  <c r="AB125" i="4" s="1"/>
  <c r="M125" i="4"/>
  <c r="N125" i="4" s="1"/>
  <c r="AH125" i="4"/>
  <c r="AI125" i="4" s="1"/>
  <c r="AJ125" i="4" l="1"/>
  <c r="AK125" i="4" s="1"/>
  <c r="AL125" i="4" s="1"/>
  <c r="O125" i="4"/>
  <c r="P125" i="4" s="1"/>
  <c r="Q125" i="4" l="1"/>
  <c r="AM125" i="4" s="1"/>
  <c r="I126" i="4"/>
  <c r="G126" i="4"/>
  <c r="J126" i="4"/>
  <c r="F126" i="4"/>
  <c r="C126" i="4"/>
  <c r="B126" i="4"/>
  <c r="E126" i="4"/>
  <c r="D126" i="4"/>
  <c r="H126" i="4"/>
  <c r="AA126" i="4" l="1"/>
  <c r="AB126" i="4" s="1"/>
  <c r="AH126" i="4"/>
  <c r="AI126" i="4" s="1"/>
  <c r="M126" i="4"/>
  <c r="N126" i="4" s="1"/>
  <c r="T126" i="4"/>
  <c r="U126" i="4" s="1"/>
  <c r="AF126" i="4"/>
  <c r="AG126" i="4" s="1"/>
  <c r="R126" i="4"/>
  <c r="S126" i="4" s="1"/>
  <c r="Y126" i="4"/>
  <c r="Z126" i="4" s="1"/>
  <c r="AC126" i="4" s="1"/>
  <c r="AD126" i="4" s="1"/>
  <c r="AE126" i="4" s="1"/>
  <c r="K126" i="4"/>
  <c r="L126" i="4" s="1"/>
  <c r="O126" i="4" s="1"/>
  <c r="P126" i="4" s="1"/>
  <c r="Q126" i="4" s="1"/>
  <c r="V126" i="4" l="1"/>
  <c r="W126" i="4" s="1"/>
  <c r="AJ126" i="4"/>
  <c r="AK126" i="4" s="1"/>
  <c r="AL126" i="4" s="1"/>
  <c r="E127" i="4"/>
  <c r="D127" i="4"/>
  <c r="B127" i="4"/>
  <c r="AF127" i="4" l="1"/>
  <c r="AG127" i="4" s="1"/>
  <c r="K127" i="4"/>
  <c r="L127" i="4" s="1"/>
  <c r="X126" i="4"/>
  <c r="AM126" i="4" s="1"/>
  <c r="J127" i="4"/>
  <c r="I127" i="4"/>
  <c r="H127" i="4"/>
  <c r="G127" i="4"/>
  <c r="C127" i="4"/>
  <c r="Y127" i="4" s="1"/>
  <c r="Z127" i="4" s="1"/>
  <c r="F127" i="4"/>
  <c r="M127" i="4" l="1"/>
  <c r="N127" i="4" s="1"/>
  <c r="O127" i="4" s="1"/>
  <c r="P127" i="4" s="1"/>
  <c r="T127" i="4"/>
  <c r="U127" i="4" s="1"/>
  <c r="AA127" i="4"/>
  <c r="AB127" i="4" s="1"/>
  <c r="AC127" i="4" s="1"/>
  <c r="AD127" i="4" s="1"/>
  <c r="AE127" i="4" s="1"/>
  <c r="AH127" i="4"/>
  <c r="AI127" i="4" s="1"/>
  <c r="AJ127" i="4"/>
  <c r="AK127" i="4" s="1"/>
  <c r="AL127" i="4" s="1"/>
  <c r="R127" i="4"/>
  <c r="S127" i="4" s="1"/>
  <c r="Q127" i="4" l="1"/>
  <c r="B128" i="4"/>
  <c r="I128" i="4"/>
  <c r="H128" i="4"/>
  <c r="J128" i="4"/>
  <c r="F128" i="4"/>
  <c r="V127" i="4"/>
  <c r="W127" i="4" s="1"/>
  <c r="X127" i="4" s="1"/>
  <c r="D128" i="4" l="1"/>
  <c r="G128" i="4"/>
  <c r="E128" i="4"/>
  <c r="C128" i="4"/>
  <c r="K128" i="4" s="1"/>
  <c r="L128" i="4" s="1"/>
  <c r="AM127" i="4"/>
  <c r="AF128" i="4" l="1"/>
  <c r="AG128" i="4" s="1"/>
  <c r="T128" i="4"/>
  <c r="U128" i="4" s="1"/>
  <c r="AH128" i="4"/>
  <c r="AI128" i="4" s="1"/>
  <c r="M128" i="4"/>
  <c r="N128" i="4" s="1"/>
  <c r="O128" i="4" s="1"/>
  <c r="P128" i="4" s="1"/>
  <c r="AA128" i="4"/>
  <c r="AB128" i="4" s="1"/>
  <c r="R128" i="4"/>
  <c r="S128" i="4" s="1"/>
  <c r="Y128" i="4"/>
  <c r="Z128" i="4" s="1"/>
  <c r="Q128" i="4" l="1"/>
  <c r="F129" i="4"/>
  <c r="C129" i="4"/>
  <c r="D129" i="4"/>
  <c r="AC128" i="4"/>
  <c r="AD128" i="4" s="1"/>
  <c r="AE128" i="4" s="1"/>
  <c r="AJ128" i="4"/>
  <c r="AK128" i="4" s="1"/>
  <c r="AL128" i="4" s="1"/>
  <c r="V128" i="4"/>
  <c r="W128" i="4" s="1"/>
  <c r="X128" i="4" s="1"/>
  <c r="B129" i="4" l="1"/>
  <c r="I129" i="4"/>
  <c r="H129" i="4"/>
  <c r="E129" i="4"/>
  <c r="J129" i="4"/>
  <c r="G129" i="4"/>
  <c r="AM128" i="4"/>
  <c r="M129" i="4" l="1"/>
  <c r="N129" i="4" s="1"/>
  <c r="T129" i="4"/>
  <c r="U129" i="4" s="1"/>
  <c r="AH129" i="4"/>
  <c r="AI129" i="4" s="1"/>
  <c r="AA129" i="4"/>
  <c r="AB129" i="4" s="1"/>
  <c r="AF129" i="4"/>
  <c r="AG129" i="4" s="1"/>
  <c r="AJ129" i="4" s="1"/>
  <c r="AK129" i="4" s="1"/>
  <c r="AL129" i="4" s="1"/>
  <c r="K129" i="4"/>
  <c r="L129" i="4" s="1"/>
  <c r="O129" i="4" s="1"/>
  <c r="P129" i="4" s="1"/>
  <c r="R129" i="4"/>
  <c r="S129" i="4" s="1"/>
  <c r="V129" i="4" s="1"/>
  <c r="W129" i="4" s="1"/>
  <c r="X129" i="4" s="1"/>
  <c r="Y129" i="4"/>
  <c r="Z129" i="4" s="1"/>
  <c r="Q129" i="4" l="1"/>
  <c r="D130" i="4"/>
  <c r="F130" i="4"/>
  <c r="G130" i="4"/>
  <c r="I130" i="4"/>
  <c r="H130" i="4"/>
  <c r="E130" i="4"/>
  <c r="AC129" i="4"/>
  <c r="AD129" i="4" s="1"/>
  <c r="AE129" i="4" s="1"/>
  <c r="B130" i="4"/>
  <c r="M130" i="4" l="1"/>
  <c r="N130" i="4" s="1"/>
  <c r="T130" i="4"/>
  <c r="U130" i="4" s="1"/>
  <c r="AH130" i="4"/>
  <c r="AI130" i="4" s="1"/>
  <c r="AA130" i="4"/>
  <c r="AB130" i="4" s="1"/>
  <c r="C130" i="4"/>
  <c r="J130" i="4"/>
  <c r="AM129" i="4"/>
  <c r="Y130" i="4" l="1"/>
  <c r="Z130" i="4" s="1"/>
  <c r="AC130" i="4" s="1"/>
  <c r="AD130" i="4" s="1"/>
  <c r="AE130" i="4" s="1"/>
  <c r="AF130" i="4"/>
  <c r="AG130" i="4" s="1"/>
  <c r="AJ130" i="4" s="1"/>
  <c r="AK130" i="4" s="1"/>
  <c r="AL130" i="4" s="1"/>
  <c r="K130" i="4"/>
  <c r="L130" i="4" s="1"/>
  <c r="O130" i="4" s="1"/>
  <c r="P130" i="4" s="1"/>
  <c r="R130" i="4"/>
  <c r="S130" i="4" s="1"/>
  <c r="V130" i="4" s="1"/>
  <c r="W130" i="4" s="1"/>
  <c r="X130" i="4" s="1"/>
  <c r="J131" i="4"/>
  <c r="Q130" i="4" l="1"/>
  <c r="AM130" i="4" s="1"/>
  <c r="H131" i="4"/>
  <c r="I131" i="4"/>
  <c r="D131" i="4"/>
  <c r="E131" i="4"/>
  <c r="F131" i="4"/>
  <c r="G131" i="4"/>
  <c r="B131" i="4"/>
  <c r="C131" i="4"/>
  <c r="AH131" i="4" l="1"/>
  <c r="AI131" i="4" s="1"/>
  <c r="T131" i="4"/>
  <c r="U131" i="4" s="1"/>
  <c r="AA131" i="4"/>
  <c r="AB131" i="4" s="1"/>
  <c r="M131" i="4"/>
  <c r="N131" i="4" s="1"/>
  <c r="R131" i="4"/>
  <c r="S131" i="4" s="1"/>
  <c r="K131" i="4"/>
  <c r="L131" i="4" s="1"/>
  <c r="O131" i="4" s="1"/>
  <c r="P131" i="4" s="1"/>
  <c r="Y131" i="4"/>
  <c r="Z131" i="4" s="1"/>
  <c r="AF131" i="4"/>
  <c r="AG131" i="4" s="1"/>
  <c r="AJ131" i="4" s="1"/>
  <c r="AK131" i="4" s="1"/>
  <c r="AL131" i="4" s="1"/>
  <c r="Q131" i="4" l="1"/>
  <c r="AC131" i="4"/>
  <c r="AD131" i="4" s="1"/>
  <c r="AE131" i="4" s="1"/>
  <c r="V131" i="4"/>
  <c r="W131" i="4" s="1"/>
  <c r="G132" i="4"/>
  <c r="H132" i="4"/>
  <c r="C132" i="4"/>
  <c r="I132" i="4"/>
  <c r="X131" i="4" l="1"/>
  <c r="B132" i="4"/>
  <c r="E132" i="4"/>
  <c r="F132" i="4"/>
  <c r="J132" i="4"/>
  <c r="D132" i="4"/>
  <c r="AM131" i="4"/>
  <c r="T132" i="4" l="1"/>
  <c r="U132" i="4" s="1"/>
  <c r="AA132" i="4"/>
  <c r="AB132" i="4" s="1"/>
  <c r="AH132" i="4"/>
  <c r="AI132" i="4" s="1"/>
  <c r="M132" i="4"/>
  <c r="N132" i="4" s="1"/>
  <c r="R132" i="4"/>
  <c r="S132" i="4" s="1"/>
  <c r="V132" i="4" s="1"/>
  <c r="W132" i="4" s="1"/>
  <c r="X132" i="4" s="1"/>
  <c r="Y132" i="4"/>
  <c r="Z132" i="4" s="1"/>
  <c r="AF132" i="4"/>
  <c r="AG132" i="4" s="1"/>
  <c r="K132" i="4"/>
  <c r="L132" i="4" s="1"/>
  <c r="O132" i="4" l="1"/>
  <c r="P132" i="4" s="1"/>
  <c r="AJ132" i="4"/>
  <c r="AK132" i="4" s="1"/>
  <c r="AL132" i="4" s="1"/>
  <c r="AC132" i="4"/>
  <c r="AD132" i="4" s="1"/>
  <c r="AE132" i="4" s="1"/>
  <c r="Q132" i="4" l="1"/>
  <c r="AM132" i="4" s="1"/>
  <c r="AP24" i="4" s="1"/>
  <c r="C133" i="4"/>
  <c r="H133" i="4"/>
  <c r="I133" i="4"/>
  <c r="G133" i="4"/>
  <c r="B133" i="4"/>
  <c r="E133" i="4"/>
  <c r="J133" i="4"/>
  <c r="D133" i="4"/>
  <c r="F133" i="4"/>
  <c r="AA133" i="4" l="1"/>
  <c r="AB133" i="4" s="1"/>
  <c r="AH133" i="4"/>
  <c r="AI133" i="4" s="1"/>
  <c r="T133" i="4"/>
  <c r="U133" i="4" s="1"/>
  <c r="M133" i="4"/>
  <c r="N133" i="4" s="1"/>
  <c r="R133" i="4"/>
  <c r="S133" i="4" s="1"/>
  <c r="Y133" i="4"/>
  <c r="Z133" i="4" s="1"/>
  <c r="AC133" i="4" s="1"/>
  <c r="AD133" i="4" s="1"/>
  <c r="AE133" i="4" s="1"/>
  <c r="K133" i="4"/>
  <c r="L133" i="4" s="1"/>
  <c r="O133" i="4" s="1"/>
  <c r="P133" i="4" s="1"/>
  <c r="Q133" i="4" s="1"/>
  <c r="AF133" i="4"/>
  <c r="AG133" i="4" s="1"/>
  <c r="AJ133" i="4" s="1"/>
  <c r="AK133" i="4" s="1"/>
  <c r="AL133" i="4" s="1"/>
  <c r="V133" i="4" l="1"/>
  <c r="W133" i="4" s="1"/>
  <c r="D134" i="4"/>
  <c r="J134" i="4"/>
  <c r="X133" i="4" l="1"/>
  <c r="AM133" i="4" s="1"/>
  <c r="I134" i="4"/>
  <c r="F134" i="4"/>
  <c r="H134" i="4"/>
  <c r="C134" i="4"/>
  <c r="B134" i="4"/>
  <c r="E134" i="4"/>
  <c r="G134" i="4"/>
  <c r="AF134" i="4" l="1"/>
  <c r="AG134" i="4" s="1"/>
  <c r="AJ134" i="4" s="1"/>
  <c r="AK134" i="4" s="1"/>
  <c r="AL134" i="4" s="1"/>
  <c r="Y134" i="4"/>
  <c r="Z134" i="4" s="1"/>
  <c r="R134" i="4"/>
  <c r="S134" i="4" s="1"/>
  <c r="K134" i="4"/>
  <c r="L134" i="4" s="1"/>
  <c r="O134" i="4" s="1"/>
  <c r="P134" i="4" s="1"/>
  <c r="AH134" i="4"/>
  <c r="AI134" i="4" s="1"/>
  <c r="M134" i="4"/>
  <c r="N134" i="4" s="1"/>
  <c r="AA134" i="4"/>
  <c r="AB134" i="4" s="1"/>
  <c r="T134" i="4"/>
  <c r="U134" i="4" s="1"/>
  <c r="Q134" i="4" l="1"/>
  <c r="V134" i="4"/>
  <c r="W134" i="4" s="1"/>
  <c r="X134" i="4" s="1"/>
  <c r="AC134" i="4"/>
  <c r="AD134" i="4" s="1"/>
  <c r="AE134" i="4" s="1"/>
  <c r="B135" i="4"/>
  <c r="E135" i="4"/>
  <c r="G135" i="4"/>
  <c r="AH135" i="4" l="1"/>
  <c r="AI135" i="4" s="1"/>
  <c r="C135" i="4"/>
  <c r="R135" i="4" s="1"/>
  <c r="S135" i="4" s="1"/>
  <c r="F135" i="4"/>
  <c r="D135" i="4"/>
  <c r="H135" i="4"/>
  <c r="J135" i="4"/>
  <c r="I135" i="4"/>
  <c r="AM134" i="4"/>
  <c r="K135" i="4" l="1"/>
  <c r="L135" i="4" s="1"/>
  <c r="Y135" i="4"/>
  <c r="Z135" i="4" s="1"/>
  <c r="M135" i="4"/>
  <c r="N135" i="4" s="1"/>
  <c r="AA135" i="4"/>
  <c r="AB135" i="4" s="1"/>
  <c r="AF135" i="4"/>
  <c r="AG135" i="4" s="1"/>
  <c r="AJ135" i="4" s="1"/>
  <c r="AK135" i="4" s="1"/>
  <c r="AL135" i="4" s="1"/>
  <c r="T135" i="4"/>
  <c r="U135" i="4" s="1"/>
  <c r="V135" i="4" s="1"/>
  <c r="W135" i="4" s="1"/>
  <c r="X135" i="4" s="1"/>
  <c r="O135" i="4" l="1"/>
  <c r="P135" i="4" s="1"/>
  <c r="AC135" i="4"/>
  <c r="AD135" i="4" s="1"/>
  <c r="AE135" i="4" s="1"/>
  <c r="Q135" i="4" l="1"/>
  <c r="AM135" i="4" s="1"/>
  <c r="G136" i="4"/>
  <c r="E136" i="4"/>
  <c r="B136" i="4"/>
  <c r="H136" i="4"/>
  <c r="D136" i="4"/>
  <c r="C136" i="4"/>
  <c r="F136" i="4"/>
  <c r="I136" i="4"/>
  <c r="J136" i="4"/>
  <c r="AF136" i="4" l="1"/>
  <c r="AG136" i="4" s="1"/>
  <c r="K136" i="4"/>
  <c r="L136" i="4" s="1"/>
  <c r="O136" i="4" s="1"/>
  <c r="P136" i="4" s="1"/>
  <c r="Q136" i="4" s="1"/>
  <c r="Y136" i="4"/>
  <c r="Z136" i="4" s="1"/>
  <c r="R136" i="4"/>
  <c r="S136" i="4" s="1"/>
  <c r="V136" i="4" s="1"/>
  <c r="W136" i="4" s="1"/>
  <c r="X136" i="4" s="1"/>
  <c r="T136" i="4"/>
  <c r="U136" i="4" s="1"/>
  <c r="M136" i="4"/>
  <c r="N136" i="4" s="1"/>
  <c r="AA136" i="4"/>
  <c r="AB136" i="4" s="1"/>
  <c r="AH136" i="4"/>
  <c r="AI136" i="4" s="1"/>
  <c r="AC136" i="4" l="1"/>
  <c r="AD136" i="4" s="1"/>
  <c r="AJ136" i="4"/>
  <c r="AK136" i="4" s="1"/>
  <c r="AL136" i="4" s="1"/>
  <c r="H137" i="4"/>
  <c r="D137" i="4"/>
  <c r="I137" i="4"/>
  <c r="AE136" i="4" l="1"/>
  <c r="AM136" i="4" s="1"/>
  <c r="J137" i="4"/>
  <c r="G137" i="4"/>
  <c r="E137" i="4"/>
  <c r="F137" i="4"/>
  <c r="B137" i="4"/>
  <c r="C137" i="4"/>
  <c r="T137" i="4" l="1"/>
  <c r="U137" i="4" s="1"/>
  <c r="AA137" i="4"/>
  <c r="AB137" i="4" s="1"/>
  <c r="AH137" i="4"/>
  <c r="AI137" i="4" s="1"/>
  <c r="M137" i="4"/>
  <c r="N137" i="4" s="1"/>
  <c r="K137" i="4"/>
  <c r="L137" i="4" s="1"/>
  <c r="R137" i="4"/>
  <c r="S137" i="4" s="1"/>
  <c r="V137" i="4" s="1"/>
  <c r="W137" i="4" s="1"/>
  <c r="X137" i="4" s="1"/>
  <c r="AF137" i="4"/>
  <c r="AG137" i="4" s="1"/>
  <c r="AJ137" i="4" s="1"/>
  <c r="AK137" i="4" s="1"/>
  <c r="AL137" i="4" s="1"/>
  <c r="Y137" i="4"/>
  <c r="Z137" i="4" s="1"/>
  <c r="AC137" i="4" s="1"/>
  <c r="AD137" i="4" s="1"/>
  <c r="AE137" i="4" s="1"/>
  <c r="O137" i="4" l="1"/>
  <c r="P137" i="4" s="1"/>
  <c r="Q137" i="4" l="1"/>
  <c r="AM137" i="4" s="1"/>
  <c r="D138" i="4"/>
  <c r="I138" i="4"/>
  <c r="H138" i="4"/>
  <c r="J138" i="4"/>
  <c r="B138" i="4"/>
  <c r="E138" i="4"/>
  <c r="C138" i="4"/>
  <c r="F138" i="4"/>
  <c r="G138" i="4"/>
  <c r="T138" i="4" l="1"/>
  <c r="U138" i="4" s="1"/>
  <c r="AA138" i="4"/>
  <c r="AB138" i="4" s="1"/>
  <c r="M138" i="4"/>
  <c r="N138" i="4" s="1"/>
  <c r="AH138" i="4"/>
  <c r="AI138" i="4" s="1"/>
  <c r="AF138" i="4"/>
  <c r="AG138" i="4" s="1"/>
  <c r="K138" i="4"/>
  <c r="L138" i="4" s="1"/>
  <c r="O138" i="4" s="1"/>
  <c r="P138" i="4" s="1"/>
  <c r="Q138" i="4" s="1"/>
  <c r="Y138" i="4"/>
  <c r="Z138" i="4" s="1"/>
  <c r="AC138" i="4" s="1"/>
  <c r="AD138" i="4" s="1"/>
  <c r="AE138" i="4" s="1"/>
  <c r="R138" i="4"/>
  <c r="S138" i="4" s="1"/>
  <c r="V138" i="4" s="1"/>
  <c r="W138" i="4" s="1"/>
  <c r="X138" i="4" s="1"/>
  <c r="AJ138" i="4" l="1"/>
  <c r="AK138" i="4" s="1"/>
  <c r="B139" i="4"/>
  <c r="F139" i="4"/>
  <c r="D139" i="4"/>
  <c r="C139" i="4"/>
  <c r="R139" i="4" l="1"/>
  <c r="S139" i="4" s="1"/>
  <c r="AF139" i="4"/>
  <c r="AG139" i="4" s="1"/>
  <c r="Y139" i="4"/>
  <c r="Z139" i="4" s="1"/>
  <c r="K139" i="4"/>
  <c r="L139" i="4" s="1"/>
  <c r="AL138" i="4"/>
  <c r="AM138" i="4" s="1"/>
  <c r="I139" i="4"/>
  <c r="H139" i="4"/>
  <c r="G139" i="4"/>
  <c r="J139" i="4"/>
  <c r="E139" i="4"/>
  <c r="AH139" i="4" l="1"/>
  <c r="AI139" i="4" s="1"/>
  <c r="AJ139" i="4" s="1"/>
  <c r="AK139" i="4" s="1"/>
  <c r="AL139" i="4" s="1"/>
  <c r="AA139" i="4"/>
  <c r="AB139" i="4" s="1"/>
  <c r="AC139" i="4" s="1"/>
  <c r="AD139" i="4" s="1"/>
  <c r="AE139" i="4" s="1"/>
  <c r="T139" i="4"/>
  <c r="U139" i="4" s="1"/>
  <c r="M139" i="4"/>
  <c r="N139" i="4" s="1"/>
  <c r="O139" i="4" s="1"/>
  <c r="P139" i="4" s="1"/>
  <c r="V139" i="4"/>
  <c r="W139" i="4" s="1"/>
  <c r="X139" i="4" s="1"/>
  <c r="Q139" i="4" l="1"/>
  <c r="AM139" i="4" s="1"/>
  <c r="C140" i="4"/>
  <c r="F140" i="4"/>
  <c r="B140" i="4"/>
  <c r="D140" i="4"/>
  <c r="J140" i="4"/>
  <c r="G140" i="4"/>
  <c r="E140" i="4"/>
  <c r="H140" i="4"/>
  <c r="I140" i="4"/>
  <c r="Y140" i="4" l="1"/>
  <c r="Z140" i="4" s="1"/>
  <c r="AF140" i="4"/>
  <c r="AG140" i="4" s="1"/>
  <c r="AJ140" i="4" s="1"/>
  <c r="AK140" i="4" s="1"/>
  <c r="AL140" i="4" s="1"/>
  <c r="R140" i="4"/>
  <c r="S140" i="4" s="1"/>
  <c r="V140" i="4" s="1"/>
  <c r="W140" i="4" s="1"/>
  <c r="X140" i="4" s="1"/>
  <c r="K140" i="4"/>
  <c r="L140" i="4" s="1"/>
  <c r="O140" i="4" s="1"/>
  <c r="P140" i="4" s="1"/>
  <c r="Q140" i="4" s="1"/>
  <c r="T140" i="4"/>
  <c r="U140" i="4" s="1"/>
  <c r="AH140" i="4"/>
  <c r="AI140" i="4" s="1"/>
  <c r="AA140" i="4"/>
  <c r="AB140" i="4" s="1"/>
  <c r="M140" i="4"/>
  <c r="N140" i="4" s="1"/>
  <c r="AC140" i="4" l="1"/>
  <c r="AD140" i="4" s="1"/>
  <c r="E141" i="4"/>
  <c r="J141" i="4"/>
  <c r="H141" i="4"/>
  <c r="G141" i="4"/>
  <c r="M141" i="4" l="1"/>
  <c r="N141" i="4" s="1"/>
  <c r="AA141" i="4"/>
  <c r="AB141" i="4" s="1"/>
  <c r="T141" i="4"/>
  <c r="U141" i="4" s="1"/>
  <c r="AE140" i="4"/>
  <c r="AM140" i="4" s="1"/>
  <c r="B141" i="4"/>
  <c r="F141" i="4"/>
  <c r="I141" i="4"/>
  <c r="C141" i="4"/>
  <c r="D141" i="4"/>
  <c r="AH141" i="4" l="1"/>
  <c r="AI141" i="4" s="1"/>
  <c r="Y141" i="4"/>
  <c r="Z141" i="4" s="1"/>
  <c r="AC141" i="4" s="1"/>
  <c r="AD141" i="4" s="1"/>
  <c r="AE141" i="4" s="1"/>
  <c r="K141" i="4"/>
  <c r="L141" i="4" s="1"/>
  <c r="O141" i="4" s="1"/>
  <c r="P141" i="4" s="1"/>
  <c r="AF141" i="4"/>
  <c r="AG141" i="4" s="1"/>
  <c r="R141" i="4"/>
  <c r="S141" i="4" s="1"/>
  <c r="V141" i="4" s="1"/>
  <c r="W141" i="4" s="1"/>
  <c r="X141" i="4" s="1"/>
  <c r="Q141" i="4" l="1"/>
  <c r="H142" i="4"/>
  <c r="J142" i="4"/>
  <c r="E142" i="4"/>
  <c r="G142" i="4"/>
  <c r="B142" i="4"/>
  <c r="AJ141" i="4"/>
  <c r="AK141" i="4" s="1"/>
  <c r="AL141" i="4" s="1"/>
  <c r="D142" i="4"/>
  <c r="M142" i="4" l="1"/>
  <c r="N142" i="4" s="1"/>
  <c r="T142" i="4"/>
  <c r="U142" i="4" s="1"/>
  <c r="AH142" i="4"/>
  <c r="AI142" i="4" s="1"/>
  <c r="AM141" i="4"/>
  <c r="I142" i="4"/>
  <c r="F142" i="4"/>
  <c r="C142" i="4"/>
  <c r="AF142" i="4" l="1"/>
  <c r="AG142" i="4" s="1"/>
  <c r="AJ142" i="4" s="1"/>
  <c r="AK142" i="4" s="1"/>
  <c r="AL142" i="4" s="1"/>
  <c r="Y142" i="4"/>
  <c r="Z142" i="4" s="1"/>
  <c r="R142" i="4"/>
  <c r="S142" i="4" s="1"/>
  <c r="V142" i="4" s="1"/>
  <c r="W142" i="4" s="1"/>
  <c r="X142" i="4" s="1"/>
  <c r="K142" i="4"/>
  <c r="L142" i="4" s="1"/>
  <c r="O142" i="4" s="1"/>
  <c r="P142" i="4" s="1"/>
  <c r="AA142" i="4"/>
  <c r="AB142" i="4" s="1"/>
  <c r="Q142" i="4" l="1"/>
  <c r="AC142" i="4"/>
  <c r="AD142" i="4" s="1"/>
  <c r="I143" i="4" s="1"/>
  <c r="D143" i="4" l="1"/>
  <c r="G143" i="4"/>
  <c r="AE142" i="4"/>
  <c r="AM142" i="4" s="1"/>
  <c r="AP25" i="4" s="1"/>
  <c r="F143" i="4"/>
  <c r="E143" i="4"/>
  <c r="J143" i="4"/>
  <c r="H143" i="4"/>
  <c r="B143" i="4"/>
  <c r="C143" i="4"/>
  <c r="AH143" i="4" l="1"/>
  <c r="AI143" i="4" s="1"/>
  <c r="M143" i="4"/>
  <c r="N143" i="4" s="1"/>
  <c r="AA143" i="4"/>
  <c r="AB143" i="4" s="1"/>
  <c r="T143" i="4"/>
  <c r="U143" i="4" s="1"/>
  <c r="R143" i="4"/>
  <c r="S143" i="4" s="1"/>
  <c r="Y143" i="4"/>
  <c r="Z143" i="4" s="1"/>
  <c r="AC143" i="4" s="1"/>
  <c r="AD143" i="4" s="1"/>
  <c r="AE143" i="4" s="1"/>
  <c r="K143" i="4"/>
  <c r="L143" i="4" s="1"/>
  <c r="O143" i="4" s="1"/>
  <c r="P143" i="4" s="1"/>
  <c r="AF143" i="4"/>
  <c r="AG143" i="4" s="1"/>
  <c r="AJ143" i="4" s="1"/>
  <c r="AK143" i="4" s="1"/>
  <c r="AL143" i="4" s="1"/>
  <c r="Q143" i="4" l="1"/>
  <c r="V143" i="4"/>
  <c r="W143" i="4" s="1"/>
  <c r="X143" i="4" s="1"/>
  <c r="C144" i="4"/>
  <c r="B144" i="4" l="1"/>
  <c r="AM143" i="4"/>
  <c r="I144" i="4"/>
  <c r="H144" i="4"/>
  <c r="G144" i="4"/>
  <c r="J144" i="4"/>
  <c r="D144" i="4"/>
  <c r="F144" i="4"/>
  <c r="E144" i="4"/>
  <c r="K144" i="4" l="1"/>
  <c r="L144" i="4" s="1"/>
  <c r="R144" i="4"/>
  <c r="S144" i="4" s="1"/>
  <c r="V144" i="4" s="1"/>
  <c r="W144" i="4" s="1"/>
  <c r="X144" i="4" s="1"/>
  <c r="AF144" i="4"/>
  <c r="AG144" i="4" s="1"/>
  <c r="Y144" i="4"/>
  <c r="Z144" i="4" s="1"/>
  <c r="AC144" i="4" s="1"/>
  <c r="AD144" i="4" s="1"/>
  <c r="AE144" i="4" s="1"/>
  <c r="T144" i="4"/>
  <c r="U144" i="4" s="1"/>
  <c r="AA144" i="4"/>
  <c r="AB144" i="4" s="1"/>
  <c r="M144" i="4"/>
  <c r="N144" i="4" s="1"/>
  <c r="AH144" i="4"/>
  <c r="AI144" i="4" s="1"/>
  <c r="AJ144" i="4" l="1"/>
  <c r="AK144" i="4" s="1"/>
  <c r="AL144" i="4" s="1"/>
  <c r="O144" i="4"/>
  <c r="P144" i="4" s="1"/>
  <c r="Q144" i="4" l="1"/>
  <c r="AM144" i="4" s="1"/>
  <c r="C145" i="4"/>
  <c r="D145" i="4"/>
  <c r="J145" i="4"/>
  <c r="G145" i="4"/>
  <c r="H145" i="4"/>
  <c r="I145" i="4"/>
  <c r="B145" i="4"/>
  <c r="F145" i="4"/>
  <c r="E145" i="4"/>
  <c r="R145" i="4" l="1"/>
  <c r="S145" i="4" s="1"/>
  <c r="Y145" i="4"/>
  <c r="Z145" i="4" s="1"/>
  <c r="AC145" i="4" s="1"/>
  <c r="AD145" i="4" s="1"/>
  <c r="AE145" i="4" s="1"/>
  <c r="K145" i="4"/>
  <c r="L145" i="4" s="1"/>
  <c r="AF145" i="4"/>
  <c r="AG145" i="4" s="1"/>
  <c r="AA145" i="4"/>
  <c r="AB145" i="4" s="1"/>
  <c r="AH145" i="4"/>
  <c r="AI145" i="4" s="1"/>
  <c r="T145" i="4"/>
  <c r="U145" i="4" s="1"/>
  <c r="M145" i="4"/>
  <c r="N145" i="4" s="1"/>
  <c r="O145" i="4" l="1"/>
  <c r="P145" i="4" s="1"/>
  <c r="V145" i="4"/>
  <c r="W145" i="4" s="1"/>
  <c r="X145" i="4" s="1"/>
  <c r="AJ145" i="4"/>
  <c r="AK145" i="4" s="1"/>
  <c r="AL145" i="4" s="1"/>
  <c r="Q145" i="4" l="1"/>
  <c r="AM145" i="4" s="1"/>
  <c r="I146" i="4"/>
  <c r="F146" i="4"/>
  <c r="G146" i="4"/>
  <c r="H146" i="4"/>
  <c r="D146" i="4"/>
  <c r="J146" i="4"/>
  <c r="C146" i="4"/>
  <c r="E146" i="4"/>
  <c r="B146" i="4"/>
  <c r="AF146" i="4" l="1"/>
  <c r="AG146" i="4" s="1"/>
  <c r="R146" i="4"/>
  <c r="S146" i="4" s="1"/>
  <c r="V146" i="4" s="1"/>
  <c r="W146" i="4" s="1"/>
  <c r="X146" i="4" s="1"/>
  <c r="Y146" i="4"/>
  <c r="Z146" i="4" s="1"/>
  <c r="K146" i="4"/>
  <c r="L146" i="4" s="1"/>
  <c r="AA146" i="4"/>
  <c r="AB146" i="4" s="1"/>
  <c r="M146" i="4"/>
  <c r="N146" i="4" s="1"/>
  <c r="AH146" i="4"/>
  <c r="AI146" i="4" s="1"/>
  <c r="T146" i="4"/>
  <c r="U146" i="4" s="1"/>
  <c r="O146" i="4" l="1"/>
  <c r="P146" i="4" s="1"/>
  <c r="AC146" i="4"/>
  <c r="AD146" i="4" s="1"/>
  <c r="AE146" i="4" s="1"/>
  <c r="AJ146" i="4"/>
  <c r="AK146" i="4" s="1"/>
  <c r="AL146" i="4" s="1"/>
  <c r="Q146" i="4" l="1"/>
  <c r="AM146" i="4" s="1"/>
  <c r="C147" i="4"/>
  <c r="J147" i="4"/>
  <c r="I147" i="4"/>
  <c r="E147" i="4"/>
  <c r="G147" i="4"/>
  <c r="H147" i="4"/>
  <c r="F147" i="4"/>
  <c r="D147" i="4"/>
  <c r="B147" i="4"/>
  <c r="AH147" i="4" l="1"/>
  <c r="AI147" i="4" s="1"/>
  <c r="M147" i="4"/>
  <c r="N147" i="4" s="1"/>
  <c r="T147" i="4"/>
  <c r="U147" i="4" s="1"/>
  <c r="AA147" i="4"/>
  <c r="AB147" i="4" s="1"/>
  <c r="R147" i="4"/>
  <c r="S147" i="4" s="1"/>
  <c r="Y147" i="4"/>
  <c r="Z147" i="4" s="1"/>
  <c r="AF147" i="4"/>
  <c r="AG147" i="4" s="1"/>
  <c r="AJ147" i="4" s="1"/>
  <c r="AK147" i="4" s="1"/>
  <c r="AL147" i="4" s="1"/>
  <c r="K147" i="4"/>
  <c r="L147" i="4" s="1"/>
  <c r="O147" i="4" s="1"/>
  <c r="P147" i="4" s="1"/>
  <c r="Q147" i="4" s="1"/>
  <c r="V147" i="4" l="1"/>
  <c r="W147" i="4" s="1"/>
  <c r="X147" i="4" s="1"/>
  <c r="AC147" i="4"/>
  <c r="AD147" i="4" s="1"/>
  <c r="AE147" i="4" s="1"/>
  <c r="AM147" i="4" s="1"/>
  <c r="G148" i="4"/>
  <c r="E148" i="4" l="1"/>
  <c r="F148" i="4"/>
  <c r="C148" i="4"/>
  <c r="I148" i="4"/>
  <c r="J148" i="4"/>
  <c r="D148" i="4"/>
  <c r="H148" i="4"/>
  <c r="B148" i="4"/>
  <c r="T148" i="4" l="1"/>
  <c r="U148" i="4" s="1"/>
  <c r="AA148" i="4"/>
  <c r="AB148" i="4" s="1"/>
  <c r="M148" i="4"/>
  <c r="N148" i="4" s="1"/>
  <c r="AH148" i="4"/>
  <c r="AI148" i="4" s="1"/>
  <c r="AF148" i="4"/>
  <c r="AG148" i="4" s="1"/>
  <c r="K148" i="4"/>
  <c r="L148" i="4" s="1"/>
  <c r="Y148" i="4"/>
  <c r="Z148" i="4" s="1"/>
  <c r="AC148" i="4" s="1"/>
  <c r="AD148" i="4" s="1"/>
  <c r="AE148" i="4" s="1"/>
  <c r="R148" i="4"/>
  <c r="S148" i="4" s="1"/>
  <c r="V148" i="4" s="1"/>
  <c r="W148" i="4" s="1"/>
  <c r="X148" i="4" s="1"/>
  <c r="O148" i="4" l="1"/>
  <c r="P148" i="4" s="1"/>
  <c r="AJ148" i="4"/>
  <c r="AK148" i="4" s="1"/>
  <c r="AL148" i="4" s="1"/>
  <c r="Q148" i="4" l="1"/>
  <c r="AM148" i="4" s="1"/>
  <c r="G149" i="4"/>
  <c r="H149" i="4"/>
  <c r="D149" i="4"/>
  <c r="J149" i="4"/>
  <c r="I149" i="4"/>
  <c r="C149" i="4"/>
  <c r="F149" i="4"/>
  <c r="E149" i="4"/>
  <c r="B149" i="4"/>
  <c r="AF149" i="4" l="1"/>
  <c r="AG149" i="4" s="1"/>
  <c r="AJ149" i="4" s="1"/>
  <c r="AK149" i="4" s="1"/>
  <c r="AL149" i="4" s="1"/>
  <c r="R149" i="4"/>
  <c r="S149" i="4" s="1"/>
  <c r="V149" i="4" s="1"/>
  <c r="W149" i="4" s="1"/>
  <c r="X149" i="4" s="1"/>
  <c r="K149" i="4"/>
  <c r="L149" i="4" s="1"/>
  <c r="Y149" i="4"/>
  <c r="Z149" i="4" s="1"/>
  <c r="M149" i="4"/>
  <c r="N149" i="4" s="1"/>
  <c r="AH149" i="4"/>
  <c r="AI149" i="4" s="1"/>
  <c r="AA149" i="4"/>
  <c r="AB149" i="4" s="1"/>
  <c r="T149" i="4"/>
  <c r="U149" i="4" s="1"/>
  <c r="O149" i="4" l="1"/>
  <c r="P149" i="4" s="1"/>
  <c r="AC149" i="4"/>
  <c r="AD149" i="4" s="1"/>
  <c r="AE149" i="4" s="1"/>
  <c r="Q149" i="4" l="1"/>
  <c r="AM149" i="4" s="1"/>
  <c r="F150" i="4"/>
  <c r="B150" i="4"/>
  <c r="I150" i="4"/>
  <c r="G150" i="4"/>
  <c r="C150" i="4"/>
  <c r="D150" i="4"/>
  <c r="J150" i="4"/>
  <c r="H150" i="4"/>
  <c r="E150" i="4"/>
  <c r="AF150" i="4" l="1"/>
  <c r="AG150" i="4" s="1"/>
  <c r="AJ150" i="4" s="1"/>
  <c r="AK150" i="4" s="1"/>
  <c r="AL150" i="4" s="1"/>
  <c r="K150" i="4"/>
  <c r="L150" i="4" s="1"/>
  <c r="R150" i="4"/>
  <c r="S150" i="4" s="1"/>
  <c r="Y150" i="4"/>
  <c r="Z150" i="4" s="1"/>
  <c r="T150" i="4"/>
  <c r="U150" i="4" s="1"/>
  <c r="AA150" i="4"/>
  <c r="AB150" i="4" s="1"/>
  <c r="AH150" i="4"/>
  <c r="AI150" i="4" s="1"/>
  <c r="M150" i="4"/>
  <c r="N150" i="4" s="1"/>
  <c r="AC150" i="4" l="1"/>
  <c r="AD150" i="4" s="1"/>
  <c r="AE150" i="4" s="1"/>
  <c r="V150" i="4"/>
  <c r="W150" i="4" s="1"/>
  <c r="X150" i="4" s="1"/>
  <c r="O150" i="4"/>
  <c r="P150" i="4" s="1"/>
  <c r="Q150" i="4" l="1"/>
  <c r="AM150" i="4" s="1"/>
  <c r="J151" i="4"/>
  <c r="H151" i="4"/>
  <c r="D151" i="4"/>
  <c r="C151" i="4"/>
  <c r="E151" i="4"/>
  <c r="G151" i="4"/>
  <c r="I151" i="4"/>
  <c r="F151" i="4"/>
  <c r="B151" i="4"/>
  <c r="R151" i="4" l="1"/>
  <c r="S151" i="4" s="1"/>
  <c r="K151" i="4"/>
  <c r="L151" i="4" s="1"/>
  <c r="Y151" i="4"/>
  <c r="Z151" i="4" s="1"/>
  <c r="AF151" i="4"/>
  <c r="AG151" i="4" s="1"/>
  <c r="AJ151" i="4" s="1"/>
  <c r="AK151" i="4" s="1"/>
  <c r="AL151" i="4" s="1"/>
  <c r="AH151" i="4"/>
  <c r="AI151" i="4" s="1"/>
  <c r="T151" i="4"/>
  <c r="U151" i="4" s="1"/>
  <c r="AA151" i="4"/>
  <c r="AB151" i="4" s="1"/>
  <c r="M151" i="4"/>
  <c r="N151" i="4" s="1"/>
  <c r="V151" i="4" l="1"/>
  <c r="W151" i="4" s="1"/>
  <c r="X151" i="4" s="1"/>
  <c r="AC151" i="4"/>
  <c r="AD151" i="4" s="1"/>
  <c r="AE151" i="4" s="1"/>
  <c r="O151" i="4"/>
  <c r="P151" i="4" s="1"/>
  <c r="Q151" i="4" l="1"/>
  <c r="AM151" i="4" s="1"/>
  <c r="I152" i="4"/>
  <c r="J152" i="4"/>
  <c r="F152" i="4"/>
  <c r="G152" i="4"/>
  <c r="C152" i="4"/>
  <c r="H152" i="4"/>
  <c r="E152" i="4"/>
  <c r="B152" i="4"/>
  <c r="D152" i="4"/>
  <c r="T152" i="4" l="1"/>
  <c r="U152" i="4" s="1"/>
  <c r="AA152" i="4"/>
  <c r="AB152" i="4" s="1"/>
  <c r="AH152" i="4"/>
  <c r="AI152" i="4" s="1"/>
  <c r="M152" i="4"/>
  <c r="N152" i="4" s="1"/>
  <c r="R152" i="4"/>
  <c r="S152" i="4" s="1"/>
  <c r="V152" i="4" s="1"/>
  <c r="W152" i="4" s="1"/>
  <c r="X152" i="4" s="1"/>
  <c r="AF152" i="4"/>
  <c r="AG152" i="4" s="1"/>
  <c r="Y152" i="4"/>
  <c r="Z152" i="4" s="1"/>
  <c r="AC152" i="4" s="1"/>
  <c r="AD152" i="4" s="1"/>
  <c r="AE152" i="4" s="1"/>
  <c r="K152" i="4"/>
  <c r="L152" i="4" s="1"/>
  <c r="O152" i="4" s="1"/>
  <c r="P152" i="4" s="1"/>
  <c r="Q152" i="4" s="1"/>
  <c r="AJ152" i="4" l="1"/>
  <c r="AK152" i="4" s="1"/>
  <c r="I153" i="4"/>
  <c r="J153" i="4"/>
  <c r="C153" i="4"/>
  <c r="F153" i="4"/>
  <c r="D153" i="4"/>
  <c r="G153" i="4"/>
  <c r="H153" i="4"/>
  <c r="AL152" i="4" l="1"/>
  <c r="AM152" i="4" s="1"/>
  <c r="AP26" i="4" s="1"/>
  <c r="E153" i="4"/>
  <c r="B153" i="4"/>
  <c r="Y153" i="4" l="1"/>
  <c r="Z153" i="4" s="1"/>
  <c r="AF153" i="4"/>
  <c r="AG153" i="4" s="1"/>
  <c r="K153" i="4"/>
  <c r="L153" i="4" s="1"/>
  <c r="R153" i="4"/>
  <c r="S153" i="4" s="1"/>
  <c r="V153" i="4" s="1"/>
  <c r="W153" i="4" s="1"/>
  <c r="X153" i="4" s="1"/>
  <c r="AH153" i="4"/>
  <c r="AI153" i="4" s="1"/>
  <c r="M153" i="4"/>
  <c r="N153" i="4" s="1"/>
  <c r="AA153" i="4"/>
  <c r="AB153" i="4" s="1"/>
  <c r="T153" i="4"/>
  <c r="U153" i="4" s="1"/>
  <c r="O153" i="4" l="1"/>
  <c r="P153" i="4" s="1"/>
  <c r="AJ153" i="4"/>
  <c r="AK153" i="4" s="1"/>
  <c r="AL153" i="4" s="1"/>
  <c r="AC153" i="4"/>
  <c r="AD153" i="4" s="1"/>
  <c r="AE153" i="4" s="1"/>
  <c r="Q153" i="4" l="1"/>
  <c r="AM153" i="4" s="1"/>
  <c r="D154" i="4"/>
  <c r="I154" i="4"/>
  <c r="G154" i="4"/>
  <c r="F154" i="4"/>
  <c r="J154" i="4"/>
  <c r="H154" i="4"/>
  <c r="C154" i="4"/>
  <c r="B154" i="4"/>
  <c r="E154" i="4"/>
  <c r="AH154" i="4" l="1"/>
  <c r="AI154" i="4" s="1"/>
  <c r="M154" i="4"/>
  <c r="N154" i="4" s="1"/>
  <c r="AA154" i="4"/>
  <c r="AB154" i="4" s="1"/>
  <c r="T154" i="4"/>
  <c r="U154" i="4" s="1"/>
  <c r="AF154" i="4"/>
  <c r="AG154" i="4" s="1"/>
  <c r="AJ154" i="4" s="1"/>
  <c r="AK154" i="4" s="1"/>
  <c r="AL154" i="4" s="1"/>
  <c r="Y154" i="4"/>
  <c r="Z154" i="4" s="1"/>
  <c r="AC154" i="4" s="1"/>
  <c r="AD154" i="4" s="1"/>
  <c r="AE154" i="4" s="1"/>
  <c r="R154" i="4"/>
  <c r="S154" i="4" s="1"/>
  <c r="V154" i="4" s="1"/>
  <c r="W154" i="4" s="1"/>
  <c r="X154" i="4" s="1"/>
  <c r="K154" i="4"/>
  <c r="L154" i="4" s="1"/>
  <c r="O154" i="4" l="1"/>
  <c r="P154" i="4" s="1"/>
  <c r="Q154" i="4" l="1"/>
  <c r="AM154" i="4" s="1"/>
  <c r="C155" i="4"/>
  <c r="H155" i="4"/>
  <c r="F155" i="4"/>
  <c r="I155" i="4"/>
  <c r="D155" i="4"/>
  <c r="B155" i="4"/>
  <c r="E155" i="4"/>
  <c r="J155" i="4"/>
  <c r="G155" i="4"/>
  <c r="AH155" i="4" l="1"/>
  <c r="AI155" i="4" s="1"/>
  <c r="M155" i="4"/>
  <c r="N155" i="4" s="1"/>
  <c r="T155" i="4"/>
  <c r="U155" i="4" s="1"/>
  <c r="AA155" i="4"/>
  <c r="AB155" i="4" s="1"/>
  <c r="R155" i="4"/>
  <c r="S155" i="4" s="1"/>
  <c r="V155" i="4" s="1"/>
  <c r="W155" i="4" s="1"/>
  <c r="X155" i="4" s="1"/>
  <c r="AF155" i="4"/>
  <c r="AG155" i="4" s="1"/>
  <c r="AJ155" i="4" s="1"/>
  <c r="AK155" i="4" s="1"/>
  <c r="AL155" i="4" s="1"/>
  <c r="K155" i="4"/>
  <c r="L155" i="4" s="1"/>
  <c r="Y155" i="4"/>
  <c r="Z155" i="4" s="1"/>
  <c r="AC155" i="4" l="1"/>
  <c r="AD155" i="4" s="1"/>
  <c r="AE155" i="4" s="1"/>
  <c r="O155" i="4"/>
  <c r="P155" i="4" s="1"/>
  <c r="Q155" i="4" l="1"/>
  <c r="AM155" i="4" s="1"/>
  <c r="J156" i="4"/>
  <c r="F156" i="4"/>
  <c r="E156" i="4"/>
  <c r="I156" i="4"/>
  <c r="H156" i="4"/>
  <c r="B156" i="4"/>
  <c r="G156" i="4"/>
  <c r="C156" i="4"/>
  <c r="D156" i="4"/>
  <c r="K156" i="4" l="1"/>
  <c r="L156" i="4" s="1"/>
  <c r="R156" i="4"/>
  <c r="S156" i="4" s="1"/>
  <c r="AF156" i="4"/>
  <c r="AG156" i="4" s="1"/>
  <c r="Y156" i="4"/>
  <c r="Z156" i="4" s="1"/>
  <c r="T156" i="4"/>
  <c r="U156" i="4" s="1"/>
  <c r="M156" i="4"/>
  <c r="N156" i="4" s="1"/>
  <c r="AA156" i="4"/>
  <c r="AB156" i="4" s="1"/>
  <c r="AH156" i="4"/>
  <c r="AI156" i="4" s="1"/>
  <c r="AC156" i="4" l="1"/>
  <c r="AD156" i="4" s="1"/>
  <c r="AE156" i="4" s="1"/>
  <c r="AJ156" i="4"/>
  <c r="AK156" i="4" s="1"/>
  <c r="AL156" i="4" s="1"/>
  <c r="V156" i="4"/>
  <c r="W156" i="4" s="1"/>
  <c r="X156" i="4" s="1"/>
  <c r="O156" i="4"/>
  <c r="P156" i="4" s="1"/>
  <c r="Q156" i="4" l="1"/>
  <c r="AM156" i="4" s="1"/>
  <c r="B157" i="4"/>
  <c r="G157" i="4"/>
  <c r="C157" i="4"/>
  <c r="H157" i="4"/>
  <c r="I157" i="4"/>
  <c r="F157" i="4"/>
  <c r="J157" i="4"/>
  <c r="D157" i="4"/>
  <c r="E157" i="4"/>
  <c r="K157" i="4" l="1"/>
  <c r="L157" i="4" s="1"/>
  <c r="R157" i="4"/>
  <c r="S157" i="4" s="1"/>
  <c r="V157" i="4" s="1"/>
  <c r="W157" i="4" s="1"/>
  <c r="X157" i="4" s="1"/>
  <c r="AF157" i="4"/>
  <c r="AG157" i="4" s="1"/>
  <c r="AJ157" i="4" s="1"/>
  <c r="AK157" i="4" s="1"/>
  <c r="AL157" i="4" s="1"/>
  <c r="Y157" i="4"/>
  <c r="Z157" i="4" s="1"/>
  <c r="AC157" i="4" s="1"/>
  <c r="AD157" i="4" s="1"/>
  <c r="AE157" i="4" s="1"/>
  <c r="T157" i="4"/>
  <c r="U157" i="4" s="1"/>
  <c r="AH157" i="4"/>
  <c r="AI157" i="4" s="1"/>
  <c r="AA157" i="4"/>
  <c r="AB157" i="4" s="1"/>
  <c r="M157" i="4"/>
  <c r="N157" i="4" s="1"/>
  <c r="O157" i="4" l="1"/>
  <c r="P157" i="4" s="1"/>
  <c r="Q157" i="4" l="1"/>
  <c r="AM157" i="4" s="1"/>
  <c r="F158" i="4"/>
  <c r="J158" i="4"/>
  <c r="D158" i="4"/>
  <c r="H158" i="4"/>
  <c r="I158" i="4"/>
  <c r="G158" i="4"/>
  <c r="C158" i="4"/>
  <c r="E158" i="4"/>
  <c r="B158" i="4"/>
  <c r="AF158" i="4" l="1"/>
  <c r="AG158" i="4" s="1"/>
  <c r="R158" i="4"/>
  <c r="S158" i="4" s="1"/>
  <c r="V158" i="4" s="1"/>
  <c r="W158" i="4" s="1"/>
  <c r="X158" i="4" s="1"/>
  <c r="Y158" i="4"/>
  <c r="Z158" i="4" s="1"/>
  <c r="K158" i="4"/>
  <c r="L158" i="4" s="1"/>
  <c r="AA158" i="4"/>
  <c r="AB158" i="4" s="1"/>
  <c r="AH158" i="4"/>
  <c r="AI158" i="4" s="1"/>
  <c r="M158" i="4"/>
  <c r="N158" i="4" s="1"/>
  <c r="T158" i="4"/>
  <c r="U158" i="4" s="1"/>
  <c r="O158" i="4" l="1"/>
  <c r="P158" i="4" s="1"/>
  <c r="AC158" i="4"/>
  <c r="AD158" i="4" s="1"/>
  <c r="AE158" i="4" s="1"/>
  <c r="AJ158" i="4"/>
  <c r="AK158" i="4" s="1"/>
  <c r="AL158" i="4" s="1"/>
  <c r="Q158" i="4" l="1"/>
  <c r="AM158" i="4" s="1"/>
  <c r="C159" i="4"/>
  <c r="G159" i="4"/>
  <c r="F159" i="4"/>
  <c r="E159" i="4"/>
  <c r="H159" i="4"/>
  <c r="J159" i="4"/>
  <c r="I159" i="4"/>
  <c r="D159" i="4"/>
  <c r="B159" i="4"/>
  <c r="AH159" i="4" l="1"/>
  <c r="AI159" i="4" s="1"/>
  <c r="AA159" i="4"/>
  <c r="AB159" i="4" s="1"/>
  <c r="T159" i="4"/>
  <c r="U159" i="4" s="1"/>
  <c r="M159" i="4"/>
  <c r="N159" i="4" s="1"/>
  <c r="R159" i="4"/>
  <c r="S159" i="4" s="1"/>
  <c r="Y159" i="4"/>
  <c r="Z159" i="4" s="1"/>
  <c r="AF159" i="4"/>
  <c r="AG159" i="4" s="1"/>
  <c r="AJ159" i="4" s="1"/>
  <c r="AK159" i="4" s="1"/>
  <c r="AL159" i="4" s="1"/>
  <c r="K159" i="4"/>
  <c r="L159" i="4" s="1"/>
  <c r="O159" i="4" s="1"/>
  <c r="P159" i="4" s="1"/>
  <c r="Q159" i="4" s="1"/>
  <c r="AC159" i="4" l="1"/>
  <c r="AD159" i="4" s="1"/>
  <c r="AE159" i="4" s="1"/>
  <c r="V159" i="4"/>
  <c r="W159" i="4" s="1"/>
  <c r="X159" i="4" s="1"/>
  <c r="AM159" i="4" s="1"/>
  <c r="F160" i="4"/>
  <c r="H160" i="4"/>
  <c r="G160" i="4" l="1"/>
  <c r="J160" i="4"/>
  <c r="E160" i="4"/>
  <c r="C160" i="4"/>
  <c r="D160" i="4"/>
  <c r="B160" i="4"/>
  <c r="I160" i="4"/>
  <c r="Y160" i="4" l="1"/>
  <c r="Z160" i="4" s="1"/>
  <c r="AF160" i="4"/>
  <c r="AG160" i="4" s="1"/>
  <c r="R160" i="4"/>
  <c r="S160" i="4" s="1"/>
  <c r="V160" i="4" s="1"/>
  <c r="W160" i="4" s="1"/>
  <c r="X160" i="4" s="1"/>
  <c r="K160" i="4"/>
  <c r="L160" i="4" s="1"/>
  <c r="O160" i="4" s="1"/>
  <c r="P160" i="4" s="1"/>
  <c r="T160" i="4"/>
  <c r="U160" i="4" s="1"/>
  <c r="AH160" i="4"/>
  <c r="AI160" i="4" s="1"/>
  <c r="M160" i="4"/>
  <c r="N160" i="4" s="1"/>
  <c r="AA160" i="4"/>
  <c r="AB160" i="4" s="1"/>
  <c r="Q160" i="4" l="1"/>
  <c r="C161" i="4"/>
  <c r="AJ160" i="4"/>
  <c r="AK160" i="4" s="1"/>
  <c r="AL160" i="4" s="1"/>
  <c r="E161" i="4"/>
  <c r="AC160" i="4"/>
  <c r="AD160" i="4" s="1"/>
  <c r="J161" i="4" l="1"/>
  <c r="AE160" i="4"/>
  <c r="I161" i="4"/>
  <c r="D161" i="4"/>
  <c r="T161" i="4"/>
  <c r="U161" i="4" s="1"/>
  <c r="G161" i="4"/>
  <c r="H161" i="4"/>
  <c r="F161" i="4"/>
  <c r="AH161" i="4" s="1"/>
  <c r="AI161" i="4" s="1"/>
  <c r="B161" i="4"/>
  <c r="AM160" i="4"/>
  <c r="AF161" i="4" l="1"/>
  <c r="AG161" i="4" s="1"/>
  <c r="AJ161" i="4" s="1"/>
  <c r="AK161" i="4" s="1"/>
  <c r="AL161" i="4" s="1"/>
  <c r="K161" i="4"/>
  <c r="L161" i="4" s="1"/>
  <c r="Y161" i="4"/>
  <c r="Z161" i="4" s="1"/>
  <c r="R161" i="4"/>
  <c r="S161" i="4" s="1"/>
  <c r="V161" i="4" s="1"/>
  <c r="W161" i="4" s="1"/>
  <c r="X161" i="4" s="1"/>
  <c r="M161" i="4"/>
  <c r="N161" i="4" s="1"/>
  <c r="AA161" i="4"/>
  <c r="AB161" i="4" s="1"/>
  <c r="AC161" i="4" l="1"/>
  <c r="AD161" i="4" s="1"/>
  <c r="AE161" i="4" s="1"/>
  <c r="O161" i="4"/>
  <c r="P161" i="4" s="1"/>
  <c r="Q161" i="4" l="1"/>
  <c r="AM161" i="4" s="1"/>
  <c r="C162" i="4"/>
  <c r="E162" i="4"/>
  <c r="F162" i="4"/>
  <c r="I162" i="4"/>
  <c r="J162" i="4"/>
  <c r="H162" i="4"/>
  <c r="B162" i="4"/>
  <c r="D162" i="4"/>
  <c r="G162" i="4"/>
  <c r="AF162" i="4" l="1"/>
  <c r="AG162" i="4" s="1"/>
  <c r="R162" i="4"/>
  <c r="S162" i="4" s="1"/>
  <c r="V162" i="4" s="1"/>
  <c r="W162" i="4" s="1"/>
  <c r="X162" i="4" s="1"/>
  <c r="K162" i="4"/>
  <c r="L162" i="4" s="1"/>
  <c r="Y162" i="4"/>
  <c r="Z162" i="4" s="1"/>
  <c r="AC162" i="4" s="1"/>
  <c r="AD162" i="4" s="1"/>
  <c r="AE162" i="4" s="1"/>
  <c r="M162" i="4"/>
  <c r="N162" i="4" s="1"/>
  <c r="T162" i="4"/>
  <c r="U162" i="4" s="1"/>
  <c r="AH162" i="4"/>
  <c r="AI162" i="4" s="1"/>
  <c r="AA162" i="4"/>
  <c r="AB162" i="4" s="1"/>
  <c r="O162" i="4" l="1"/>
  <c r="P162" i="4" s="1"/>
  <c r="AJ162" i="4"/>
  <c r="AK162" i="4" s="1"/>
  <c r="AL162" i="4" s="1"/>
  <c r="Q162" i="4" l="1"/>
  <c r="AM162" i="4" s="1"/>
  <c r="AP27" i="4" s="1"/>
  <c r="B163" i="4"/>
  <c r="D163" i="4"/>
  <c r="C163" i="4"/>
  <c r="J163" i="4"/>
  <c r="F163" i="4"/>
  <c r="G163" i="4"/>
  <c r="E163" i="4"/>
  <c r="H163" i="4"/>
  <c r="I163" i="4"/>
  <c r="AH163" i="4" l="1"/>
  <c r="AI163" i="4" s="1"/>
  <c r="T163" i="4"/>
  <c r="U163" i="4" s="1"/>
  <c r="AA163" i="4"/>
  <c r="AB163" i="4" s="1"/>
  <c r="M163" i="4"/>
  <c r="N163" i="4" s="1"/>
  <c r="R163" i="4"/>
  <c r="S163" i="4" s="1"/>
  <c r="K163" i="4"/>
  <c r="L163" i="4" s="1"/>
  <c r="Y163" i="4"/>
  <c r="Z163" i="4" s="1"/>
  <c r="AC163" i="4" s="1"/>
  <c r="AD163" i="4" s="1"/>
  <c r="AE163" i="4" s="1"/>
  <c r="AF163" i="4"/>
  <c r="AG163" i="4" s="1"/>
  <c r="AJ163" i="4" s="1"/>
  <c r="AK163" i="4" s="1"/>
  <c r="AL163" i="4" s="1"/>
  <c r="O163" i="4" l="1"/>
  <c r="P163" i="4" s="1"/>
  <c r="V163" i="4"/>
  <c r="W163" i="4" s="1"/>
  <c r="X163" i="4" s="1"/>
  <c r="Q163" i="4" l="1"/>
  <c r="AM163" i="4" s="1"/>
  <c r="H164" i="4"/>
  <c r="I164" i="4"/>
  <c r="E164" i="4"/>
  <c r="B164" i="4"/>
  <c r="G164" i="4"/>
  <c r="F164" i="4"/>
  <c r="J164" i="4"/>
  <c r="C164" i="4"/>
  <c r="D164" i="4"/>
  <c r="R164" i="4" l="1"/>
  <c r="S164" i="4" s="1"/>
  <c r="Y164" i="4"/>
  <c r="Z164" i="4" s="1"/>
  <c r="AF164" i="4"/>
  <c r="AG164" i="4" s="1"/>
  <c r="K164" i="4"/>
  <c r="L164" i="4" s="1"/>
  <c r="T164" i="4"/>
  <c r="U164" i="4" s="1"/>
  <c r="AA164" i="4"/>
  <c r="AB164" i="4" s="1"/>
  <c r="AH164" i="4"/>
  <c r="AI164" i="4" s="1"/>
  <c r="M164" i="4"/>
  <c r="N164" i="4" s="1"/>
  <c r="O164" i="4" l="1"/>
  <c r="P164" i="4" s="1"/>
  <c r="AJ164" i="4"/>
  <c r="AK164" i="4" s="1"/>
  <c r="AL164" i="4" s="1"/>
  <c r="AC164" i="4"/>
  <c r="AD164" i="4" s="1"/>
  <c r="AE164" i="4" s="1"/>
  <c r="V164" i="4"/>
  <c r="W164" i="4" s="1"/>
  <c r="X164" i="4" s="1"/>
  <c r="Q164" i="4" l="1"/>
  <c r="AM164" i="4" s="1"/>
  <c r="F165" i="4"/>
  <c r="J165" i="4"/>
  <c r="C165" i="4"/>
  <c r="G165" i="4"/>
  <c r="H165" i="4"/>
  <c r="E165" i="4"/>
  <c r="B165" i="4"/>
  <c r="I165" i="4"/>
  <c r="D165" i="4"/>
  <c r="R165" i="4" l="1"/>
  <c r="S165" i="4" s="1"/>
  <c r="Y165" i="4"/>
  <c r="Z165" i="4" s="1"/>
  <c r="AC165" i="4" s="1"/>
  <c r="AD165" i="4" s="1"/>
  <c r="AE165" i="4" s="1"/>
  <c r="K165" i="4"/>
  <c r="L165" i="4" s="1"/>
  <c r="AF165" i="4"/>
  <c r="AG165" i="4" s="1"/>
  <c r="AJ165" i="4" s="1"/>
  <c r="AK165" i="4" s="1"/>
  <c r="AL165" i="4" s="1"/>
  <c r="AA165" i="4"/>
  <c r="AB165" i="4" s="1"/>
  <c r="AH165" i="4"/>
  <c r="AI165" i="4" s="1"/>
  <c r="T165" i="4"/>
  <c r="U165" i="4" s="1"/>
  <c r="M165" i="4"/>
  <c r="N165" i="4" s="1"/>
  <c r="O165" i="4" l="1"/>
  <c r="P165" i="4" s="1"/>
  <c r="V165" i="4"/>
  <c r="W165" i="4" s="1"/>
  <c r="X165" i="4" s="1"/>
  <c r="Q165" i="4" l="1"/>
  <c r="AM165" i="4" s="1"/>
  <c r="I166" i="4"/>
  <c r="B166" i="4"/>
  <c r="E166" i="4"/>
  <c r="H166" i="4"/>
  <c r="G166" i="4"/>
  <c r="C166" i="4"/>
  <c r="J166" i="4"/>
  <c r="D166" i="4"/>
  <c r="F166" i="4"/>
  <c r="AF166" i="4" l="1"/>
  <c r="AG166" i="4" s="1"/>
  <c r="AJ166" i="4" s="1"/>
  <c r="AK166" i="4" s="1"/>
  <c r="AL166" i="4" s="1"/>
  <c r="Y166" i="4"/>
  <c r="Z166" i="4" s="1"/>
  <c r="R166" i="4"/>
  <c r="S166" i="4" s="1"/>
  <c r="K166" i="4"/>
  <c r="L166" i="4" s="1"/>
  <c r="O166" i="4" s="1"/>
  <c r="P166" i="4" s="1"/>
  <c r="Q166" i="4" s="1"/>
  <c r="AH166" i="4"/>
  <c r="AI166" i="4" s="1"/>
  <c r="M166" i="4"/>
  <c r="N166" i="4" s="1"/>
  <c r="AA166" i="4"/>
  <c r="AB166" i="4" s="1"/>
  <c r="T166" i="4"/>
  <c r="U166" i="4" s="1"/>
  <c r="V166" i="4" l="1"/>
  <c r="W166" i="4" s="1"/>
  <c r="X166" i="4" s="1"/>
  <c r="AC166" i="4"/>
  <c r="AD166" i="4" s="1"/>
  <c r="AE166" i="4" s="1"/>
  <c r="AM166" i="4" s="1"/>
  <c r="B167" i="4"/>
  <c r="E167" i="4"/>
  <c r="H167" i="4"/>
  <c r="G167" i="4"/>
  <c r="T167" i="4" l="1"/>
  <c r="U167" i="4" s="1"/>
  <c r="M167" i="4"/>
  <c r="N167" i="4" s="1"/>
  <c r="AA167" i="4"/>
  <c r="AB167" i="4" s="1"/>
  <c r="D167" i="4"/>
  <c r="J167" i="4"/>
  <c r="I167" i="4"/>
  <c r="C167" i="4"/>
  <c r="F167" i="4"/>
  <c r="AH167" i="4" s="1"/>
  <c r="AI167" i="4" s="1"/>
  <c r="K167" i="4" l="1"/>
  <c r="L167" i="4" s="1"/>
  <c r="O167" i="4" s="1"/>
  <c r="P167" i="4" s="1"/>
  <c r="Y167" i="4"/>
  <c r="Z167" i="4" s="1"/>
  <c r="AC167" i="4" s="1"/>
  <c r="AD167" i="4" s="1"/>
  <c r="AE167" i="4" s="1"/>
  <c r="AF167" i="4"/>
  <c r="AG167" i="4" s="1"/>
  <c r="AJ167" i="4" s="1"/>
  <c r="AK167" i="4" s="1"/>
  <c r="AL167" i="4" s="1"/>
  <c r="I168" i="4"/>
  <c r="J168" i="4"/>
  <c r="F168" i="4"/>
  <c r="R167" i="4"/>
  <c r="S167" i="4" s="1"/>
  <c r="V167" i="4" s="1"/>
  <c r="W167" i="4" s="1"/>
  <c r="X167" i="4" s="1"/>
  <c r="Q167" i="4" l="1"/>
  <c r="AM167" i="4" s="1"/>
  <c r="G168" i="4"/>
  <c r="B168" i="4"/>
  <c r="E168" i="4"/>
  <c r="H168" i="4"/>
  <c r="D168" i="4"/>
  <c r="C168" i="4"/>
  <c r="AF168" i="4" l="1"/>
  <c r="AG168" i="4" s="1"/>
  <c r="K168" i="4"/>
  <c r="L168" i="4" s="1"/>
  <c r="O168" i="4" s="1"/>
  <c r="P168" i="4" s="1"/>
  <c r="Y168" i="4"/>
  <c r="Z168" i="4" s="1"/>
  <c r="AC168" i="4" s="1"/>
  <c r="AD168" i="4" s="1"/>
  <c r="AE168" i="4" s="1"/>
  <c r="R168" i="4"/>
  <c r="S168" i="4" s="1"/>
  <c r="T168" i="4"/>
  <c r="U168" i="4" s="1"/>
  <c r="M168" i="4"/>
  <c r="N168" i="4" s="1"/>
  <c r="AA168" i="4"/>
  <c r="AB168" i="4" s="1"/>
  <c r="AH168" i="4"/>
  <c r="AI168" i="4" s="1"/>
  <c r="V168" i="4" l="1"/>
  <c r="W168" i="4" s="1"/>
  <c r="Q168" i="4"/>
  <c r="AJ168" i="4"/>
  <c r="AK168" i="4" s="1"/>
  <c r="AL168" i="4" s="1"/>
  <c r="B169" i="4" l="1"/>
  <c r="J169" i="4"/>
  <c r="E169" i="4"/>
  <c r="F169" i="4"/>
  <c r="I169" i="4"/>
  <c r="H169" i="4"/>
  <c r="X168" i="4"/>
  <c r="AM168" i="4" s="1"/>
  <c r="G169" i="4"/>
  <c r="C169" i="4"/>
  <c r="D169" i="4"/>
  <c r="T169" i="4" l="1"/>
  <c r="U169" i="4" s="1"/>
  <c r="AA169" i="4"/>
  <c r="AB169" i="4" s="1"/>
  <c r="AH169" i="4"/>
  <c r="AI169" i="4" s="1"/>
  <c r="M169" i="4"/>
  <c r="N169" i="4" s="1"/>
  <c r="K169" i="4"/>
  <c r="L169" i="4" s="1"/>
  <c r="O169" i="4" s="1"/>
  <c r="P169" i="4" s="1"/>
  <c r="Q169" i="4" s="1"/>
  <c r="R169" i="4"/>
  <c r="S169" i="4" s="1"/>
  <c r="V169" i="4" s="1"/>
  <c r="W169" i="4" s="1"/>
  <c r="X169" i="4" s="1"/>
  <c r="AF169" i="4"/>
  <c r="AG169" i="4" s="1"/>
  <c r="AJ169" i="4" s="1"/>
  <c r="AK169" i="4" s="1"/>
  <c r="AL169" i="4" s="1"/>
  <c r="Y169" i="4"/>
  <c r="Z169" i="4" s="1"/>
  <c r="C170" i="4" l="1"/>
  <c r="AM169" i="4"/>
  <c r="B170" i="4"/>
  <c r="G170" i="4"/>
  <c r="D170" i="4"/>
  <c r="E170" i="4"/>
  <c r="AC169" i="4"/>
  <c r="AD169" i="4" s="1"/>
  <c r="AE169" i="4" s="1"/>
  <c r="H170" i="4"/>
  <c r="AA170" i="4" l="1"/>
  <c r="AB170" i="4" s="1"/>
  <c r="M170" i="4"/>
  <c r="N170" i="4" s="1"/>
  <c r="AF170" i="4"/>
  <c r="AG170" i="4" s="1"/>
  <c r="K170" i="4"/>
  <c r="L170" i="4" s="1"/>
  <c r="Y170" i="4"/>
  <c r="Z170" i="4" s="1"/>
  <c r="R170" i="4"/>
  <c r="S170" i="4" s="1"/>
  <c r="J170" i="4"/>
  <c r="I170" i="4"/>
  <c r="F170" i="4"/>
  <c r="AH170" i="4" s="1"/>
  <c r="AI170" i="4" s="1"/>
  <c r="AC170" i="4" l="1"/>
  <c r="AD170" i="4" s="1"/>
  <c r="AE170" i="4" s="1"/>
  <c r="O170" i="4"/>
  <c r="P170" i="4" s="1"/>
  <c r="AJ170" i="4"/>
  <c r="AK170" i="4" s="1"/>
  <c r="AL170" i="4" s="1"/>
  <c r="T170" i="4"/>
  <c r="U170" i="4" s="1"/>
  <c r="V170" i="4" s="1"/>
  <c r="W170" i="4" s="1"/>
  <c r="X170" i="4" l="1"/>
  <c r="F171" i="4"/>
  <c r="J171" i="4"/>
  <c r="Q170" i="4"/>
  <c r="AM170" i="4" s="1"/>
  <c r="B171" i="4"/>
  <c r="E171" i="4"/>
  <c r="G171" i="4"/>
  <c r="H171" i="4"/>
  <c r="C171" i="4"/>
  <c r="D171" i="4"/>
  <c r="I171" i="4"/>
  <c r="R171" i="4" l="1"/>
  <c r="S171" i="4" s="1"/>
  <c r="Y171" i="4"/>
  <c r="Z171" i="4" s="1"/>
  <c r="AC171" i="4" s="1"/>
  <c r="AD171" i="4" s="1"/>
  <c r="AE171" i="4" s="1"/>
  <c r="K171" i="4"/>
  <c r="L171" i="4" s="1"/>
  <c r="O171" i="4" s="1"/>
  <c r="P171" i="4" s="1"/>
  <c r="Q171" i="4" s="1"/>
  <c r="AF171" i="4"/>
  <c r="AG171" i="4" s="1"/>
  <c r="AJ171" i="4" s="1"/>
  <c r="AK171" i="4" s="1"/>
  <c r="AL171" i="4" s="1"/>
  <c r="AH171" i="4"/>
  <c r="AI171" i="4" s="1"/>
  <c r="AA171" i="4"/>
  <c r="AB171" i="4" s="1"/>
  <c r="M171" i="4"/>
  <c r="N171" i="4" s="1"/>
  <c r="T171" i="4"/>
  <c r="U171" i="4" s="1"/>
  <c r="V171" i="4" l="1"/>
  <c r="W171" i="4" s="1"/>
  <c r="C172" i="4"/>
  <c r="G172" i="4"/>
  <c r="H172" i="4"/>
  <c r="X171" i="4" l="1"/>
  <c r="AM171" i="4" s="1"/>
  <c r="J172" i="4"/>
  <c r="I172" i="4"/>
  <c r="D172" i="4"/>
  <c r="F172" i="4"/>
  <c r="B172" i="4"/>
  <c r="E172" i="4"/>
  <c r="T172" i="4" l="1"/>
  <c r="U172" i="4" s="1"/>
  <c r="AH172" i="4"/>
  <c r="AI172" i="4" s="1"/>
  <c r="AA172" i="4"/>
  <c r="AB172" i="4" s="1"/>
  <c r="M172" i="4"/>
  <c r="N172" i="4" s="1"/>
  <c r="Y172" i="4"/>
  <c r="Z172" i="4" s="1"/>
  <c r="AF172" i="4"/>
  <c r="AG172" i="4" s="1"/>
  <c r="R172" i="4"/>
  <c r="S172" i="4" s="1"/>
  <c r="V172" i="4" s="1"/>
  <c r="W172" i="4" s="1"/>
  <c r="X172" i="4" s="1"/>
  <c r="K172" i="4"/>
  <c r="L172" i="4" s="1"/>
  <c r="O172" i="4" l="1"/>
  <c r="P172" i="4" s="1"/>
  <c r="AJ172" i="4"/>
  <c r="AK172" i="4" s="1"/>
  <c r="AL172" i="4" s="1"/>
  <c r="AC172" i="4"/>
  <c r="AD172" i="4" s="1"/>
  <c r="AE172" i="4" s="1"/>
  <c r="Q172" i="4" l="1"/>
  <c r="AM172" i="4" s="1"/>
  <c r="AP28" i="4" s="1"/>
  <c r="G173" i="4"/>
  <c r="C173" i="4"/>
  <c r="H173" i="4"/>
  <c r="D173" i="4"/>
  <c r="I173" i="4"/>
  <c r="J173" i="4"/>
  <c r="F173" i="4"/>
  <c r="E173" i="4"/>
  <c r="B173" i="4"/>
  <c r="Y173" i="4" l="1"/>
  <c r="Z173" i="4" s="1"/>
  <c r="K173" i="4"/>
  <c r="L173" i="4" s="1"/>
  <c r="R173" i="4"/>
  <c r="S173" i="4" s="1"/>
  <c r="V173" i="4" s="1"/>
  <c r="W173" i="4" s="1"/>
  <c r="X173" i="4" s="1"/>
  <c r="AF173" i="4"/>
  <c r="AG173" i="4" s="1"/>
  <c r="AH173" i="4"/>
  <c r="AI173" i="4" s="1"/>
  <c r="M173" i="4"/>
  <c r="N173" i="4" s="1"/>
  <c r="AA173" i="4"/>
  <c r="AB173" i="4" s="1"/>
  <c r="T173" i="4"/>
  <c r="U173" i="4" s="1"/>
  <c r="AC173" i="4" l="1"/>
  <c r="AD173" i="4" s="1"/>
  <c r="AE173" i="4" s="1"/>
  <c r="AJ173" i="4"/>
  <c r="AK173" i="4" s="1"/>
  <c r="AL173" i="4" s="1"/>
  <c r="O173" i="4"/>
  <c r="P173" i="4" s="1"/>
  <c r="Q173" i="4" l="1"/>
  <c r="AM173" i="4" s="1"/>
  <c r="F174" i="4"/>
  <c r="B174" i="4"/>
  <c r="D174" i="4"/>
  <c r="G174" i="4"/>
  <c r="J174" i="4"/>
  <c r="I174" i="4"/>
  <c r="H174" i="4"/>
  <c r="C174" i="4"/>
  <c r="E174" i="4"/>
  <c r="AF174" i="4" l="1"/>
  <c r="AG174" i="4" s="1"/>
  <c r="K174" i="4"/>
  <c r="L174" i="4" s="1"/>
  <c r="O174" i="4" s="1"/>
  <c r="P174" i="4" s="1"/>
  <c r="Q174" i="4" s="1"/>
  <c r="R174" i="4"/>
  <c r="S174" i="4" s="1"/>
  <c r="V174" i="4" s="1"/>
  <c r="W174" i="4" s="1"/>
  <c r="X174" i="4" s="1"/>
  <c r="Y174" i="4"/>
  <c r="Z174" i="4" s="1"/>
  <c r="M174" i="4"/>
  <c r="N174" i="4" s="1"/>
  <c r="T174" i="4"/>
  <c r="U174" i="4" s="1"/>
  <c r="AH174" i="4"/>
  <c r="AI174" i="4" s="1"/>
  <c r="AA174" i="4"/>
  <c r="AB174" i="4" s="1"/>
  <c r="AC174" i="4" l="1"/>
  <c r="AD174" i="4" s="1"/>
  <c r="AE174" i="4" s="1"/>
  <c r="AJ174" i="4"/>
  <c r="AK174" i="4" s="1"/>
  <c r="AL174" i="4" s="1"/>
  <c r="AM174" i="4" s="1"/>
  <c r="B175" i="4"/>
  <c r="D175" i="4"/>
  <c r="G175" i="4"/>
  <c r="J175" i="4"/>
  <c r="F175" i="4"/>
  <c r="H175" i="4"/>
  <c r="R175" i="4" l="1"/>
  <c r="S175" i="4" s="1"/>
  <c r="Y175" i="4"/>
  <c r="Z175" i="4" s="1"/>
  <c r="K175" i="4"/>
  <c r="L175" i="4" s="1"/>
  <c r="C175" i="4"/>
  <c r="E175" i="4"/>
  <c r="I175" i="4"/>
  <c r="AH175" i="4" l="1"/>
  <c r="AI175" i="4" s="1"/>
  <c r="M175" i="4"/>
  <c r="N175" i="4" s="1"/>
  <c r="O175" i="4" s="1"/>
  <c r="P175" i="4" s="1"/>
  <c r="T175" i="4"/>
  <c r="U175" i="4" s="1"/>
  <c r="V175" i="4" s="1"/>
  <c r="W175" i="4" s="1"/>
  <c r="X175" i="4" s="1"/>
  <c r="AA175" i="4"/>
  <c r="AB175" i="4" s="1"/>
  <c r="AC175" i="4" s="1"/>
  <c r="AD175" i="4" s="1"/>
  <c r="AE175" i="4" s="1"/>
  <c r="AF175" i="4"/>
  <c r="AG175" i="4" s="1"/>
  <c r="AJ175" i="4" s="1"/>
  <c r="AK175" i="4" s="1"/>
  <c r="AL175" i="4" s="1"/>
  <c r="Q175" i="4" l="1"/>
  <c r="AM175" i="4" s="1"/>
  <c r="G176" i="4"/>
  <c r="D176" i="4"/>
  <c r="H176" i="4"/>
  <c r="F176" i="4"/>
  <c r="J176" i="4"/>
  <c r="B176" i="4"/>
  <c r="C176" i="4"/>
  <c r="I176" i="4"/>
  <c r="E176" i="4"/>
  <c r="K176" i="4" l="1"/>
  <c r="L176" i="4" s="1"/>
  <c r="AF176" i="4"/>
  <c r="AG176" i="4" s="1"/>
  <c r="Y176" i="4"/>
  <c r="Z176" i="4" s="1"/>
  <c r="R176" i="4"/>
  <c r="S176" i="4" s="1"/>
  <c r="V176" i="4" s="1"/>
  <c r="W176" i="4" s="1"/>
  <c r="X176" i="4" s="1"/>
  <c r="T176" i="4"/>
  <c r="U176" i="4" s="1"/>
  <c r="AA176" i="4"/>
  <c r="AB176" i="4" s="1"/>
  <c r="M176" i="4"/>
  <c r="N176" i="4" s="1"/>
  <c r="AH176" i="4"/>
  <c r="AI176" i="4" s="1"/>
  <c r="AC176" i="4" l="1"/>
  <c r="AD176" i="4" s="1"/>
  <c r="AE176" i="4" s="1"/>
  <c r="AJ176" i="4"/>
  <c r="AK176" i="4" s="1"/>
  <c r="AL176" i="4" s="1"/>
  <c r="O176" i="4"/>
  <c r="P176" i="4" s="1"/>
  <c r="Q176" i="4" l="1"/>
  <c r="AM176" i="4" s="1"/>
  <c r="C177" i="4"/>
  <c r="G177" i="4"/>
  <c r="I177" i="4"/>
  <c r="F177" i="4"/>
  <c r="B177" i="4"/>
  <c r="H177" i="4"/>
  <c r="E177" i="4"/>
  <c r="J177" i="4"/>
  <c r="D177" i="4"/>
  <c r="R177" i="4" l="1"/>
  <c r="S177" i="4" s="1"/>
  <c r="Y177" i="4"/>
  <c r="Z177" i="4" s="1"/>
  <c r="AC177" i="4" s="1"/>
  <c r="AD177" i="4" s="1"/>
  <c r="AE177" i="4" s="1"/>
  <c r="AF177" i="4"/>
  <c r="AG177" i="4" s="1"/>
  <c r="AJ177" i="4" s="1"/>
  <c r="AK177" i="4" s="1"/>
  <c r="AL177" i="4" s="1"/>
  <c r="K177" i="4"/>
  <c r="L177" i="4" s="1"/>
  <c r="AA177" i="4"/>
  <c r="AB177" i="4" s="1"/>
  <c r="AH177" i="4"/>
  <c r="AI177" i="4" s="1"/>
  <c r="T177" i="4"/>
  <c r="U177" i="4" s="1"/>
  <c r="M177" i="4"/>
  <c r="N177" i="4" s="1"/>
  <c r="O177" i="4" l="1"/>
  <c r="P177" i="4" s="1"/>
  <c r="V177" i="4"/>
  <c r="W177" i="4" s="1"/>
  <c r="X177" i="4" s="1"/>
  <c r="Q177" i="4" l="1"/>
  <c r="AM177" i="4" s="1"/>
  <c r="H178" i="4"/>
  <c r="J178" i="4"/>
  <c r="F178" i="4"/>
  <c r="I178" i="4"/>
  <c r="G178" i="4"/>
  <c r="C178" i="4"/>
  <c r="D178" i="4"/>
  <c r="E178" i="4"/>
  <c r="B178" i="4"/>
  <c r="AF178" i="4" l="1"/>
  <c r="AG178" i="4" s="1"/>
  <c r="R178" i="4"/>
  <c r="S178" i="4" s="1"/>
  <c r="Y178" i="4"/>
  <c r="Z178" i="4" s="1"/>
  <c r="K178" i="4"/>
  <c r="L178" i="4" s="1"/>
  <c r="AA178" i="4"/>
  <c r="AB178" i="4" s="1"/>
  <c r="M178" i="4"/>
  <c r="N178" i="4" s="1"/>
  <c r="T178" i="4"/>
  <c r="U178" i="4" s="1"/>
  <c r="AH178" i="4"/>
  <c r="AI178" i="4" s="1"/>
  <c r="O178" i="4" l="1"/>
  <c r="P178" i="4" s="1"/>
  <c r="AC178" i="4"/>
  <c r="AD178" i="4" s="1"/>
  <c r="AE178" i="4" s="1"/>
  <c r="V178" i="4"/>
  <c r="W178" i="4" s="1"/>
  <c r="X178" i="4" s="1"/>
  <c r="AJ178" i="4"/>
  <c r="AK178" i="4" s="1"/>
  <c r="AL178" i="4" s="1"/>
  <c r="Q178" i="4" l="1"/>
  <c r="AM178" i="4" s="1"/>
  <c r="D179" i="4"/>
  <c r="G179" i="4"/>
  <c r="H179" i="4"/>
  <c r="E179" i="4"/>
  <c r="I179" i="4"/>
  <c r="J179" i="4"/>
  <c r="C179" i="4"/>
  <c r="F179" i="4"/>
  <c r="B179" i="4"/>
  <c r="AH179" i="4" l="1"/>
  <c r="AI179" i="4" s="1"/>
  <c r="M179" i="4"/>
  <c r="N179" i="4" s="1"/>
  <c r="T179" i="4"/>
  <c r="U179" i="4" s="1"/>
  <c r="AA179" i="4"/>
  <c r="AB179" i="4" s="1"/>
  <c r="R179" i="4"/>
  <c r="S179" i="4" s="1"/>
  <c r="V179" i="4" s="1"/>
  <c r="W179" i="4" s="1"/>
  <c r="X179" i="4" s="1"/>
  <c r="Y179" i="4"/>
  <c r="Z179" i="4" s="1"/>
  <c r="AC179" i="4" s="1"/>
  <c r="AD179" i="4" s="1"/>
  <c r="AE179" i="4" s="1"/>
  <c r="AF179" i="4"/>
  <c r="AG179" i="4" s="1"/>
  <c r="AJ179" i="4" s="1"/>
  <c r="AK179" i="4" s="1"/>
  <c r="AL179" i="4" s="1"/>
  <c r="K179" i="4"/>
  <c r="L179" i="4" s="1"/>
  <c r="O179" i="4" s="1"/>
  <c r="P179" i="4" s="1"/>
  <c r="Q179" i="4" s="1"/>
  <c r="AM179" i="4" s="1"/>
  <c r="H180" i="4" l="1"/>
  <c r="E180" i="4"/>
  <c r="B180" i="4"/>
  <c r="D180" i="4"/>
  <c r="G180" i="4"/>
  <c r="I180" i="4"/>
  <c r="J180" i="4"/>
  <c r="F180" i="4"/>
  <c r="C180" i="4"/>
  <c r="T180" i="4" l="1"/>
  <c r="U180" i="4" s="1"/>
  <c r="AH180" i="4"/>
  <c r="AI180" i="4" s="1"/>
  <c r="AA180" i="4"/>
  <c r="AB180" i="4" s="1"/>
  <c r="M180" i="4"/>
  <c r="N180" i="4" s="1"/>
  <c r="AF180" i="4"/>
  <c r="AG180" i="4" s="1"/>
  <c r="K180" i="4"/>
  <c r="L180" i="4" s="1"/>
  <c r="Y180" i="4"/>
  <c r="Z180" i="4" s="1"/>
  <c r="AC180" i="4" s="1"/>
  <c r="AD180" i="4" s="1"/>
  <c r="AE180" i="4" s="1"/>
  <c r="R180" i="4"/>
  <c r="S180" i="4" s="1"/>
  <c r="V180" i="4" s="1"/>
  <c r="W180" i="4" s="1"/>
  <c r="X180" i="4" s="1"/>
  <c r="O180" i="4" l="1"/>
  <c r="P180" i="4" s="1"/>
  <c r="AJ180" i="4"/>
  <c r="AK180" i="4" s="1"/>
  <c r="AL180" i="4" s="1"/>
  <c r="Q180" i="4" l="1"/>
  <c r="AM180" i="4" s="1"/>
  <c r="J181" i="4"/>
  <c r="F181" i="4"/>
  <c r="H181" i="4"/>
  <c r="G181" i="4"/>
  <c r="I181" i="4"/>
  <c r="D181" i="4"/>
  <c r="B181" i="4"/>
  <c r="C181" i="4"/>
  <c r="E181" i="4"/>
  <c r="AF181" i="4" l="1"/>
  <c r="AG181" i="4" s="1"/>
  <c r="K181" i="4"/>
  <c r="L181" i="4" s="1"/>
  <c r="O181" i="4" s="1"/>
  <c r="P181" i="4" s="1"/>
  <c r="Q181" i="4" s="1"/>
  <c r="Y181" i="4"/>
  <c r="Z181" i="4" s="1"/>
  <c r="AC181" i="4" s="1"/>
  <c r="AD181" i="4" s="1"/>
  <c r="AE181" i="4" s="1"/>
  <c r="R181" i="4"/>
  <c r="S181" i="4" s="1"/>
  <c r="M181" i="4"/>
  <c r="N181" i="4" s="1"/>
  <c r="AA181" i="4"/>
  <c r="AB181" i="4" s="1"/>
  <c r="AH181" i="4"/>
  <c r="AI181" i="4" s="1"/>
  <c r="T181" i="4"/>
  <c r="U181" i="4" s="1"/>
  <c r="AJ181" i="4" l="1"/>
  <c r="AK181" i="4" s="1"/>
  <c r="AL181" i="4" s="1"/>
  <c r="B182" i="4"/>
  <c r="E182" i="4"/>
  <c r="J182" i="4"/>
  <c r="F182" i="4"/>
  <c r="I182" i="4"/>
  <c r="V181" i="4"/>
  <c r="W181" i="4" s="1"/>
  <c r="X181" i="4" s="1"/>
  <c r="AM181" i="4" s="1"/>
  <c r="D182" i="4"/>
  <c r="G182" i="4" l="1"/>
  <c r="T182" i="4" s="1"/>
  <c r="U182" i="4" s="1"/>
  <c r="C182" i="4"/>
  <c r="H182" i="4"/>
  <c r="AF182" i="4" l="1"/>
  <c r="AG182" i="4" s="1"/>
  <c r="M182" i="4"/>
  <c r="N182" i="4" s="1"/>
  <c r="AH182" i="4"/>
  <c r="AI182" i="4" s="1"/>
  <c r="Y182" i="4"/>
  <c r="Z182" i="4" s="1"/>
  <c r="AA182" i="4"/>
  <c r="AB182" i="4" s="1"/>
  <c r="R182" i="4"/>
  <c r="S182" i="4" s="1"/>
  <c r="V182" i="4" s="1"/>
  <c r="W182" i="4" s="1"/>
  <c r="X182" i="4" s="1"/>
  <c r="K182" i="4"/>
  <c r="L182" i="4" s="1"/>
  <c r="AC182" i="4" l="1"/>
  <c r="AD182" i="4" s="1"/>
  <c r="AE182" i="4" s="1"/>
  <c r="O182" i="4"/>
  <c r="P182" i="4" s="1"/>
  <c r="AJ182" i="4"/>
  <c r="AK182" i="4" s="1"/>
  <c r="AL182" i="4" s="1"/>
  <c r="Q182" i="4" l="1"/>
  <c r="AM182" i="4" s="1"/>
  <c r="AP29" i="4" s="1"/>
  <c r="I183" i="4"/>
  <c r="F183" i="4"/>
  <c r="E183" i="4"/>
  <c r="J183" i="4"/>
  <c r="B183" i="4"/>
  <c r="D183" i="4"/>
  <c r="C183" i="4"/>
  <c r="H183" i="4"/>
  <c r="G183" i="4"/>
  <c r="R183" i="4" l="1"/>
  <c r="S183" i="4" s="1"/>
  <c r="V183" i="4" s="1"/>
  <c r="W183" i="4" s="1"/>
  <c r="X183" i="4" s="1"/>
  <c r="K183" i="4"/>
  <c r="L183" i="4" s="1"/>
  <c r="Y183" i="4"/>
  <c r="Z183" i="4" s="1"/>
  <c r="AC183" i="4" s="1"/>
  <c r="AD183" i="4" s="1"/>
  <c r="AE183" i="4" s="1"/>
  <c r="AF183" i="4"/>
  <c r="AG183" i="4" s="1"/>
  <c r="AH183" i="4"/>
  <c r="AI183" i="4" s="1"/>
  <c r="T183" i="4"/>
  <c r="U183" i="4" s="1"/>
  <c r="AA183" i="4"/>
  <c r="AB183" i="4" s="1"/>
  <c r="M183" i="4"/>
  <c r="N183" i="4" s="1"/>
  <c r="O183" i="4" l="1"/>
  <c r="P183" i="4" s="1"/>
  <c r="AJ183" i="4"/>
  <c r="AK183" i="4" s="1"/>
  <c r="AL183" i="4" s="1"/>
  <c r="Q183" i="4" l="1"/>
  <c r="AM183" i="4" s="1"/>
  <c r="D184" i="4"/>
  <c r="B184" i="4"/>
  <c r="H184" i="4"/>
  <c r="J184" i="4"/>
  <c r="F184" i="4"/>
  <c r="I184" i="4"/>
  <c r="E184" i="4"/>
  <c r="C184" i="4"/>
  <c r="G184" i="4"/>
  <c r="T184" i="4" l="1"/>
  <c r="U184" i="4" s="1"/>
  <c r="AA184" i="4"/>
  <c r="AB184" i="4" s="1"/>
  <c r="AH184" i="4"/>
  <c r="AI184" i="4" s="1"/>
  <c r="M184" i="4"/>
  <c r="N184" i="4" s="1"/>
  <c r="R184" i="4"/>
  <c r="S184" i="4" s="1"/>
  <c r="V184" i="4" s="1"/>
  <c r="W184" i="4" s="1"/>
  <c r="X184" i="4" s="1"/>
  <c r="AF184" i="4"/>
  <c r="AG184" i="4" s="1"/>
  <c r="AJ184" i="4" s="1"/>
  <c r="AK184" i="4" s="1"/>
  <c r="AL184" i="4" s="1"/>
  <c r="Y184" i="4"/>
  <c r="Z184" i="4" s="1"/>
  <c r="K184" i="4"/>
  <c r="L184" i="4" s="1"/>
  <c r="O184" i="4" l="1"/>
  <c r="P184" i="4" s="1"/>
  <c r="AC184" i="4"/>
  <c r="AD184" i="4" s="1"/>
  <c r="AE184" i="4" s="1"/>
  <c r="Q184" i="4" l="1"/>
  <c r="AM184" i="4" s="1"/>
  <c r="C185" i="4"/>
  <c r="B185" i="4"/>
  <c r="E185" i="4"/>
  <c r="D185" i="4"/>
  <c r="I185" i="4"/>
  <c r="F185" i="4"/>
  <c r="J185" i="4"/>
  <c r="H185" i="4"/>
  <c r="G185" i="4"/>
  <c r="Y185" i="4" l="1"/>
  <c r="Z185" i="4" s="1"/>
  <c r="AF185" i="4"/>
  <c r="AG185" i="4" s="1"/>
  <c r="K185" i="4"/>
  <c r="L185" i="4" s="1"/>
  <c r="O185" i="4" s="1"/>
  <c r="P185" i="4" s="1"/>
  <c r="Q185" i="4" s="1"/>
  <c r="R185" i="4"/>
  <c r="S185" i="4" s="1"/>
  <c r="AH185" i="4"/>
  <c r="AI185" i="4" s="1"/>
  <c r="M185" i="4"/>
  <c r="N185" i="4" s="1"/>
  <c r="AA185" i="4"/>
  <c r="AB185" i="4" s="1"/>
  <c r="T185" i="4"/>
  <c r="U185" i="4" s="1"/>
  <c r="V185" i="4" l="1"/>
  <c r="W185" i="4" s="1"/>
  <c r="AJ185" i="4"/>
  <c r="AK185" i="4" s="1"/>
  <c r="AL185" i="4" s="1"/>
  <c r="AC185" i="4"/>
  <c r="AD185" i="4" s="1"/>
  <c r="AE185" i="4" s="1"/>
  <c r="I186" i="4"/>
  <c r="D186" i="4"/>
  <c r="E186" i="4" l="1"/>
  <c r="J186" i="4"/>
  <c r="B186" i="4"/>
  <c r="F186" i="4"/>
  <c r="X185" i="4"/>
  <c r="AM185" i="4" s="1"/>
  <c r="C186" i="4"/>
  <c r="G186" i="4"/>
  <c r="H186" i="4"/>
  <c r="AF186" i="4" l="1"/>
  <c r="AG186" i="4" s="1"/>
  <c r="Y186" i="4"/>
  <c r="Z186" i="4" s="1"/>
  <c r="AC186" i="4" s="1"/>
  <c r="AD186" i="4" s="1"/>
  <c r="AE186" i="4" s="1"/>
  <c r="R186" i="4"/>
  <c r="S186" i="4" s="1"/>
  <c r="V186" i="4" s="1"/>
  <c r="W186" i="4" s="1"/>
  <c r="X186" i="4" s="1"/>
  <c r="K186" i="4"/>
  <c r="L186" i="4" s="1"/>
  <c r="O186" i="4" s="1"/>
  <c r="P186" i="4" s="1"/>
  <c r="AH186" i="4"/>
  <c r="AI186" i="4" s="1"/>
  <c r="M186" i="4"/>
  <c r="N186" i="4" s="1"/>
  <c r="AA186" i="4"/>
  <c r="AB186" i="4" s="1"/>
  <c r="T186" i="4"/>
  <c r="U186" i="4" s="1"/>
  <c r="Q186" i="4" l="1"/>
  <c r="AJ186" i="4"/>
  <c r="AK186" i="4" s="1"/>
  <c r="D187" i="4" s="1"/>
  <c r="B187" i="4"/>
  <c r="C187" i="4"/>
  <c r="R187" i="4" l="1"/>
  <c r="S187" i="4" s="1"/>
  <c r="AF187" i="4"/>
  <c r="AG187" i="4" s="1"/>
  <c r="K187" i="4"/>
  <c r="L187" i="4" s="1"/>
  <c r="Y187" i="4"/>
  <c r="Z187" i="4" s="1"/>
  <c r="AL186" i="4"/>
  <c r="AM186" i="4" s="1"/>
  <c r="E187" i="4"/>
  <c r="H187" i="4"/>
  <c r="G187" i="4"/>
  <c r="J187" i="4"/>
  <c r="I187" i="4"/>
  <c r="F187" i="4"/>
  <c r="AJ187" i="4" l="1"/>
  <c r="AK187" i="4" s="1"/>
  <c r="AL187" i="4" s="1"/>
  <c r="V187" i="4"/>
  <c r="W187" i="4" s="1"/>
  <c r="X187" i="4" s="1"/>
  <c r="AH187" i="4"/>
  <c r="AI187" i="4" s="1"/>
  <c r="M187" i="4"/>
  <c r="N187" i="4" s="1"/>
  <c r="O187" i="4" s="1"/>
  <c r="P187" i="4" s="1"/>
  <c r="T187" i="4"/>
  <c r="U187" i="4" s="1"/>
  <c r="AA187" i="4"/>
  <c r="AB187" i="4" s="1"/>
  <c r="AC187" i="4" s="1"/>
  <c r="AD187" i="4" s="1"/>
  <c r="AE187" i="4" s="1"/>
  <c r="Q187" i="4" l="1"/>
  <c r="AM187" i="4" s="1"/>
  <c r="D188" i="4"/>
  <c r="B188" i="4"/>
  <c r="C188" i="4"/>
  <c r="F188" i="4"/>
  <c r="H188" i="4"/>
  <c r="G188" i="4"/>
  <c r="E188" i="4"/>
  <c r="I188" i="4"/>
  <c r="J188" i="4"/>
  <c r="T188" i="4" l="1"/>
  <c r="U188" i="4" s="1"/>
  <c r="M188" i="4"/>
  <c r="N188" i="4" s="1"/>
  <c r="AA188" i="4"/>
  <c r="AB188" i="4" s="1"/>
  <c r="AH188" i="4"/>
  <c r="AI188" i="4" s="1"/>
  <c r="K188" i="4"/>
  <c r="L188" i="4" s="1"/>
  <c r="R188" i="4"/>
  <c r="S188" i="4" s="1"/>
  <c r="Y188" i="4"/>
  <c r="Z188" i="4" s="1"/>
  <c r="AC188" i="4" s="1"/>
  <c r="AD188" i="4" s="1"/>
  <c r="AE188" i="4" s="1"/>
  <c r="AF188" i="4"/>
  <c r="AG188" i="4" s="1"/>
  <c r="AJ188" i="4" s="1"/>
  <c r="AK188" i="4" s="1"/>
  <c r="AL188" i="4" s="1"/>
  <c r="V188" i="4" l="1"/>
  <c r="W188" i="4" s="1"/>
  <c r="X188" i="4" s="1"/>
  <c r="O188" i="4"/>
  <c r="P188" i="4" s="1"/>
  <c r="Q188" i="4" l="1"/>
  <c r="AM188" i="4" s="1"/>
  <c r="G189" i="4"/>
  <c r="I189" i="4"/>
  <c r="H189" i="4"/>
  <c r="F189" i="4"/>
  <c r="C189" i="4"/>
  <c r="B189" i="4"/>
  <c r="J189" i="4"/>
  <c r="E189" i="4"/>
  <c r="D189" i="4"/>
  <c r="K189" i="4" l="1"/>
  <c r="L189" i="4" s="1"/>
  <c r="O189" i="4" s="1"/>
  <c r="P189" i="4" s="1"/>
  <c r="Q189" i="4" s="1"/>
  <c r="R189" i="4"/>
  <c r="S189" i="4" s="1"/>
  <c r="V189" i="4" s="1"/>
  <c r="W189" i="4" s="1"/>
  <c r="X189" i="4" s="1"/>
  <c r="AF189" i="4"/>
  <c r="AG189" i="4" s="1"/>
  <c r="AJ189" i="4" s="1"/>
  <c r="AK189" i="4" s="1"/>
  <c r="AL189" i="4" s="1"/>
  <c r="Y189" i="4"/>
  <c r="Z189" i="4" s="1"/>
  <c r="T189" i="4"/>
  <c r="U189" i="4" s="1"/>
  <c r="AH189" i="4"/>
  <c r="AI189" i="4" s="1"/>
  <c r="AA189" i="4"/>
  <c r="AB189" i="4" s="1"/>
  <c r="M189" i="4"/>
  <c r="N189" i="4" s="1"/>
  <c r="AC189" i="4" l="1"/>
  <c r="AD189" i="4" s="1"/>
  <c r="AE189" i="4" s="1"/>
  <c r="AM189" i="4" s="1"/>
  <c r="G190" i="4" l="1"/>
  <c r="J190" i="4"/>
  <c r="B190" i="4"/>
  <c r="I190" i="4"/>
  <c r="H190" i="4"/>
  <c r="F190" i="4"/>
  <c r="D190" i="4"/>
  <c r="C190" i="4"/>
  <c r="E190" i="4"/>
  <c r="AF190" i="4" l="1"/>
  <c r="AG190" i="4" s="1"/>
  <c r="R190" i="4"/>
  <c r="S190" i="4" s="1"/>
  <c r="Y190" i="4"/>
  <c r="Z190" i="4" s="1"/>
  <c r="AC190" i="4" s="1"/>
  <c r="AD190" i="4" s="1"/>
  <c r="AE190" i="4" s="1"/>
  <c r="K190" i="4"/>
  <c r="L190" i="4" s="1"/>
  <c r="AA190" i="4"/>
  <c r="AB190" i="4" s="1"/>
  <c r="AH190" i="4"/>
  <c r="AI190" i="4" s="1"/>
  <c r="T190" i="4"/>
  <c r="U190" i="4" s="1"/>
  <c r="M190" i="4"/>
  <c r="N190" i="4" s="1"/>
  <c r="O190" i="4" l="1"/>
  <c r="P190" i="4" s="1"/>
  <c r="AJ190" i="4"/>
  <c r="AK190" i="4" s="1"/>
  <c r="AL190" i="4" s="1"/>
  <c r="V190" i="4"/>
  <c r="W190" i="4" s="1"/>
  <c r="X190" i="4" s="1"/>
  <c r="Q190" i="4" l="1"/>
  <c r="AM190" i="4" s="1"/>
  <c r="C191" i="4"/>
  <c r="J191" i="4"/>
  <c r="G191" i="4"/>
  <c r="D191" i="4"/>
  <c r="F191" i="4"/>
  <c r="H191" i="4"/>
  <c r="I191" i="4"/>
  <c r="B191" i="4"/>
  <c r="E191" i="4"/>
  <c r="AH191" i="4" l="1"/>
  <c r="AI191" i="4" s="1"/>
  <c r="AA191" i="4"/>
  <c r="AB191" i="4" s="1"/>
  <c r="M191" i="4"/>
  <c r="N191" i="4" s="1"/>
  <c r="T191" i="4"/>
  <c r="U191" i="4" s="1"/>
  <c r="R191" i="4"/>
  <c r="S191" i="4" s="1"/>
  <c r="V191" i="4" s="1"/>
  <c r="W191" i="4" s="1"/>
  <c r="X191" i="4" s="1"/>
  <c r="Y191" i="4"/>
  <c r="Z191" i="4" s="1"/>
  <c r="AC191" i="4" s="1"/>
  <c r="AD191" i="4" s="1"/>
  <c r="AE191" i="4" s="1"/>
  <c r="AF191" i="4"/>
  <c r="AG191" i="4" s="1"/>
  <c r="AJ191" i="4" s="1"/>
  <c r="AK191" i="4" s="1"/>
  <c r="AL191" i="4" s="1"/>
  <c r="K191" i="4"/>
  <c r="L191" i="4" s="1"/>
  <c r="O191" i="4" l="1"/>
  <c r="P191" i="4" s="1"/>
  <c r="Q191" i="4" l="1"/>
  <c r="AM191" i="4" s="1"/>
  <c r="I192" i="4"/>
  <c r="H192" i="4"/>
  <c r="E192" i="4"/>
  <c r="D192" i="4"/>
  <c r="F192" i="4"/>
  <c r="B192" i="4"/>
  <c r="G192" i="4"/>
  <c r="J192" i="4"/>
  <c r="C192" i="4"/>
  <c r="K192" i="4" l="1"/>
  <c r="L192" i="4" s="1"/>
  <c r="R192" i="4"/>
  <c r="S192" i="4" s="1"/>
  <c r="V192" i="4" s="1"/>
  <c r="W192" i="4" s="1"/>
  <c r="X192" i="4" s="1"/>
  <c r="Y192" i="4"/>
  <c r="Z192" i="4" s="1"/>
  <c r="AC192" i="4" s="1"/>
  <c r="AD192" i="4" s="1"/>
  <c r="AE192" i="4" s="1"/>
  <c r="AF192" i="4"/>
  <c r="AG192" i="4" s="1"/>
  <c r="T192" i="4"/>
  <c r="U192" i="4" s="1"/>
  <c r="AA192" i="4"/>
  <c r="AB192" i="4" s="1"/>
  <c r="AH192" i="4"/>
  <c r="AI192" i="4" s="1"/>
  <c r="M192" i="4"/>
  <c r="N192" i="4" s="1"/>
  <c r="O192" i="4" l="1"/>
  <c r="P192" i="4" s="1"/>
  <c r="AJ192" i="4"/>
  <c r="AK192" i="4" s="1"/>
  <c r="AL192" i="4" s="1"/>
  <c r="Q192" i="4" l="1"/>
  <c r="AM192" i="4" s="1"/>
  <c r="AP30" i="4" s="1"/>
  <c r="G193" i="4"/>
  <c r="J193" i="4"/>
  <c r="F193" i="4"/>
  <c r="D193" i="4"/>
  <c r="C193" i="4"/>
  <c r="E193" i="4"/>
  <c r="I193" i="4"/>
  <c r="B193" i="4"/>
  <c r="H193" i="4"/>
  <c r="T193" i="4" l="1"/>
  <c r="U193" i="4" s="1"/>
  <c r="AH193" i="4"/>
  <c r="AI193" i="4" s="1"/>
  <c r="M193" i="4"/>
  <c r="N193" i="4" s="1"/>
  <c r="AA193" i="4"/>
  <c r="AB193" i="4" s="1"/>
  <c r="AF193" i="4"/>
  <c r="AG193" i="4" s="1"/>
  <c r="AJ193" i="4" s="1"/>
  <c r="AK193" i="4" s="1"/>
  <c r="AL193" i="4" s="1"/>
  <c r="K193" i="4"/>
  <c r="L193" i="4" s="1"/>
  <c r="O193" i="4" s="1"/>
  <c r="P193" i="4" s="1"/>
  <c r="Q193" i="4" s="1"/>
  <c r="R193" i="4"/>
  <c r="S193" i="4" s="1"/>
  <c r="V193" i="4" s="1"/>
  <c r="W193" i="4" s="1"/>
  <c r="X193" i="4" s="1"/>
  <c r="Y193" i="4"/>
  <c r="Z193" i="4" s="1"/>
  <c r="J194" i="4" l="1"/>
  <c r="F194" i="4"/>
  <c r="C194" i="4"/>
  <c r="G194" i="4"/>
  <c r="AM193" i="4"/>
  <c r="D194" i="4"/>
  <c r="H194" i="4"/>
  <c r="AC193" i="4"/>
  <c r="AD193" i="4" s="1"/>
  <c r="AE193" i="4" s="1"/>
  <c r="I194" i="4"/>
  <c r="E194" i="4"/>
  <c r="AA194" i="4" l="1"/>
  <c r="AB194" i="4" s="1"/>
  <c r="AH194" i="4"/>
  <c r="AI194" i="4" s="1"/>
  <c r="M194" i="4"/>
  <c r="N194" i="4" s="1"/>
  <c r="T194" i="4"/>
  <c r="U194" i="4" s="1"/>
  <c r="B194" i="4"/>
  <c r="AF194" i="4" l="1"/>
  <c r="AG194" i="4" s="1"/>
  <c r="AJ194" i="4" s="1"/>
  <c r="AK194" i="4" s="1"/>
  <c r="AL194" i="4" s="1"/>
  <c r="R194" i="4"/>
  <c r="S194" i="4" s="1"/>
  <c r="V194" i="4" s="1"/>
  <c r="W194" i="4" s="1"/>
  <c r="X194" i="4" s="1"/>
  <c r="Y194" i="4"/>
  <c r="Z194" i="4" s="1"/>
  <c r="AC194" i="4" s="1"/>
  <c r="AD194" i="4" s="1"/>
  <c r="AE194" i="4" s="1"/>
  <c r="K194" i="4"/>
  <c r="L194" i="4" s="1"/>
  <c r="O194" i="4" s="1"/>
  <c r="P194" i="4" s="1"/>
  <c r="Q194" i="4" l="1"/>
  <c r="AM194" i="4" s="1"/>
  <c r="D195" i="4"/>
  <c r="H195" i="4"/>
  <c r="G195" i="4"/>
  <c r="C195" i="4"/>
  <c r="F195" i="4"/>
  <c r="E195" i="4"/>
  <c r="I195" i="4"/>
  <c r="J195" i="4"/>
  <c r="B195" i="4"/>
  <c r="AH195" i="4" l="1"/>
  <c r="AI195" i="4" s="1"/>
  <c r="T195" i="4"/>
  <c r="U195" i="4" s="1"/>
  <c r="AA195" i="4"/>
  <c r="AB195" i="4" s="1"/>
  <c r="M195" i="4"/>
  <c r="N195" i="4" s="1"/>
  <c r="R195" i="4"/>
  <c r="S195" i="4" s="1"/>
  <c r="V195" i="4" s="1"/>
  <c r="W195" i="4" s="1"/>
  <c r="X195" i="4" s="1"/>
  <c r="Y195" i="4"/>
  <c r="Z195" i="4" s="1"/>
  <c r="AC195" i="4" s="1"/>
  <c r="AD195" i="4" s="1"/>
  <c r="AE195" i="4" s="1"/>
  <c r="K195" i="4"/>
  <c r="L195" i="4" s="1"/>
  <c r="O195" i="4" s="1"/>
  <c r="P195" i="4" s="1"/>
  <c r="Q195" i="4" s="1"/>
  <c r="AF195" i="4"/>
  <c r="AG195" i="4" s="1"/>
  <c r="AJ195" i="4" s="1"/>
  <c r="AK195" i="4" s="1"/>
  <c r="AL195" i="4" s="1"/>
  <c r="AM195" i="4" l="1"/>
  <c r="C196" i="4"/>
  <c r="B196" i="4"/>
  <c r="E196" i="4"/>
  <c r="G196" i="4"/>
  <c r="H196" i="4"/>
  <c r="F196" i="4"/>
  <c r="J196" i="4"/>
  <c r="D196" i="4"/>
  <c r="I196" i="4"/>
  <c r="AF196" i="4" l="1"/>
  <c r="AG196" i="4" s="1"/>
  <c r="K196" i="4"/>
  <c r="L196" i="4" s="1"/>
  <c r="Y196" i="4"/>
  <c r="Z196" i="4" s="1"/>
  <c r="R196" i="4"/>
  <c r="S196" i="4" s="1"/>
  <c r="V196" i="4" s="1"/>
  <c r="W196" i="4" s="1"/>
  <c r="X196" i="4" s="1"/>
  <c r="T196" i="4"/>
  <c r="U196" i="4" s="1"/>
  <c r="AH196" i="4"/>
  <c r="AI196" i="4" s="1"/>
  <c r="M196" i="4"/>
  <c r="N196" i="4" s="1"/>
  <c r="AA196" i="4"/>
  <c r="AB196" i="4" s="1"/>
  <c r="AC196" i="4" l="1"/>
  <c r="AD196" i="4" s="1"/>
  <c r="AE196" i="4" s="1"/>
  <c r="O196" i="4"/>
  <c r="P196" i="4" s="1"/>
  <c r="AJ196" i="4"/>
  <c r="AK196" i="4" s="1"/>
  <c r="AL196" i="4" s="1"/>
  <c r="Q196" i="4" l="1"/>
  <c r="AM196" i="4" s="1"/>
  <c r="J197" i="4"/>
  <c r="F197" i="4"/>
  <c r="D197" i="4"/>
  <c r="H197" i="4"/>
  <c r="G197" i="4"/>
  <c r="B197" i="4"/>
  <c r="E197" i="4"/>
  <c r="C197" i="4"/>
  <c r="I197" i="4"/>
  <c r="M197" i="4" l="1"/>
  <c r="N197" i="4" s="1"/>
  <c r="AA197" i="4"/>
  <c r="AB197" i="4" s="1"/>
  <c r="AH197" i="4"/>
  <c r="AI197" i="4" s="1"/>
  <c r="T197" i="4"/>
  <c r="U197" i="4" s="1"/>
  <c r="AF197" i="4"/>
  <c r="AG197" i="4" s="1"/>
  <c r="AJ197" i="4" s="1"/>
  <c r="AK197" i="4" s="1"/>
  <c r="AL197" i="4" s="1"/>
  <c r="R197" i="4"/>
  <c r="S197" i="4" s="1"/>
  <c r="V197" i="4" s="1"/>
  <c r="W197" i="4" s="1"/>
  <c r="X197" i="4" s="1"/>
  <c r="K197" i="4"/>
  <c r="L197" i="4" s="1"/>
  <c r="O197" i="4" s="1"/>
  <c r="P197" i="4" s="1"/>
  <c r="Q197" i="4" s="1"/>
  <c r="AM197" i="4" s="1"/>
  <c r="Y197" i="4"/>
  <c r="Z197" i="4" s="1"/>
  <c r="AC197" i="4" s="1"/>
  <c r="AD197" i="4" s="1"/>
  <c r="AE197" i="4" s="1"/>
  <c r="I198" i="4"/>
  <c r="D198" i="4" l="1"/>
  <c r="E198" i="4"/>
  <c r="G198" i="4"/>
  <c r="J198" i="4"/>
  <c r="F198" i="4"/>
  <c r="H198" i="4"/>
  <c r="C198" i="4"/>
  <c r="B198" i="4"/>
  <c r="T198" i="4" l="1"/>
  <c r="U198" i="4" s="1"/>
  <c r="AA198" i="4"/>
  <c r="AB198" i="4" s="1"/>
  <c r="AH198" i="4"/>
  <c r="AI198" i="4" s="1"/>
  <c r="M198" i="4"/>
  <c r="N198" i="4" s="1"/>
  <c r="AF198" i="4"/>
  <c r="AG198" i="4" s="1"/>
  <c r="K198" i="4"/>
  <c r="L198" i="4" s="1"/>
  <c r="Y198" i="4"/>
  <c r="Z198" i="4" s="1"/>
  <c r="AC198" i="4" s="1"/>
  <c r="AD198" i="4" s="1"/>
  <c r="AE198" i="4" s="1"/>
  <c r="R198" i="4"/>
  <c r="S198" i="4" s="1"/>
  <c r="V198" i="4" s="1"/>
  <c r="W198" i="4" s="1"/>
  <c r="X198" i="4" s="1"/>
  <c r="O198" i="4" l="1"/>
  <c r="P198" i="4" s="1"/>
  <c r="AJ198" i="4"/>
  <c r="AK198" i="4" s="1"/>
  <c r="AL198" i="4" s="1"/>
  <c r="Q198" i="4" l="1"/>
  <c r="AM198" i="4" s="1"/>
  <c r="I199" i="4"/>
  <c r="H199" i="4"/>
  <c r="F199" i="4"/>
  <c r="G199" i="4"/>
  <c r="J199" i="4"/>
  <c r="B199" i="4"/>
  <c r="C199" i="4"/>
  <c r="D199" i="4"/>
  <c r="E199" i="4"/>
  <c r="R199" i="4" l="1"/>
  <c r="S199" i="4" s="1"/>
  <c r="K199" i="4"/>
  <c r="L199" i="4" s="1"/>
  <c r="Y199" i="4"/>
  <c r="Z199" i="4" s="1"/>
  <c r="AF199" i="4"/>
  <c r="AG199" i="4" s="1"/>
  <c r="AJ199" i="4" s="1"/>
  <c r="AK199" i="4" s="1"/>
  <c r="AL199" i="4" s="1"/>
  <c r="AH199" i="4"/>
  <c r="AI199" i="4" s="1"/>
  <c r="T199" i="4"/>
  <c r="U199" i="4" s="1"/>
  <c r="M199" i="4"/>
  <c r="N199" i="4" s="1"/>
  <c r="AA199" i="4"/>
  <c r="AB199" i="4" s="1"/>
  <c r="AC199" i="4" l="1"/>
  <c r="AD199" i="4" s="1"/>
  <c r="AE199" i="4" s="1"/>
  <c r="O199" i="4"/>
  <c r="P199" i="4" s="1"/>
  <c r="V199" i="4"/>
  <c r="W199" i="4" s="1"/>
  <c r="X199" i="4" s="1"/>
  <c r="Q199" i="4" l="1"/>
  <c r="AM199" i="4" s="1"/>
  <c r="J200" i="4"/>
  <c r="F200" i="4"/>
  <c r="D200" i="4"/>
  <c r="C200" i="4"/>
  <c r="H200" i="4"/>
  <c r="G200" i="4"/>
  <c r="B200" i="4"/>
  <c r="E200" i="4"/>
  <c r="I200" i="4"/>
  <c r="R200" i="4" l="1"/>
  <c r="S200" i="4" s="1"/>
  <c r="AF200" i="4"/>
  <c r="AG200" i="4" s="1"/>
  <c r="K200" i="4"/>
  <c r="L200" i="4" s="1"/>
  <c r="Y200" i="4"/>
  <c r="Z200" i="4" s="1"/>
  <c r="T200" i="4"/>
  <c r="U200" i="4" s="1"/>
  <c r="AA200" i="4"/>
  <c r="AB200" i="4" s="1"/>
  <c r="AH200" i="4"/>
  <c r="AI200" i="4" s="1"/>
  <c r="M200" i="4"/>
  <c r="N200" i="4" s="1"/>
  <c r="AC200" i="4" l="1"/>
  <c r="AD200" i="4" s="1"/>
  <c r="AE200" i="4" s="1"/>
  <c r="O200" i="4"/>
  <c r="P200" i="4" s="1"/>
  <c r="AJ200" i="4"/>
  <c r="AK200" i="4" s="1"/>
  <c r="AL200" i="4" s="1"/>
  <c r="V200" i="4"/>
  <c r="W200" i="4" s="1"/>
  <c r="X200" i="4" s="1"/>
  <c r="Q200" i="4" l="1"/>
  <c r="AM200" i="4" s="1"/>
  <c r="I201" i="4"/>
  <c r="E201" i="4"/>
  <c r="B201" i="4"/>
  <c r="J201" i="4"/>
  <c r="C201" i="4"/>
  <c r="F201" i="4"/>
  <c r="G201" i="4"/>
  <c r="H201" i="4"/>
  <c r="D201" i="4"/>
  <c r="AF201" i="4" l="1"/>
  <c r="AG201" i="4" s="1"/>
  <c r="AJ201" i="4" s="1"/>
  <c r="AK201" i="4" s="1"/>
  <c r="AL201" i="4" s="1"/>
  <c r="K201" i="4"/>
  <c r="L201" i="4" s="1"/>
  <c r="O201" i="4" s="1"/>
  <c r="P201" i="4" s="1"/>
  <c r="Q201" i="4" s="1"/>
  <c r="R201" i="4"/>
  <c r="S201" i="4" s="1"/>
  <c r="V201" i="4" s="1"/>
  <c r="W201" i="4" s="1"/>
  <c r="X201" i="4" s="1"/>
  <c r="Y201" i="4"/>
  <c r="Z201" i="4" s="1"/>
  <c r="T201" i="4"/>
  <c r="U201" i="4" s="1"/>
  <c r="AH201" i="4"/>
  <c r="AI201" i="4" s="1"/>
  <c r="M201" i="4"/>
  <c r="N201" i="4" s="1"/>
  <c r="AA201" i="4"/>
  <c r="AB201" i="4" s="1"/>
  <c r="AC201" i="4" l="1"/>
  <c r="AD201" i="4" s="1"/>
  <c r="C202" i="4"/>
  <c r="H202" i="4"/>
  <c r="AE201" i="4" l="1"/>
  <c r="AM201" i="4" s="1"/>
  <c r="I202" i="4"/>
  <c r="D202" i="4"/>
  <c r="J202" i="4"/>
  <c r="F202" i="4"/>
  <c r="G202" i="4"/>
  <c r="B202" i="4"/>
  <c r="E202" i="4"/>
  <c r="AH202" i="4" l="1"/>
  <c r="AI202" i="4" s="1"/>
  <c r="M202" i="4"/>
  <c r="N202" i="4" s="1"/>
  <c r="AA202" i="4"/>
  <c r="AB202" i="4" s="1"/>
  <c r="T202" i="4"/>
  <c r="U202" i="4" s="1"/>
  <c r="AF202" i="4"/>
  <c r="AG202" i="4" s="1"/>
  <c r="Y202" i="4"/>
  <c r="Z202" i="4" s="1"/>
  <c r="K202" i="4"/>
  <c r="L202" i="4" s="1"/>
  <c r="O202" i="4" s="1"/>
  <c r="P202" i="4" s="1"/>
  <c r="R202" i="4"/>
  <c r="S202" i="4" s="1"/>
  <c r="V202" i="4" s="1"/>
  <c r="W202" i="4" s="1"/>
  <c r="X202" i="4" s="1"/>
  <c r="Q202" i="4" l="1"/>
  <c r="AC202" i="4"/>
  <c r="AD202" i="4" s="1"/>
  <c r="AE202" i="4" s="1"/>
  <c r="AJ202" i="4"/>
  <c r="AK202" i="4" s="1"/>
  <c r="AL202" i="4" s="1"/>
  <c r="I203" i="4"/>
  <c r="B203" i="4"/>
  <c r="F203" i="4" l="1"/>
  <c r="C203" i="4"/>
  <c r="Y203" i="4" s="1"/>
  <c r="Z203" i="4" s="1"/>
  <c r="G203" i="4"/>
  <c r="H203" i="4"/>
  <c r="R203" i="4"/>
  <c r="S203" i="4" s="1"/>
  <c r="D203" i="4"/>
  <c r="AM202" i="4"/>
  <c r="AP31" i="4" s="1"/>
  <c r="J203" i="4"/>
  <c r="E203" i="4"/>
  <c r="AH203" i="4" l="1"/>
  <c r="AI203" i="4" s="1"/>
  <c r="M203" i="4"/>
  <c r="N203" i="4" s="1"/>
  <c r="AA203" i="4"/>
  <c r="AB203" i="4" s="1"/>
  <c r="AC203" i="4" s="1"/>
  <c r="AD203" i="4" s="1"/>
  <c r="AE203" i="4" s="1"/>
  <c r="T203" i="4"/>
  <c r="U203" i="4" s="1"/>
  <c r="V203" i="4" s="1"/>
  <c r="W203" i="4" s="1"/>
  <c r="X203" i="4" s="1"/>
  <c r="K203" i="4"/>
  <c r="L203" i="4" s="1"/>
  <c r="O203" i="4" s="1"/>
  <c r="P203" i="4" s="1"/>
  <c r="D204" i="4" s="1"/>
  <c r="AF203" i="4"/>
  <c r="AG203" i="4" s="1"/>
  <c r="AJ203" i="4" s="1"/>
  <c r="AK203" i="4" s="1"/>
  <c r="AL203" i="4" s="1"/>
  <c r="C204" i="4" l="1"/>
  <c r="F204" i="4"/>
  <c r="Q203" i="4"/>
  <c r="AM203" i="4" s="1"/>
  <c r="I204" i="4"/>
  <c r="B204" i="4"/>
  <c r="G204" i="4"/>
  <c r="H204" i="4"/>
  <c r="E204" i="4"/>
  <c r="J204" i="4"/>
  <c r="K204" i="4" l="1"/>
  <c r="L204" i="4" s="1"/>
  <c r="AF204" i="4"/>
  <c r="AG204" i="4" s="1"/>
  <c r="R204" i="4"/>
  <c r="S204" i="4" s="1"/>
  <c r="Y204" i="4"/>
  <c r="Z204" i="4" s="1"/>
  <c r="T204" i="4"/>
  <c r="U204" i="4" s="1"/>
  <c r="AA204" i="4"/>
  <c r="AB204" i="4" s="1"/>
  <c r="AH204" i="4"/>
  <c r="AI204" i="4" s="1"/>
  <c r="M204" i="4"/>
  <c r="N204" i="4" s="1"/>
  <c r="AC204" i="4" l="1"/>
  <c r="AD204" i="4" s="1"/>
  <c r="AE204" i="4" s="1"/>
  <c r="V204" i="4"/>
  <c r="W204" i="4" s="1"/>
  <c r="X204" i="4" s="1"/>
  <c r="AJ204" i="4"/>
  <c r="AK204" i="4" s="1"/>
  <c r="AL204" i="4" s="1"/>
  <c r="O204" i="4"/>
  <c r="P204" i="4" s="1"/>
  <c r="Q204" i="4" l="1"/>
  <c r="AM204" i="4" s="1"/>
  <c r="D205" i="4"/>
  <c r="G205" i="4"/>
  <c r="C205" i="4"/>
  <c r="B205" i="4"/>
  <c r="H205" i="4"/>
  <c r="F205" i="4"/>
  <c r="E205" i="4"/>
  <c r="I205" i="4"/>
  <c r="J205" i="4"/>
  <c r="M205" i="4" l="1"/>
  <c r="N205" i="4" s="1"/>
  <c r="AA205" i="4"/>
  <c r="AB205" i="4" s="1"/>
  <c r="AH205" i="4"/>
  <c r="AI205" i="4" s="1"/>
  <c r="T205" i="4"/>
  <c r="U205" i="4" s="1"/>
  <c r="AF205" i="4"/>
  <c r="AG205" i="4" s="1"/>
  <c r="AJ205" i="4" s="1"/>
  <c r="AK205" i="4" s="1"/>
  <c r="AL205" i="4" s="1"/>
  <c r="R205" i="4"/>
  <c r="S205" i="4" s="1"/>
  <c r="V205" i="4" s="1"/>
  <c r="W205" i="4" s="1"/>
  <c r="X205" i="4" s="1"/>
  <c r="K205" i="4"/>
  <c r="L205" i="4" s="1"/>
  <c r="O205" i="4" s="1"/>
  <c r="P205" i="4" s="1"/>
  <c r="Q205" i="4" s="1"/>
  <c r="Y205" i="4"/>
  <c r="Z205" i="4" s="1"/>
  <c r="AC205" i="4" s="1"/>
  <c r="AD205" i="4" s="1"/>
  <c r="AE205" i="4" s="1"/>
  <c r="C206" i="4" l="1"/>
  <c r="H206" i="4"/>
  <c r="G206" i="4"/>
  <c r="E206" i="4"/>
  <c r="D206" i="4"/>
  <c r="F206" i="4"/>
  <c r="J206" i="4"/>
  <c r="AM205" i="4"/>
  <c r="I206" i="4"/>
  <c r="B206" i="4"/>
  <c r="T206" i="4" l="1"/>
  <c r="U206" i="4" s="1"/>
  <c r="M206" i="4"/>
  <c r="N206" i="4" s="1"/>
  <c r="AH206" i="4"/>
  <c r="AI206" i="4" s="1"/>
  <c r="AA206" i="4"/>
  <c r="AB206" i="4" s="1"/>
  <c r="AF206" i="4"/>
  <c r="AG206" i="4" s="1"/>
  <c r="R206" i="4"/>
  <c r="S206" i="4" s="1"/>
  <c r="V206" i="4" s="1"/>
  <c r="W206" i="4" s="1"/>
  <c r="X206" i="4" s="1"/>
  <c r="K206" i="4"/>
  <c r="L206" i="4" s="1"/>
  <c r="O206" i="4" s="1"/>
  <c r="P206" i="4" s="1"/>
  <c r="Q206" i="4" s="1"/>
  <c r="Y206" i="4"/>
  <c r="Z206" i="4" s="1"/>
  <c r="AC206" i="4" s="1"/>
  <c r="AD206" i="4" s="1"/>
  <c r="AE206" i="4" s="1"/>
  <c r="AJ206" i="4" l="1"/>
  <c r="AK206" i="4" s="1"/>
  <c r="E207" i="4"/>
  <c r="C207" i="4"/>
  <c r="B207" i="4"/>
  <c r="AL206" i="4" l="1"/>
  <c r="AM206" i="4" s="1"/>
  <c r="G207" i="4"/>
  <c r="M207" i="4" s="1"/>
  <c r="N207" i="4" s="1"/>
  <c r="I207" i="4"/>
  <c r="D207" i="4"/>
  <c r="J207" i="4"/>
  <c r="H207" i="4"/>
  <c r="F207" i="4"/>
  <c r="AH207" i="4" s="1"/>
  <c r="AI207" i="4" s="1"/>
  <c r="K207" i="4" l="1"/>
  <c r="L207" i="4" s="1"/>
  <c r="O207" i="4" s="1"/>
  <c r="P207" i="4" s="1"/>
  <c r="AF207" i="4"/>
  <c r="AG207" i="4" s="1"/>
  <c r="AJ207" i="4" s="1"/>
  <c r="AK207" i="4" s="1"/>
  <c r="AL207" i="4" s="1"/>
  <c r="Y207" i="4"/>
  <c r="Z207" i="4" s="1"/>
  <c r="AC207" i="4" s="1"/>
  <c r="AD207" i="4" s="1"/>
  <c r="AE207" i="4" s="1"/>
  <c r="T207" i="4"/>
  <c r="U207" i="4" s="1"/>
  <c r="AA207" i="4"/>
  <c r="AB207" i="4" s="1"/>
  <c r="R207" i="4"/>
  <c r="S207" i="4" s="1"/>
  <c r="V207" i="4" s="1"/>
  <c r="W207" i="4" s="1"/>
  <c r="X207" i="4" s="1"/>
  <c r="G208" i="4" l="1"/>
  <c r="F208" i="4"/>
  <c r="Q207" i="4"/>
  <c r="AM207" i="4" s="1"/>
  <c r="E208" i="4"/>
  <c r="B208" i="4"/>
  <c r="C208" i="4"/>
  <c r="I208" i="4"/>
  <c r="H208" i="4"/>
  <c r="D208" i="4"/>
  <c r="J208" i="4"/>
  <c r="T208" i="4" l="1"/>
  <c r="U208" i="4" s="1"/>
  <c r="AA208" i="4"/>
  <c r="AB208" i="4" s="1"/>
  <c r="AH208" i="4"/>
  <c r="AI208" i="4" s="1"/>
  <c r="M208" i="4"/>
  <c r="N208" i="4" s="1"/>
  <c r="K208" i="4"/>
  <c r="L208" i="4" s="1"/>
  <c r="R208" i="4"/>
  <c r="S208" i="4" s="1"/>
  <c r="V208" i="4" s="1"/>
  <c r="W208" i="4" s="1"/>
  <c r="X208" i="4" s="1"/>
  <c r="Y208" i="4"/>
  <c r="Z208" i="4" s="1"/>
  <c r="AC208" i="4" s="1"/>
  <c r="AD208" i="4" s="1"/>
  <c r="AE208" i="4" s="1"/>
  <c r="AF208" i="4"/>
  <c r="AG208" i="4" s="1"/>
  <c r="AJ208" i="4" s="1"/>
  <c r="AK208" i="4" s="1"/>
  <c r="AL208" i="4" s="1"/>
  <c r="O208" i="4" l="1"/>
  <c r="P208" i="4" s="1"/>
  <c r="Q208" i="4" l="1"/>
  <c r="AM208" i="4" s="1"/>
  <c r="C209" i="4"/>
  <c r="J209" i="4"/>
  <c r="G209" i="4"/>
  <c r="H209" i="4"/>
  <c r="I209" i="4"/>
  <c r="B209" i="4"/>
  <c r="E209" i="4"/>
  <c r="F209" i="4"/>
  <c r="D209" i="4"/>
  <c r="M209" i="4" l="1"/>
  <c r="N209" i="4" s="1"/>
  <c r="AH209" i="4"/>
  <c r="AI209" i="4" s="1"/>
  <c r="T209" i="4"/>
  <c r="U209" i="4" s="1"/>
  <c r="AA209" i="4"/>
  <c r="AB209" i="4" s="1"/>
  <c r="Y209" i="4"/>
  <c r="Z209" i="4" s="1"/>
  <c r="K209" i="4"/>
  <c r="L209" i="4" s="1"/>
  <c r="O209" i="4" s="1"/>
  <c r="P209" i="4" s="1"/>
  <c r="Q209" i="4" s="1"/>
  <c r="R209" i="4"/>
  <c r="S209" i="4" s="1"/>
  <c r="AF209" i="4"/>
  <c r="AG209" i="4" s="1"/>
  <c r="AJ209" i="4" s="1"/>
  <c r="AK209" i="4" s="1"/>
  <c r="AL209" i="4" s="1"/>
  <c r="AC209" i="4" l="1"/>
  <c r="AD209" i="4" s="1"/>
  <c r="AE209" i="4" s="1"/>
  <c r="J210" i="4"/>
  <c r="E210" i="4"/>
  <c r="D210" i="4"/>
  <c r="B210" i="4"/>
  <c r="C210" i="4"/>
  <c r="V209" i="4"/>
  <c r="W209" i="4" s="1"/>
  <c r="X209" i="4" s="1"/>
  <c r="AM209" i="4" s="1"/>
  <c r="I210" i="4"/>
  <c r="AF210" i="4" l="1"/>
  <c r="AG210" i="4" s="1"/>
  <c r="R210" i="4"/>
  <c r="S210" i="4" s="1"/>
  <c r="Y210" i="4"/>
  <c r="Z210" i="4" s="1"/>
  <c r="K210" i="4"/>
  <c r="L210" i="4" s="1"/>
  <c r="F210" i="4"/>
  <c r="G210" i="4"/>
  <c r="H210" i="4"/>
  <c r="AH210" i="4" l="1"/>
  <c r="AI210" i="4" s="1"/>
  <c r="AJ210" i="4" s="1"/>
  <c r="AK210" i="4" s="1"/>
  <c r="AL210" i="4" s="1"/>
  <c r="AA210" i="4"/>
  <c r="AB210" i="4" s="1"/>
  <c r="AC210" i="4" s="1"/>
  <c r="AD210" i="4" s="1"/>
  <c r="AE210" i="4" s="1"/>
  <c r="V210" i="4"/>
  <c r="W210" i="4" s="1"/>
  <c r="X210" i="4" s="1"/>
  <c r="M210" i="4"/>
  <c r="N210" i="4" s="1"/>
  <c r="O210" i="4" s="1"/>
  <c r="P210" i="4" s="1"/>
  <c r="T210" i="4"/>
  <c r="U210" i="4" s="1"/>
  <c r="Q210" i="4" l="1"/>
  <c r="AM210" i="4" s="1"/>
  <c r="B211" i="4"/>
  <c r="E211" i="4"/>
  <c r="I211" i="4"/>
  <c r="D211" i="4"/>
  <c r="J211" i="4"/>
  <c r="C211" i="4"/>
  <c r="F211" i="4"/>
  <c r="G211" i="4"/>
  <c r="H211" i="4"/>
  <c r="R211" i="4" l="1"/>
  <c r="S211" i="4" s="1"/>
  <c r="V211" i="4" s="1"/>
  <c r="W211" i="4" s="1"/>
  <c r="X211" i="4" s="1"/>
  <c r="Y211" i="4"/>
  <c r="Z211" i="4" s="1"/>
  <c r="AF211" i="4"/>
  <c r="AG211" i="4" s="1"/>
  <c r="AJ211" i="4" s="1"/>
  <c r="AK211" i="4" s="1"/>
  <c r="AL211" i="4" s="1"/>
  <c r="K211" i="4"/>
  <c r="L211" i="4" s="1"/>
  <c r="AH211" i="4"/>
  <c r="AI211" i="4" s="1"/>
  <c r="T211" i="4"/>
  <c r="U211" i="4" s="1"/>
  <c r="M211" i="4"/>
  <c r="N211" i="4" s="1"/>
  <c r="AA211" i="4"/>
  <c r="AB211" i="4" s="1"/>
  <c r="AC211" i="4" l="1"/>
  <c r="AD211" i="4" s="1"/>
  <c r="AE211" i="4" s="1"/>
  <c r="O211" i="4"/>
  <c r="P211" i="4" s="1"/>
  <c r="Q211" i="4" l="1"/>
  <c r="AM211" i="4" s="1"/>
  <c r="F212" i="4"/>
  <c r="G212" i="4"/>
  <c r="E212" i="4"/>
  <c r="C212" i="4"/>
  <c r="B212" i="4"/>
  <c r="J212" i="4"/>
  <c r="D212" i="4"/>
  <c r="I212" i="4"/>
  <c r="H212" i="4"/>
  <c r="K212" i="4" l="1"/>
  <c r="L212" i="4" s="1"/>
  <c r="AF212" i="4"/>
  <c r="AG212" i="4" s="1"/>
  <c r="AJ212" i="4" s="1"/>
  <c r="AK212" i="4" s="1"/>
  <c r="AL212" i="4" s="1"/>
  <c r="R212" i="4"/>
  <c r="S212" i="4" s="1"/>
  <c r="Y212" i="4"/>
  <c r="Z212" i="4" s="1"/>
  <c r="AC212" i="4" s="1"/>
  <c r="AD212" i="4" s="1"/>
  <c r="AE212" i="4" s="1"/>
  <c r="T212" i="4"/>
  <c r="U212" i="4" s="1"/>
  <c r="AA212" i="4"/>
  <c r="AB212" i="4" s="1"/>
  <c r="AH212" i="4"/>
  <c r="AI212" i="4" s="1"/>
  <c r="M212" i="4"/>
  <c r="N212" i="4" s="1"/>
  <c r="O212" i="4" l="1"/>
  <c r="P212" i="4" s="1"/>
  <c r="V212" i="4"/>
  <c r="W212" i="4" s="1"/>
  <c r="X212" i="4" s="1"/>
  <c r="Q212" i="4" l="1"/>
  <c r="AM212" i="4" s="1"/>
  <c r="AP32" i="4" s="1"/>
  <c r="D213" i="4"/>
  <c r="E213" i="4"/>
  <c r="I213" i="4"/>
  <c r="G213" i="4"/>
  <c r="F213" i="4"/>
  <c r="J213" i="4"/>
  <c r="C213" i="4"/>
  <c r="B213" i="4"/>
  <c r="H213" i="4"/>
  <c r="M213" i="4" l="1"/>
  <c r="N213" i="4" s="1"/>
  <c r="T213" i="4"/>
  <c r="U213" i="4" s="1"/>
  <c r="AA213" i="4"/>
  <c r="AB213" i="4" s="1"/>
  <c r="AH213" i="4"/>
  <c r="AI213" i="4" s="1"/>
  <c r="AF213" i="4"/>
  <c r="AG213" i="4" s="1"/>
  <c r="AJ213" i="4" s="1"/>
  <c r="AK213" i="4" s="1"/>
  <c r="AL213" i="4" s="1"/>
  <c r="R213" i="4"/>
  <c r="S213" i="4" s="1"/>
  <c r="V213" i="4" s="1"/>
  <c r="W213" i="4" s="1"/>
  <c r="X213" i="4" s="1"/>
  <c r="K213" i="4"/>
  <c r="L213" i="4" s="1"/>
  <c r="Y213" i="4"/>
  <c r="Z213" i="4" s="1"/>
  <c r="AC213" i="4" s="1"/>
  <c r="AD213" i="4" s="1"/>
  <c r="AE213" i="4" s="1"/>
  <c r="O213" i="4" l="1"/>
  <c r="P213" i="4" s="1"/>
  <c r="Q213" i="4" l="1"/>
  <c r="AM213" i="4" s="1"/>
  <c r="C214" i="4"/>
  <c r="F214" i="4"/>
  <c r="H214" i="4"/>
  <c r="I214" i="4"/>
  <c r="G214" i="4"/>
  <c r="J214" i="4"/>
  <c r="D214" i="4"/>
  <c r="B214" i="4"/>
  <c r="E214" i="4"/>
  <c r="AA214" i="4" l="1"/>
  <c r="AB214" i="4" s="1"/>
  <c r="M214" i="4"/>
  <c r="N214" i="4" s="1"/>
  <c r="T214" i="4"/>
  <c r="U214" i="4" s="1"/>
  <c r="AH214" i="4"/>
  <c r="AI214" i="4" s="1"/>
  <c r="AF214" i="4"/>
  <c r="AG214" i="4" s="1"/>
  <c r="AJ214" i="4" s="1"/>
  <c r="AK214" i="4" s="1"/>
  <c r="AL214" i="4" s="1"/>
  <c r="R214" i="4"/>
  <c r="S214" i="4" s="1"/>
  <c r="Y214" i="4"/>
  <c r="Z214" i="4" s="1"/>
  <c r="AC214" i="4" s="1"/>
  <c r="AD214" i="4" s="1"/>
  <c r="AE214" i="4" s="1"/>
  <c r="K214" i="4"/>
  <c r="L214" i="4" s="1"/>
  <c r="V214" i="4" l="1"/>
  <c r="W214" i="4" s="1"/>
  <c r="X214" i="4" s="1"/>
  <c r="O214" i="4"/>
  <c r="P214" i="4" s="1"/>
  <c r="Q214" i="4" l="1"/>
  <c r="AM214" i="4" s="1"/>
  <c r="G215" i="4"/>
  <c r="D215" i="4"/>
  <c r="C215" i="4"/>
  <c r="J215" i="4"/>
  <c r="I215" i="4"/>
  <c r="H215" i="4"/>
  <c r="F215" i="4"/>
  <c r="E215" i="4"/>
  <c r="B215" i="4"/>
  <c r="R215" i="4" l="1"/>
  <c r="S215" i="4" s="1"/>
  <c r="Y215" i="4"/>
  <c r="Z215" i="4" s="1"/>
  <c r="K215" i="4"/>
  <c r="L215" i="4" s="1"/>
  <c r="O215" i="4" s="1"/>
  <c r="P215" i="4" s="1"/>
  <c r="Q215" i="4" s="1"/>
  <c r="AF215" i="4"/>
  <c r="AG215" i="4" s="1"/>
  <c r="AH215" i="4"/>
  <c r="AI215" i="4" s="1"/>
  <c r="T215" i="4"/>
  <c r="U215" i="4" s="1"/>
  <c r="AA215" i="4"/>
  <c r="AB215" i="4" s="1"/>
  <c r="M215" i="4"/>
  <c r="N215" i="4" s="1"/>
  <c r="V215" i="4" l="1"/>
  <c r="W215" i="4" s="1"/>
  <c r="X215" i="4" s="1"/>
  <c r="AM215" i="4" s="1"/>
  <c r="C216" i="4"/>
  <c r="J216" i="4"/>
  <c r="I216" i="4"/>
  <c r="G216" i="4"/>
  <c r="AC215" i="4"/>
  <c r="AD215" i="4" s="1"/>
  <c r="AE215" i="4" s="1"/>
  <c r="AJ215" i="4"/>
  <c r="AK215" i="4" s="1"/>
  <c r="AL215" i="4" s="1"/>
  <c r="F216" i="4"/>
  <c r="D216" i="4" l="1"/>
  <c r="B216" i="4"/>
  <c r="H216" i="4"/>
  <c r="E216" i="4"/>
  <c r="K216" i="4" l="1"/>
  <c r="L216" i="4" s="1"/>
  <c r="Y216" i="4"/>
  <c r="Z216" i="4" s="1"/>
  <c r="AC216" i="4" s="1"/>
  <c r="AD216" i="4" s="1"/>
  <c r="AE216" i="4" s="1"/>
  <c r="R216" i="4"/>
  <c r="S216" i="4" s="1"/>
  <c r="AF216" i="4"/>
  <c r="AG216" i="4" s="1"/>
  <c r="AJ216" i="4" s="1"/>
  <c r="AK216" i="4" s="1"/>
  <c r="AL216" i="4" s="1"/>
  <c r="T216" i="4"/>
  <c r="U216" i="4" s="1"/>
  <c r="AA216" i="4"/>
  <c r="AB216" i="4" s="1"/>
  <c r="AH216" i="4"/>
  <c r="AI216" i="4" s="1"/>
  <c r="M216" i="4"/>
  <c r="N216" i="4" s="1"/>
  <c r="V216" i="4" l="1"/>
  <c r="W216" i="4" s="1"/>
  <c r="X216" i="4" s="1"/>
  <c r="O216" i="4"/>
  <c r="P216" i="4" s="1"/>
  <c r="Q216" i="4" l="1"/>
  <c r="AM216" i="4" s="1"/>
  <c r="G217" i="4"/>
  <c r="I217" i="4"/>
  <c r="F217" i="4"/>
  <c r="J217" i="4"/>
  <c r="C217" i="4"/>
  <c r="E217" i="4"/>
  <c r="B217" i="4"/>
  <c r="H217" i="4"/>
  <c r="D217" i="4"/>
  <c r="R217" i="4" l="1"/>
  <c r="S217" i="4" s="1"/>
  <c r="Y217" i="4"/>
  <c r="Z217" i="4" s="1"/>
  <c r="K217" i="4"/>
  <c r="L217" i="4" s="1"/>
  <c r="AF217" i="4"/>
  <c r="AG217" i="4" s="1"/>
  <c r="AJ217" i="4" s="1"/>
  <c r="AK217" i="4" s="1"/>
  <c r="AL217" i="4" s="1"/>
  <c r="M217" i="4"/>
  <c r="N217" i="4" s="1"/>
  <c r="AA217" i="4"/>
  <c r="AB217" i="4" s="1"/>
  <c r="AH217" i="4"/>
  <c r="AI217" i="4" s="1"/>
  <c r="T217" i="4"/>
  <c r="U217" i="4" s="1"/>
  <c r="O217" i="4" l="1"/>
  <c r="P217" i="4" s="1"/>
  <c r="AC217" i="4"/>
  <c r="AD217" i="4" s="1"/>
  <c r="AE217" i="4" s="1"/>
  <c r="V217" i="4"/>
  <c r="W217" i="4" s="1"/>
  <c r="X217" i="4" s="1"/>
  <c r="Q217" i="4" l="1"/>
  <c r="AM217" i="4" s="1"/>
  <c r="B218" i="4"/>
  <c r="H218" i="4"/>
  <c r="C218" i="4"/>
  <c r="J218" i="4"/>
  <c r="D218" i="4"/>
  <c r="G218" i="4"/>
  <c r="E218" i="4"/>
  <c r="I218" i="4"/>
  <c r="F218" i="4"/>
  <c r="AH218" i="4" l="1"/>
  <c r="AI218" i="4" s="1"/>
  <c r="AA218" i="4"/>
  <c r="AB218" i="4" s="1"/>
  <c r="M218" i="4"/>
  <c r="N218" i="4" s="1"/>
  <c r="T218" i="4"/>
  <c r="U218" i="4" s="1"/>
  <c r="AF218" i="4"/>
  <c r="AG218" i="4" s="1"/>
  <c r="AJ218" i="4" s="1"/>
  <c r="AK218" i="4" s="1"/>
  <c r="AL218" i="4" s="1"/>
  <c r="K218" i="4"/>
  <c r="L218" i="4" s="1"/>
  <c r="R218" i="4"/>
  <c r="S218" i="4" s="1"/>
  <c r="Y218" i="4"/>
  <c r="Z218" i="4" s="1"/>
  <c r="AC218" i="4" s="1"/>
  <c r="AD218" i="4" s="1"/>
  <c r="AE218" i="4" s="1"/>
  <c r="V218" i="4" l="1"/>
  <c r="W218" i="4" s="1"/>
  <c r="X218" i="4" s="1"/>
  <c r="O218" i="4"/>
  <c r="P218" i="4" s="1"/>
  <c r="Q218" i="4" l="1"/>
  <c r="AM218" i="4" s="1"/>
  <c r="G219" i="4"/>
  <c r="B219" i="4"/>
  <c r="I219" i="4"/>
  <c r="E219" i="4"/>
  <c r="D219" i="4"/>
  <c r="J219" i="4"/>
  <c r="C219" i="4"/>
  <c r="H219" i="4"/>
  <c r="F219" i="4"/>
  <c r="AH219" i="4" l="1"/>
  <c r="AI219" i="4" s="1"/>
  <c r="AA219" i="4"/>
  <c r="AB219" i="4" s="1"/>
  <c r="T219" i="4"/>
  <c r="U219" i="4" s="1"/>
  <c r="M219" i="4"/>
  <c r="N219" i="4" s="1"/>
  <c r="R219" i="4"/>
  <c r="S219" i="4" s="1"/>
  <c r="V219" i="4" s="1"/>
  <c r="W219" i="4" s="1"/>
  <c r="X219" i="4" s="1"/>
  <c r="Y219" i="4"/>
  <c r="Z219" i="4" s="1"/>
  <c r="AF219" i="4"/>
  <c r="AG219" i="4" s="1"/>
  <c r="K219" i="4"/>
  <c r="L219" i="4" s="1"/>
  <c r="O219" i="4" s="1"/>
  <c r="P219" i="4" s="1"/>
  <c r="Q219" i="4" s="1"/>
  <c r="AJ219" i="4" l="1"/>
  <c r="AK219" i="4" s="1"/>
  <c r="AL219" i="4" s="1"/>
  <c r="AC219" i="4"/>
  <c r="AD219" i="4" s="1"/>
  <c r="AE219" i="4" s="1"/>
  <c r="F220" i="4"/>
  <c r="AM219" i="4"/>
  <c r="D220" i="4"/>
  <c r="C220" i="4"/>
  <c r="I220" i="4" l="1"/>
  <c r="H220" i="4"/>
  <c r="G220" i="4"/>
  <c r="J220" i="4"/>
  <c r="E220" i="4"/>
  <c r="B220" i="4"/>
  <c r="T220" i="4" l="1"/>
  <c r="U220" i="4" s="1"/>
  <c r="AA220" i="4"/>
  <c r="AB220" i="4" s="1"/>
  <c r="M220" i="4"/>
  <c r="N220" i="4" s="1"/>
  <c r="AH220" i="4"/>
  <c r="AI220" i="4" s="1"/>
  <c r="K220" i="4"/>
  <c r="L220" i="4" s="1"/>
  <c r="AF220" i="4"/>
  <c r="AG220" i="4" s="1"/>
  <c r="Y220" i="4"/>
  <c r="Z220" i="4" s="1"/>
  <c r="AC220" i="4" s="1"/>
  <c r="AD220" i="4" s="1"/>
  <c r="AE220" i="4" s="1"/>
  <c r="R220" i="4"/>
  <c r="S220" i="4" s="1"/>
  <c r="V220" i="4" s="1"/>
  <c r="W220" i="4" s="1"/>
  <c r="X220" i="4" s="1"/>
  <c r="AJ220" i="4" l="1"/>
  <c r="AK220" i="4" s="1"/>
  <c r="AL220" i="4" s="1"/>
  <c r="O220" i="4"/>
  <c r="P220" i="4" s="1"/>
  <c r="Q220" i="4" l="1"/>
  <c r="AM220" i="4" s="1"/>
  <c r="D221" i="4"/>
  <c r="C221" i="4"/>
  <c r="F221" i="4"/>
  <c r="G221" i="4"/>
  <c r="E221" i="4"/>
  <c r="B221" i="4"/>
  <c r="H221" i="4"/>
  <c r="I221" i="4"/>
  <c r="J221" i="4"/>
  <c r="M221" i="4" l="1"/>
  <c r="N221" i="4" s="1"/>
  <c r="AA221" i="4"/>
  <c r="AB221" i="4" s="1"/>
  <c r="T221" i="4"/>
  <c r="U221" i="4" s="1"/>
  <c r="AH221" i="4"/>
  <c r="AI221" i="4" s="1"/>
  <c r="Y221" i="4"/>
  <c r="Z221" i="4" s="1"/>
  <c r="AC221" i="4" s="1"/>
  <c r="AD221" i="4" s="1"/>
  <c r="AE221" i="4" s="1"/>
  <c r="AF221" i="4"/>
  <c r="AG221" i="4" s="1"/>
  <c r="AJ221" i="4" s="1"/>
  <c r="AK221" i="4" s="1"/>
  <c r="AL221" i="4" s="1"/>
  <c r="R221" i="4"/>
  <c r="S221" i="4" s="1"/>
  <c r="K221" i="4"/>
  <c r="L221" i="4" s="1"/>
  <c r="O221" i="4" l="1"/>
  <c r="P221" i="4" s="1"/>
  <c r="V221" i="4"/>
  <c r="W221" i="4" s="1"/>
  <c r="X221" i="4" s="1"/>
  <c r="Q221" i="4" l="1"/>
  <c r="AM221" i="4" s="1"/>
  <c r="I222" i="4"/>
  <c r="J222" i="4"/>
  <c r="H222" i="4"/>
  <c r="G222" i="4"/>
  <c r="E222" i="4"/>
  <c r="B222" i="4"/>
  <c r="F222" i="4"/>
  <c r="D222" i="4"/>
  <c r="C222" i="4"/>
  <c r="AF222" i="4" l="1"/>
  <c r="AG222" i="4" s="1"/>
  <c r="AJ222" i="4" s="1"/>
  <c r="AK222" i="4" s="1"/>
  <c r="AL222" i="4" s="1"/>
  <c r="R222" i="4"/>
  <c r="S222" i="4" s="1"/>
  <c r="V222" i="4" s="1"/>
  <c r="W222" i="4" s="1"/>
  <c r="X222" i="4" s="1"/>
  <c r="Y222" i="4"/>
  <c r="Z222" i="4" s="1"/>
  <c r="K222" i="4"/>
  <c r="L222" i="4" s="1"/>
  <c r="O222" i="4" s="1"/>
  <c r="P222" i="4" s="1"/>
  <c r="Q222" i="4" s="1"/>
  <c r="T222" i="4"/>
  <c r="U222" i="4" s="1"/>
  <c r="AH222" i="4"/>
  <c r="AI222" i="4" s="1"/>
  <c r="M222" i="4"/>
  <c r="N222" i="4" s="1"/>
  <c r="AA222" i="4"/>
  <c r="AB222" i="4" s="1"/>
  <c r="AC222" i="4" l="1"/>
  <c r="AD222" i="4" s="1"/>
  <c r="AE222" i="4" s="1"/>
  <c r="AM222" i="4" s="1"/>
  <c r="AP33" i="4" s="1"/>
  <c r="E223" i="4"/>
  <c r="B223" i="4"/>
  <c r="AH223" i="4" l="1"/>
  <c r="AI223" i="4" s="1"/>
  <c r="AA223" i="4"/>
  <c r="AB223" i="4" s="1"/>
  <c r="G223" i="4"/>
  <c r="F223" i="4"/>
  <c r="M223" i="4" s="1"/>
  <c r="N223" i="4" s="1"/>
  <c r="J223" i="4"/>
  <c r="D223" i="4"/>
  <c r="C223" i="4"/>
  <c r="H223" i="4"/>
  <c r="I223" i="4"/>
  <c r="K223" i="4" l="1"/>
  <c r="L223" i="4" s="1"/>
  <c r="O223" i="4" s="1"/>
  <c r="P223" i="4" s="1"/>
  <c r="Y223" i="4"/>
  <c r="Z223" i="4" s="1"/>
  <c r="AC223" i="4" s="1"/>
  <c r="AD223" i="4" s="1"/>
  <c r="AE223" i="4" s="1"/>
  <c r="AF223" i="4"/>
  <c r="AG223" i="4" s="1"/>
  <c r="AJ223" i="4" s="1"/>
  <c r="AK223" i="4" s="1"/>
  <c r="AL223" i="4" s="1"/>
  <c r="T223" i="4"/>
  <c r="U223" i="4" s="1"/>
  <c r="R223" i="4"/>
  <c r="S223" i="4" s="1"/>
  <c r="V223" i="4" s="1"/>
  <c r="W223" i="4" s="1"/>
  <c r="X223" i="4" s="1"/>
  <c r="J224" i="4" l="1"/>
  <c r="Q223" i="4"/>
  <c r="AM223" i="4" s="1"/>
  <c r="E224" i="4"/>
  <c r="B224" i="4"/>
  <c r="F224" i="4"/>
  <c r="I224" i="4"/>
  <c r="D224" i="4"/>
  <c r="C224" i="4"/>
  <c r="G224" i="4"/>
  <c r="H224" i="4"/>
  <c r="T224" i="4" l="1"/>
  <c r="U224" i="4" s="1"/>
  <c r="AA224" i="4"/>
  <c r="AB224" i="4" s="1"/>
  <c r="M224" i="4"/>
  <c r="N224" i="4" s="1"/>
  <c r="AH224" i="4"/>
  <c r="AI224" i="4" s="1"/>
  <c r="K224" i="4"/>
  <c r="L224" i="4" s="1"/>
  <c r="R224" i="4"/>
  <c r="S224" i="4" s="1"/>
  <c r="V224" i="4" s="1"/>
  <c r="W224" i="4" s="1"/>
  <c r="X224" i="4" s="1"/>
  <c r="AF224" i="4"/>
  <c r="AG224" i="4" s="1"/>
  <c r="Y224" i="4"/>
  <c r="Z224" i="4" s="1"/>
  <c r="AC224" i="4" s="1"/>
  <c r="AD224" i="4" s="1"/>
  <c r="AE224" i="4" s="1"/>
  <c r="AJ224" i="4" l="1"/>
  <c r="AK224" i="4" s="1"/>
  <c r="AL224" i="4" s="1"/>
  <c r="O224" i="4"/>
  <c r="P224" i="4" s="1"/>
  <c r="Q224" i="4" l="1"/>
  <c r="AM224" i="4" s="1"/>
  <c r="C225" i="4"/>
  <c r="F225" i="4"/>
  <c r="J225" i="4"/>
  <c r="D225" i="4"/>
  <c r="I225" i="4"/>
  <c r="B225" i="4"/>
  <c r="E225" i="4"/>
  <c r="G225" i="4"/>
  <c r="H225" i="4"/>
  <c r="M225" i="4" l="1"/>
  <c r="N225" i="4" s="1"/>
  <c r="AH225" i="4"/>
  <c r="AI225" i="4" s="1"/>
  <c r="T225" i="4"/>
  <c r="U225" i="4" s="1"/>
  <c r="AA225" i="4"/>
  <c r="AB225" i="4" s="1"/>
  <c r="K225" i="4"/>
  <c r="L225" i="4" s="1"/>
  <c r="O225" i="4" s="1"/>
  <c r="P225" i="4" s="1"/>
  <c r="Q225" i="4" s="1"/>
  <c r="AF225" i="4"/>
  <c r="AG225" i="4" s="1"/>
  <c r="AJ225" i="4" s="1"/>
  <c r="AK225" i="4" s="1"/>
  <c r="AL225" i="4" s="1"/>
  <c r="R225" i="4"/>
  <c r="S225" i="4" s="1"/>
  <c r="V225" i="4" s="1"/>
  <c r="W225" i="4" s="1"/>
  <c r="X225" i="4" s="1"/>
  <c r="Y225" i="4"/>
  <c r="Z225" i="4" s="1"/>
  <c r="H226" i="4" l="1"/>
  <c r="J226" i="4"/>
  <c r="D226" i="4"/>
  <c r="E226" i="4"/>
  <c r="AC225" i="4"/>
  <c r="AD225" i="4" s="1"/>
  <c r="AE225" i="4" s="1"/>
  <c r="AM225" i="4" s="1"/>
  <c r="G226" i="4" l="1"/>
  <c r="I226" i="4"/>
  <c r="F226" i="4"/>
  <c r="B226" i="4"/>
  <c r="C226" i="4"/>
  <c r="AH226" i="4" l="1"/>
  <c r="AI226" i="4" s="1"/>
  <c r="T226" i="4"/>
  <c r="U226" i="4" s="1"/>
  <c r="AF226" i="4"/>
  <c r="AG226" i="4" s="1"/>
  <c r="AJ226" i="4" s="1"/>
  <c r="AK226" i="4" s="1"/>
  <c r="AL226" i="4" s="1"/>
  <c r="R226" i="4"/>
  <c r="S226" i="4" s="1"/>
  <c r="V226" i="4" s="1"/>
  <c r="W226" i="4" s="1"/>
  <c r="X226" i="4" s="1"/>
  <c r="Y226" i="4"/>
  <c r="Z226" i="4" s="1"/>
  <c r="AC226" i="4" s="1"/>
  <c r="AD226" i="4" s="1"/>
  <c r="AE226" i="4" s="1"/>
  <c r="K226" i="4"/>
  <c r="L226" i="4" s="1"/>
  <c r="M226" i="4"/>
  <c r="N226" i="4" s="1"/>
  <c r="AA226" i="4"/>
  <c r="AB226" i="4" s="1"/>
  <c r="O226" i="4" l="1"/>
  <c r="P226" i="4" s="1"/>
  <c r="Q226" i="4" l="1"/>
  <c r="AM226" i="4" s="1"/>
  <c r="D227" i="4"/>
  <c r="J227" i="4"/>
  <c r="E227" i="4"/>
  <c r="H227" i="4"/>
  <c r="G227" i="4"/>
  <c r="C227" i="4"/>
  <c r="F227" i="4"/>
  <c r="I227" i="4"/>
  <c r="B227" i="4"/>
  <c r="AH227" i="4" l="1"/>
  <c r="AI227" i="4" s="1"/>
  <c r="AA227" i="4"/>
  <c r="AB227" i="4" s="1"/>
  <c r="M227" i="4"/>
  <c r="N227" i="4" s="1"/>
  <c r="T227" i="4"/>
  <c r="U227" i="4" s="1"/>
  <c r="R227" i="4"/>
  <c r="S227" i="4" s="1"/>
  <c r="Y227" i="4"/>
  <c r="Z227" i="4" s="1"/>
  <c r="AC227" i="4" s="1"/>
  <c r="AD227" i="4" s="1"/>
  <c r="AE227" i="4" s="1"/>
  <c r="AF227" i="4"/>
  <c r="AG227" i="4" s="1"/>
  <c r="AJ227" i="4" s="1"/>
  <c r="AK227" i="4" s="1"/>
  <c r="AL227" i="4" s="1"/>
  <c r="K227" i="4"/>
  <c r="L227" i="4" s="1"/>
  <c r="O227" i="4" s="1"/>
  <c r="P227" i="4" s="1"/>
  <c r="Q227" i="4" s="1"/>
  <c r="V227" i="4" l="1"/>
  <c r="W227" i="4" s="1"/>
  <c r="X227" i="4" s="1"/>
  <c r="AM227" i="4" s="1"/>
  <c r="E228" i="4"/>
  <c r="H228" i="4"/>
  <c r="B228" i="4"/>
  <c r="J228" i="4"/>
  <c r="G228" i="4"/>
  <c r="C228" i="4"/>
  <c r="D228" i="4"/>
  <c r="F228" i="4"/>
  <c r="K228" i="4" l="1"/>
  <c r="L228" i="4" s="1"/>
  <c r="Y228" i="4"/>
  <c r="Z228" i="4" s="1"/>
  <c r="AC228" i="4" s="1"/>
  <c r="AD228" i="4" s="1"/>
  <c r="AE228" i="4" s="1"/>
  <c r="AF228" i="4"/>
  <c r="AG228" i="4" s="1"/>
  <c r="R228" i="4"/>
  <c r="S228" i="4" s="1"/>
  <c r="V228" i="4" s="1"/>
  <c r="W228" i="4" s="1"/>
  <c r="X228" i="4" s="1"/>
  <c r="T228" i="4"/>
  <c r="U228" i="4" s="1"/>
  <c r="AA228" i="4"/>
  <c r="AB228" i="4" s="1"/>
  <c r="AH228" i="4"/>
  <c r="AI228" i="4" s="1"/>
  <c r="M228" i="4"/>
  <c r="N228" i="4" s="1"/>
  <c r="I228" i="4"/>
  <c r="AJ228" i="4" l="1"/>
  <c r="AK228" i="4" s="1"/>
  <c r="AL228" i="4" s="1"/>
  <c r="O228" i="4"/>
  <c r="P228" i="4" s="1"/>
  <c r="I229" i="4"/>
  <c r="Q228" i="4" l="1"/>
  <c r="AM228" i="4" s="1"/>
  <c r="C229" i="4"/>
  <c r="B229" i="4"/>
  <c r="G229" i="4"/>
  <c r="J229" i="4"/>
  <c r="H229" i="4"/>
  <c r="F229" i="4"/>
  <c r="E229" i="4"/>
  <c r="D229" i="4"/>
  <c r="AF229" i="4" l="1"/>
  <c r="AG229" i="4" s="1"/>
  <c r="Y229" i="4"/>
  <c r="Z229" i="4" s="1"/>
  <c r="K229" i="4"/>
  <c r="L229" i="4" s="1"/>
  <c r="O229" i="4" s="1"/>
  <c r="P229" i="4" s="1"/>
  <c r="R229" i="4"/>
  <c r="S229" i="4" s="1"/>
  <c r="M229" i="4"/>
  <c r="N229" i="4" s="1"/>
  <c r="T229" i="4"/>
  <c r="U229" i="4" s="1"/>
  <c r="AH229" i="4"/>
  <c r="AI229" i="4" s="1"/>
  <c r="AA229" i="4"/>
  <c r="AB229" i="4" s="1"/>
  <c r="V229" i="4" l="1"/>
  <c r="W229" i="4" s="1"/>
  <c r="X229" i="4" s="1"/>
  <c r="Q229" i="4"/>
  <c r="AC229" i="4"/>
  <c r="AD229" i="4" s="1"/>
  <c r="AE229" i="4" s="1"/>
  <c r="B230" i="4"/>
  <c r="AJ229" i="4"/>
  <c r="AK229" i="4" s="1"/>
  <c r="AL229" i="4" s="1"/>
  <c r="E230" i="4" l="1"/>
  <c r="D230" i="4"/>
  <c r="F230" i="4"/>
  <c r="J230" i="4"/>
  <c r="I230" i="4"/>
  <c r="G230" i="4"/>
  <c r="AM229" i="4"/>
  <c r="C230" i="4"/>
  <c r="H230" i="4"/>
  <c r="R230" i="4" l="1"/>
  <c r="S230" i="4" s="1"/>
  <c r="V230" i="4" s="1"/>
  <c r="W230" i="4" s="1"/>
  <c r="X230" i="4" s="1"/>
  <c r="M230" i="4"/>
  <c r="N230" i="4" s="1"/>
  <c r="AA230" i="4"/>
  <c r="AB230" i="4" s="1"/>
  <c r="T230" i="4"/>
  <c r="U230" i="4" s="1"/>
  <c r="AH230" i="4"/>
  <c r="AI230" i="4" s="1"/>
  <c r="K230" i="4"/>
  <c r="L230" i="4" s="1"/>
  <c r="Y230" i="4"/>
  <c r="Z230" i="4" s="1"/>
  <c r="AF230" i="4"/>
  <c r="AG230" i="4" s="1"/>
  <c r="AJ230" i="4" s="1"/>
  <c r="AK230" i="4" s="1"/>
  <c r="AL230" i="4" s="1"/>
  <c r="AC230" i="4" l="1"/>
  <c r="AD230" i="4" s="1"/>
  <c r="AE230" i="4" s="1"/>
  <c r="O230" i="4"/>
  <c r="P230" i="4" s="1"/>
  <c r="Q230" i="4" l="1"/>
  <c r="AM230" i="4" s="1"/>
  <c r="B231" i="4"/>
  <c r="F231" i="4"/>
  <c r="G231" i="4"/>
  <c r="H231" i="4"/>
  <c r="I231" i="4"/>
  <c r="J231" i="4"/>
  <c r="D231" i="4"/>
  <c r="C231" i="4"/>
  <c r="E231" i="4"/>
  <c r="AH231" i="4" l="1"/>
  <c r="AI231" i="4" s="1"/>
  <c r="T231" i="4"/>
  <c r="U231" i="4" s="1"/>
  <c r="M231" i="4"/>
  <c r="N231" i="4" s="1"/>
  <c r="AA231" i="4"/>
  <c r="AB231" i="4" s="1"/>
  <c r="R231" i="4"/>
  <c r="S231" i="4" s="1"/>
  <c r="Y231" i="4"/>
  <c r="Z231" i="4" s="1"/>
  <c r="AC231" i="4" s="1"/>
  <c r="AD231" i="4" s="1"/>
  <c r="AE231" i="4" s="1"/>
  <c r="AF231" i="4"/>
  <c r="AG231" i="4" s="1"/>
  <c r="AJ231" i="4" s="1"/>
  <c r="AK231" i="4" s="1"/>
  <c r="AL231" i="4" s="1"/>
  <c r="K231" i="4"/>
  <c r="L231" i="4" s="1"/>
  <c r="V231" i="4" l="1"/>
  <c r="W231" i="4" s="1"/>
  <c r="X231" i="4" s="1"/>
  <c r="O231" i="4"/>
  <c r="P231" i="4" s="1"/>
  <c r="Q231" i="4" l="1"/>
  <c r="AM231" i="4" s="1"/>
  <c r="I232" i="4"/>
  <c r="C232" i="4"/>
  <c r="D232" i="4"/>
  <c r="J232" i="4"/>
  <c r="G232" i="4"/>
  <c r="B232" i="4"/>
  <c r="F232" i="4"/>
  <c r="E232" i="4"/>
  <c r="H232" i="4"/>
  <c r="K232" i="4" l="1"/>
  <c r="L232" i="4" s="1"/>
  <c r="Y232" i="4"/>
  <c r="Z232" i="4" s="1"/>
  <c r="AF232" i="4"/>
  <c r="AG232" i="4" s="1"/>
  <c r="R232" i="4"/>
  <c r="S232" i="4" s="1"/>
  <c r="T232" i="4"/>
  <c r="U232" i="4" s="1"/>
  <c r="AA232" i="4"/>
  <c r="AB232" i="4" s="1"/>
  <c r="AH232" i="4"/>
  <c r="AI232" i="4" s="1"/>
  <c r="M232" i="4"/>
  <c r="N232" i="4" s="1"/>
  <c r="AJ232" i="4" l="1"/>
  <c r="AK232" i="4" s="1"/>
  <c r="AL232" i="4" s="1"/>
  <c r="AC232" i="4"/>
  <c r="AD232" i="4" s="1"/>
  <c r="AE232" i="4" s="1"/>
  <c r="V232" i="4"/>
  <c r="W232" i="4" s="1"/>
  <c r="X232" i="4" s="1"/>
  <c r="O232" i="4"/>
  <c r="P232" i="4" s="1"/>
  <c r="Q232" i="4" l="1"/>
  <c r="AM232" i="4" s="1"/>
  <c r="AP34" i="4" s="1"/>
  <c r="J233" i="4"/>
  <c r="E233" i="4"/>
  <c r="B233" i="4"/>
  <c r="D233" i="4"/>
  <c r="H233" i="4"/>
  <c r="I233" i="4"/>
  <c r="G233" i="4"/>
  <c r="C233" i="4"/>
  <c r="F233" i="4"/>
  <c r="R233" i="4" l="1"/>
  <c r="S233" i="4" s="1"/>
  <c r="AF233" i="4"/>
  <c r="AG233" i="4" s="1"/>
  <c r="Y233" i="4"/>
  <c r="Z233" i="4" s="1"/>
  <c r="AC233" i="4" s="1"/>
  <c r="AD233" i="4" s="1"/>
  <c r="AE233" i="4" s="1"/>
  <c r="K233" i="4"/>
  <c r="L233" i="4" s="1"/>
  <c r="O233" i="4" s="1"/>
  <c r="P233" i="4" s="1"/>
  <c r="Q233" i="4" s="1"/>
  <c r="M233" i="4"/>
  <c r="N233" i="4" s="1"/>
  <c r="AA233" i="4"/>
  <c r="AB233" i="4" s="1"/>
  <c r="T233" i="4"/>
  <c r="U233" i="4" s="1"/>
  <c r="AH233" i="4"/>
  <c r="AI233" i="4" s="1"/>
  <c r="AJ233" i="4" l="1"/>
  <c r="AK233" i="4" s="1"/>
  <c r="AL233" i="4" s="1"/>
  <c r="V233" i="4"/>
  <c r="W233" i="4" s="1"/>
  <c r="X233" i="4" s="1"/>
  <c r="AM233" i="4" s="1"/>
  <c r="B234" i="4"/>
  <c r="D234" i="4"/>
  <c r="H234" i="4"/>
  <c r="J234" i="4"/>
  <c r="G234" i="4"/>
  <c r="R234" i="4" l="1"/>
  <c r="S234" i="4" s="1"/>
  <c r="Y234" i="4"/>
  <c r="Z234" i="4" s="1"/>
  <c r="F234" i="4"/>
  <c r="E234" i="4"/>
  <c r="C234" i="4"/>
  <c r="K234" i="4" s="1"/>
  <c r="L234" i="4" s="1"/>
  <c r="I234" i="4"/>
  <c r="AH234" i="4" l="1"/>
  <c r="AI234" i="4" s="1"/>
  <c r="T234" i="4"/>
  <c r="U234" i="4" s="1"/>
  <c r="V234" i="4" s="1"/>
  <c r="W234" i="4" s="1"/>
  <c r="X234" i="4" s="1"/>
  <c r="M234" i="4"/>
  <c r="N234" i="4" s="1"/>
  <c r="O234" i="4" s="1"/>
  <c r="P234" i="4" s="1"/>
  <c r="AA234" i="4"/>
  <c r="AB234" i="4" s="1"/>
  <c r="AC234" i="4" s="1"/>
  <c r="AD234" i="4" s="1"/>
  <c r="AE234" i="4" s="1"/>
  <c r="AF234" i="4"/>
  <c r="AG234" i="4" s="1"/>
  <c r="Q234" i="4" l="1"/>
  <c r="H235" i="4"/>
  <c r="B235" i="4"/>
  <c r="D235" i="4"/>
  <c r="C235" i="4"/>
  <c r="I235" i="4"/>
  <c r="AJ234" i="4"/>
  <c r="AK234" i="4" s="1"/>
  <c r="AL234" i="4" s="1"/>
  <c r="G235" i="4" l="1"/>
  <c r="E235" i="4"/>
  <c r="J235" i="4"/>
  <c r="R235" i="4"/>
  <c r="S235" i="4" s="1"/>
  <c r="Y235" i="4"/>
  <c r="Z235" i="4" s="1"/>
  <c r="K235" i="4"/>
  <c r="L235" i="4" s="1"/>
  <c r="AF235" i="4"/>
  <c r="AG235" i="4" s="1"/>
  <c r="F235" i="4"/>
  <c r="AM234" i="4"/>
  <c r="AH235" i="4" l="1"/>
  <c r="AI235" i="4" s="1"/>
  <c r="AJ235" i="4" s="1"/>
  <c r="AK235" i="4" s="1"/>
  <c r="AL235" i="4" s="1"/>
  <c r="AA235" i="4"/>
  <c r="AB235" i="4" s="1"/>
  <c r="AC235" i="4" s="1"/>
  <c r="AD235" i="4" s="1"/>
  <c r="AE235" i="4" s="1"/>
  <c r="M235" i="4"/>
  <c r="N235" i="4" s="1"/>
  <c r="O235" i="4" s="1"/>
  <c r="P235" i="4" s="1"/>
  <c r="T235" i="4"/>
  <c r="U235" i="4" s="1"/>
  <c r="V235" i="4" s="1"/>
  <c r="W235" i="4" s="1"/>
  <c r="X235" i="4" s="1"/>
  <c r="Q235" i="4" l="1"/>
  <c r="AM235" i="4" s="1"/>
  <c r="I236" i="4"/>
  <c r="C236" i="4"/>
  <c r="B236" i="4"/>
  <c r="D236" i="4"/>
  <c r="H236" i="4"/>
  <c r="G236" i="4"/>
  <c r="J236" i="4"/>
  <c r="F236" i="4"/>
  <c r="E236" i="4"/>
  <c r="K236" i="4" l="1"/>
  <c r="L236" i="4" s="1"/>
  <c r="AF236" i="4"/>
  <c r="AG236" i="4" s="1"/>
  <c r="AJ236" i="4" s="1"/>
  <c r="AK236" i="4" s="1"/>
  <c r="AL236" i="4" s="1"/>
  <c r="Y236" i="4"/>
  <c r="Z236" i="4" s="1"/>
  <c r="AC236" i="4" s="1"/>
  <c r="AD236" i="4" s="1"/>
  <c r="AE236" i="4" s="1"/>
  <c r="R236" i="4"/>
  <c r="S236" i="4" s="1"/>
  <c r="V236" i="4" s="1"/>
  <c r="W236" i="4" s="1"/>
  <c r="X236" i="4" s="1"/>
  <c r="T236" i="4"/>
  <c r="U236" i="4" s="1"/>
  <c r="AA236" i="4"/>
  <c r="AB236" i="4" s="1"/>
  <c r="M236" i="4"/>
  <c r="N236" i="4" s="1"/>
  <c r="AH236" i="4"/>
  <c r="AI236" i="4" s="1"/>
  <c r="O236" i="4" l="1"/>
  <c r="P236" i="4" s="1"/>
  <c r="Q236" i="4" l="1"/>
  <c r="AM236" i="4" s="1"/>
  <c r="J237" i="4"/>
  <c r="F237" i="4"/>
  <c r="G237" i="4"/>
  <c r="E237" i="4"/>
  <c r="H237" i="4"/>
  <c r="B237" i="4"/>
  <c r="I237" i="4"/>
  <c r="D237" i="4"/>
  <c r="C237" i="4"/>
  <c r="Y237" i="4" l="1"/>
  <c r="Z237" i="4" s="1"/>
  <c r="AF237" i="4"/>
  <c r="AG237" i="4" s="1"/>
  <c r="R237" i="4"/>
  <c r="S237" i="4" s="1"/>
  <c r="K237" i="4"/>
  <c r="L237" i="4" s="1"/>
  <c r="O237" i="4" s="1"/>
  <c r="P237" i="4" s="1"/>
  <c r="Q237" i="4" s="1"/>
  <c r="M237" i="4"/>
  <c r="N237" i="4" s="1"/>
  <c r="AH237" i="4"/>
  <c r="AI237" i="4" s="1"/>
  <c r="T237" i="4"/>
  <c r="U237" i="4" s="1"/>
  <c r="AA237" i="4"/>
  <c r="AB237" i="4" s="1"/>
  <c r="V237" i="4" l="1"/>
  <c r="W237" i="4" s="1"/>
  <c r="J238" i="4" s="1"/>
  <c r="AJ237" i="4"/>
  <c r="AK237" i="4" s="1"/>
  <c r="AL237" i="4" s="1"/>
  <c r="AC237" i="4"/>
  <c r="AD237" i="4" s="1"/>
  <c r="AE237" i="4" s="1"/>
  <c r="I238" i="4"/>
  <c r="X237" i="4" l="1"/>
  <c r="AM237" i="4" s="1"/>
  <c r="G238" i="4"/>
  <c r="F238" i="4"/>
  <c r="E238" i="4"/>
  <c r="C238" i="4"/>
  <c r="B238" i="4"/>
  <c r="H238" i="4"/>
  <c r="D238" i="4"/>
  <c r="AF238" i="4" l="1"/>
  <c r="AG238" i="4" s="1"/>
  <c r="Y238" i="4"/>
  <c r="Z238" i="4" s="1"/>
  <c r="K238" i="4"/>
  <c r="L238" i="4" s="1"/>
  <c r="O238" i="4" s="1"/>
  <c r="P238" i="4" s="1"/>
  <c r="R238" i="4"/>
  <c r="S238" i="4" s="1"/>
  <c r="V238" i="4" s="1"/>
  <c r="W238" i="4" s="1"/>
  <c r="X238" i="4" s="1"/>
  <c r="T238" i="4"/>
  <c r="U238" i="4" s="1"/>
  <c r="M238" i="4"/>
  <c r="N238" i="4" s="1"/>
  <c r="AH238" i="4"/>
  <c r="AI238" i="4" s="1"/>
  <c r="AA238" i="4"/>
  <c r="AB238" i="4" s="1"/>
  <c r="Q238" i="4" l="1"/>
  <c r="AC238" i="4"/>
  <c r="AD238" i="4" s="1"/>
  <c r="AJ238" i="4"/>
  <c r="AK238" i="4" s="1"/>
  <c r="AL238" i="4" s="1"/>
  <c r="B239" i="4"/>
  <c r="AE238" i="4" l="1"/>
  <c r="AM238" i="4" s="1"/>
  <c r="C239" i="4"/>
  <c r="G239" i="4"/>
  <c r="H239" i="4"/>
  <c r="D239" i="4"/>
  <c r="F239" i="4"/>
  <c r="J239" i="4"/>
  <c r="I239" i="4"/>
  <c r="E239" i="4"/>
  <c r="AH239" i="4" l="1"/>
  <c r="AI239" i="4" s="1"/>
  <c r="M239" i="4"/>
  <c r="N239" i="4" s="1"/>
  <c r="AA239" i="4"/>
  <c r="AB239" i="4" s="1"/>
  <c r="T239" i="4"/>
  <c r="U239" i="4" s="1"/>
  <c r="AF239" i="4"/>
  <c r="AG239" i="4" s="1"/>
  <c r="AJ239" i="4" s="1"/>
  <c r="AK239" i="4" s="1"/>
  <c r="AL239" i="4" s="1"/>
  <c r="K239" i="4"/>
  <c r="L239" i="4" s="1"/>
  <c r="O239" i="4" s="1"/>
  <c r="P239" i="4" s="1"/>
  <c r="G240" i="4" s="1"/>
  <c r="Y239" i="4"/>
  <c r="Z239" i="4" s="1"/>
  <c r="AC239" i="4" s="1"/>
  <c r="AD239" i="4" s="1"/>
  <c r="AE239" i="4" s="1"/>
  <c r="R239" i="4"/>
  <c r="S239" i="4" s="1"/>
  <c r="V239" i="4" s="1"/>
  <c r="W239" i="4" s="1"/>
  <c r="X239" i="4" s="1"/>
  <c r="J240" i="4" l="1"/>
  <c r="H240" i="4"/>
  <c r="C240" i="4"/>
  <c r="F240" i="4"/>
  <c r="Q239" i="4"/>
  <c r="AM239" i="4" s="1"/>
  <c r="B240" i="4"/>
  <c r="E240" i="4"/>
  <c r="I240" i="4"/>
  <c r="D240" i="4"/>
  <c r="T240" i="4" l="1"/>
  <c r="U240" i="4" s="1"/>
  <c r="AA240" i="4"/>
  <c r="AB240" i="4" s="1"/>
  <c r="AH240" i="4"/>
  <c r="AI240" i="4" s="1"/>
  <c r="M240" i="4"/>
  <c r="N240" i="4" s="1"/>
  <c r="K240" i="4"/>
  <c r="L240" i="4" s="1"/>
  <c r="O240" i="4" s="1"/>
  <c r="P240" i="4" s="1"/>
  <c r="R240" i="4"/>
  <c r="S240" i="4" s="1"/>
  <c r="V240" i="4" s="1"/>
  <c r="W240" i="4" s="1"/>
  <c r="X240" i="4" s="1"/>
  <c r="AF240" i="4"/>
  <c r="AG240" i="4" s="1"/>
  <c r="Y240" i="4"/>
  <c r="Z240" i="4" s="1"/>
  <c r="Q240" i="4" l="1"/>
  <c r="J241" i="4"/>
  <c r="F241" i="4"/>
  <c r="AC240" i="4"/>
  <c r="AD240" i="4" s="1"/>
  <c r="AE240" i="4" s="1"/>
  <c r="E241" i="4"/>
  <c r="AJ240" i="4"/>
  <c r="AK240" i="4" s="1"/>
  <c r="AL240" i="4" s="1"/>
  <c r="D241" i="4" l="1"/>
  <c r="AM240" i="4"/>
  <c r="C241" i="4"/>
  <c r="H241" i="4"/>
  <c r="G241" i="4"/>
  <c r="I241" i="4"/>
  <c r="B241" i="4"/>
  <c r="K241" i="4" l="1"/>
  <c r="L241" i="4" s="1"/>
  <c r="Y241" i="4"/>
  <c r="Z241" i="4" s="1"/>
  <c r="AF241" i="4"/>
  <c r="AG241" i="4" s="1"/>
  <c r="AJ241" i="4" s="1"/>
  <c r="AK241" i="4" s="1"/>
  <c r="AL241" i="4" s="1"/>
  <c r="R241" i="4"/>
  <c r="S241" i="4" s="1"/>
  <c r="T241" i="4"/>
  <c r="U241" i="4" s="1"/>
  <c r="AH241" i="4"/>
  <c r="AI241" i="4" s="1"/>
  <c r="AA241" i="4"/>
  <c r="AB241" i="4" s="1"/>
  <c r="M241" i="4"/>
  <c r="N241" i="4" s="1"/>
  <c r="V241" i="4" l="1"/>
  <c r="W241" i="4" s="1"/>
  <c r="X241" i="4" s="1"/>
  <c r="AC241" i="4"/>
  <c r="AD241" i="4" s="1"/>
  <c r="AE241" i="4" s="1"/>
  <c r="O241" i="4"/>
  <c r="P241" i="4" s="1"/>
  <c r="Q241" i="4" l="1"/>
  <c r="AM241" i="4" s="1"/>
  <c r="E242" i="4"/>
  <c r="J242" i="4"/>
  <c r="F242" i="4"/>
  <c r="H242" i="4"/>
  <c r="B242" i="4"/>
  <c r="I242" i="4"/>
  <c r="C242" i="4"/>
  <c r="D242" i="4"/>
  <c r="G242" i="4"/>
  <c r="AF242" i="4" l="1"/>
  <c r="AG242" i="4" s="1"/>
  <c r="R242" i="4"/>
  <c r="S242" i="4" s="1"/>
  <c r="Y242" i="4"/>
  <c r="Z242" i="4" s="1"/>
  <c r="AC242" i="4" s="1"/>
  <c r="AD242" i="4" s="1"/>
  <c r="AE242" i="4" s="1"/>
  <c r="K242" i="4"/>
  <c r="L242" i="4" s="1"/>
  <c r="O242" i="4" s="1"/>
  <c r="P242" i="4" s="1"/>
  <c r="Q242" i="4" s="1"/>
  <c r="AA242" i="4"/>
  <c r="AB242" i="4" s="1"/>
  <c r="M242" i="4"/>
  <c r="N242" i="4" s="1"/>
  <c r="T242" i="4"/>
  <c r="U242" i="4" s="1"/>
  <c r="AH242" i="4"/>
  <c r="AI242" i="4" s="1"/>
  <c r="H243" i="4" l="1"/>
  <c r="I243" i="4"/>
  <c r="E243" i="4"/>
  <c r="V242" i="4"/>
  <c r="W242" i="4" s="1"/>
  <c r="AJ242" i="4"/>
  <c r="AK242" i="4" s="1"/>
  <c r="AL242" i="4" s="1"/>
  <c r="D243" i="4"/>
  <c r="G243" i="4"/>
  <c r="B243" i="4"/>
  <c r="AH243" i="4" l="1"/>
  <c r="AI243" i="4" s="1"/>
  <c r="T243" i="4"/>
  <c r="U243" i="4" s="1"/>
  <c r="X242" i="4"/>
  <c r="AM242" i="4" s="1"/>
  <c r="AP35" i="4" s="1"/>
  <c r="C243" i="4"/>
  <c r="J243" i="4"/>
  <c r="F243" i="4"/>
  <c r="AA243" i="4" l="1"/>
  <c r="AB243" i="4" s="1"/>
  <c r="Y243" i="4"/>
  <c r="Z243" i="4" s="1"/>
  <c r="AC243" i="4" s="1"/>
  <c r="AD243" i="4" s="1"/>
  <c r="AE243" i="4" s="1"/>
  <c r="K243" i="4"/>
  <c r="L243" i="4" s="1"/>
  <c r="AF243" i="4"/>
  <c r="AG243" i="4" s="1"/>
  <c r="AJ243" i="4" s="1"/>
  <c r="AK243" i="4" s="1"/>
  <c r="AL243" i="4" s="1"/>
  <c r="M243" i="4"/>
  <c r="N243" i="4" s="1"/>
  <c r="R243" i="4"/>
  <c r="S243" i="4" s="1"/>
  <c r="V243" i="4" s="1"/>
  <c r="W243" i="4" s="1"/>
  <c r="X243" i="4" s="1"/>
  <c r="O243" i="4" l="1"/>
  <c r="P243" i="4" s="1"/>
  <c r="Q243" i="4" l="1"/>
  <c r="AM243" i="4" s="1"/>
  <c r="G244" i="4"/>
  <c r="I244" i="4"/>
  <c r="D244" i="4"/>
  <c r="B244" i="4"/>
  <c r="H244" i="4"/>
  <c r="E244" i="4"/>
  <c r="J244" i="4"/>
  <c r="C244" i="4"/>
  <c r="F244" i="4"/>
  <c r="K244" i="4" l="1"/>
  <c r="L244" i="4" s="1"/>
  <c r="Y244" i="4"/>
  <c r="Z244" i="4" s="1"/>
  <c r="AC244" i="4" s="1"/>
  <c r="AD244" i="4" s="1"/>
  <c r="AE244" i="4" s="1"/>
  <c r="AF244" i="4"/>
  <c r="AG244" i="4" s="1"/>
  <c r="AJ244" i="4" s="1"/>
  <c r="AK244" i="4" s="1"/>
  <c r="AL244" i="4" s="1"/>
  <c r="R244" i="4"/>
  <c r="S244" i="4" s="1"/>
  <c r="V244" i="4" s="1"/>
  <c r="W244" i="4" s="1"/>
  <c r="X244" i="4" s="1"/>
  <c r="T244" i="4"/>
  <c r="U244" i="4" s="1"/>
  <c r="AA244" i="4"/>
  <c r="AB244" i="4" s="1"/>
  <c r="AH244" i="4"/>
  <c r="AI244" i="4" s="1"/>
  <c r="M244" i="4"/>
  <c r="N244" i="4" s="1"/>
  <c r="O244" i="4" l="1"/>
  <c r="P244" i="4" s="1"/>
  <c r="Q244" i="4" l="1"/>
  <c r="AM244" i="4" s="1"/>
  <c r="C245" i="4"/>
  <c r="B245" i="4"/>
  <c r="H245" i="4"/>
  <c r="D245" i="4"/>
  <c r="E245" i="4"/>
  <c r="F245" i="4"/>
  <c r="I245" i="4"/>
  <c r="J245" i="4"/>
  <c r="G245" i="4"/>
  <c r="M245" i="4" l="1"/>
  <c r="N245" i="4" s="1"/>
  <c r="T245" i="4"/>
  <c r="U245" i="4" s="1"/>
  <c r="AA245" i="4"/>
  <c r="AB245" i="4" s="1"/>
  <c r="AH245" i="4"/>
  <c r="AI245" i="4" s="1"/>
  <c r="AF245" i="4"/>
  <c r="AG245" i="4" s="1"/>
  <c r="Y245" i="4"/>
  <c r="Z245" i="4" s="1"/>
  <c r="K245" i="4"/>
  <c r="L245" i="4" s="1"/>
  <c r="O245" i="4" s="1"/>
  <c r="P245" i="4" s="1"/>
  <c r="Q245" i="4" s="1"/>
  <c r="R245" i="4"/>
  <c r="S245" i="4" s="1"/>
  <c r="V245" i="4" s="1"/>
  <c r="W245" i="4" s="1"/>
  <c r="X245" i="4" s="1"/>
  <c r="AC245" i="4" l="1"/>
  <c r="AD245" i="4" s="1"/>
  <c r="AE245" i="4" s="1"/>
  <c r="AM245" i="4" s="1"/>
  <c r="E246" i="4"/>
  <c r="B246" i="4"/>
  <c r="AJ245" i="4"/>
  <c r="AK245" i="4" s="1"/>
  <c r="AL245" i="4" s="1"/>
  <c r="I246" i="4"/>
  <c r="D246" i="4" l="1"/>
  <c r="J246" i="4"/>
  <c r="G246" i="4"/>
  <c r="C246" i="4"/>
  <c r="F246" i="4"/>
  <c r="H246" i="4"/>
  <c r="K246" i="4" l="1"/>
  <c r="L246" i="4" s="1"/>
  <c r="O246" i="4" s="1"/>
  <c r="P246" i="4" s="1"/>
  <c r="R246" i="4"/>
  <c r="S246" i="4" s="1"/>
  <c r="AA246" i="4"/>
  <c r="AB246" i="4" s="1"/>
  <c r="Y246" i="4"/>
  <c r="Z246" i="4" s="1"/>
  <c r="AC246" i="4" s="1"/>
  <c r="AD246" i="4" s="1"/>
  <c r="AE246" i="4" s="1"/>
  <c r="AF246" i="4"/>
  <c r="AG246" i="4" s="1"/>
  <c r="T246" i="4"/>
  <c r="U246" i="4" s="1"/>
  <c r="AH246" i="4"/>
  <c r="AI246" i="4" s="1"/>
  <c r="M246" i="4"/>
  <c r="N246" i="4" s="1"/>
  <c r="V246" i="4" l="1"/>
  <c r="W246" i="4" s="1"/>
  <c r="X246" i="4" s="1"/>
  <c r="Q246" i="4"/>
  <c r="I247" i="4"/>
  <c r="B247" i="4"/>
  <c r="E247" i="4"/>
  <c r="D247" i="4"/>
  <c r="G247" i="4"/>
  <c r="AJ246" i="4"/>
  <c r="AK246" i="4" s="1"/>
  <c r="AL246" i="4" s="1"/>
  <c r="J247" i="4"/>
  <c r="T247" i="4" l="1"/>
  <c r="U247" i="4" s="1"/>
  <c r="M247" i="4"/>
  <c r="N247" i="4" s="1"/>
  <c r="AA247" i="4"/>
  <c r="AB247" i="4" s="1"/>
  <c r="AM246" i="4"/>
  <c r="C247" i="4"/>
  <c r="R247" i="4" s="1"/>
  <c r="S247" i="4" s="1"/>
  <c r="V247" i="4" s="1"/>
  <c r="W247" i="4" s="1"/>
  <c r="X247" i="4" s="1"/>
  <c r="H247" i="4"/>
  <c r="F247" i="4"/>
  <c r="AF247" i="4" l="1"/>
  <c r="AG247" i="4" s="1"/>
  <c r="K247" i="4"/>
  <c r="L247" i="4" s="1"/>
  <c r="O247" i="4" s="1"/>
  <c r="P247" i="4" s="1"/>
  <c r="AH247" i="4"/>
  <c r="AI247" i="4" s="1"/>
  <c r="Y247" i="4"/>
  <c r="Z247" i="4" s="1"/>
  <c r="AC247" i="4" s="1"/>
  <c r="AD247" i="4" s="1"/>
  <c r="AE247" i="4" s="1"/>
  <c r="Q247" i="4" l="1"/>
  <c r="AM247" i="4" s="1"/>
  <c r="G248" i="4"/>
  <c r="B248" i="4"/>
  <c r="E248" i="4"/>
  <c r="J248" i="4"/>
  <c r="I248" i="4"/>
  <c r="AJ247" i="4"/>
  <c r="AK247" i="4" s="1"/>
  <c r="AL247" i="4" s="1"/>
  <c r="C248" i="4"/>
  <c r="F248" i="4" l="1"/>
  <c r="D248" i="4"/>
  <c r="H248" i="4"/>
  <c r="Y248" i="4" l="1"/>
  <c r="Z248" i="4" s="1"/>
  <c r="K248" i="4"/>
  <c r="L248" i="4" s="1"/>
  <c r="M248" i="4"/>
  <c r="N248" i="4" s="1"/>
  <c r="AH248" i="4"/>
  <c r="AI248" i="4" s="1"/>
  <c r="AA248" i="4"/>
  <c r="AB248" i="4" s="1"/>
  <c r="R248" i="4"/>
  <c r="S248" i="4" s="1"/>
  <c r="V248" i="4" s="1"/>
  <c r="W248" i="4" s="1"/>
  <c r="X248" i="4" s="1"/>
  <c r="T248" i="4"/>
  <c r="U248" i="4" s="1"/>
  <c r="AF248" i="4"/>
  <c r="AG248" i="4" s="1"/>
  <c r="O248" i="4" l="1"/>
  <c r="P248" i="4" s="1"/>
  <c r="AJ248" i="4"/>
  <c r="AK248" i="4" s="1"/>
  <c r="AL248" i="4" s="1"/>
  <c r="AC248" i="4"/>
  <c r="AD248" i="4" s="1"/>
  <c r="AE248" i="4" s="1"/>
  <c r="Q248" i="4" l="1"/>
  <c r="AM248" i="4" s="1"/>
  <c r="J249" i="4"/>
  <c r="E249" i="4"/>
  <c r="B249" i="4"/>
  <c r="I249" i="4"/>
  <c r="G249" i="4"/>
  <c r="C249" i="4"/>
  <c r="D249" i="4"/>
  <c r="H249" i="4"/>
  <c r="F249" i="4"/>
  <c r="AF249" i="4" l="1"/>
  <c r="AG249" i="4" s="1"/>
  <c r="K249" i="4"/>
  <c r="L249" i="4" s="1"/>
  <c r="Y249" i="4"/>
  <c r="Z249" i="4" s="1"/>
  <c r="R249" i="4"/>
  <c r="S249" i="4" s="1"/>
  <c r="V249" i="4" s="1"/>
  <c r="W249" i="4" s="1"/>
  <c r="X249" i="4" s="1"/>
  <c r="M249" i="4"/>
  <c r="N249" i="4" s="1"/>
  <c r="T249" i="4"/>
  <c r="U249" i="4" s="1"/>
  <c r="AH249" i="4"/>
  <c r="AI249" i="4" s="1"/>
  <c r="AA249" i="4"/>
  <c r="AB249" i="4" s="1"/>
  <c r="AC249" i="4" l="1"/>
  <c r="AD249" i="4" s="1"/>
  <c r="AE249" i="4" s="1"/>
  <c r="O249" i="4"/>
  <c r="P249" i="4" s="1"/>
  <c r="AJ249" i="4"/>
  <c r="AK249" i="4" s="1"/>
  <c r="AL249" i="4" s="1"/>
  <c r="Q249" i="4" l="1"/>
  <c r="AM249" i="4" s="1"/>
  <c r="G250" i="4"/>
  <c r="J250" i="4"/>
  <c r="H250" i="4"/>
  <c r="D250" i="4"/>
  <c r="C250" i="4"/>
  <c r="I250" i="4"/>
  <c r="B250" i="4"/>
  <c r="F250" i="4"/>
  <c r="E250" i="4"/>
  <c r="AF250" i="4" l="1"/>
  <c r="AG250" i="4" s="1"/>
  <c r="AJ250" i="4" s="1"/>
  <c r="AK250" i="4" s="1"/>
  <c r="AL250" i="4" s="1"/>
  <c r="R250" i="4"/>
  <c r="S250" i="4" s="1"/>
  <c r="V250" i="4" s="1"/>
  <c r="W250" i="4" s="1"/>
  <c r="X250" i="4" s="1"/>
  <c r="K250" i="4"/>
  <c r="L250" i="4" s="1"/>
  <c r="O250" i="4" s="1"/>
  <c r="P250" i="4" s="1"/>
  <c r="Q250" i="4" s="1"/>
  <c r="Y250" i="4"/>
  <c r="Z250" i="4" s="1"/>
  <c r="AC250" i="4" s="1"/>
  <c r="AD250" i="4" s="1"/>
  <c r="AE250" i="4" s="1"/>
  <c r="H251" i="4"/>
  <c r="AH250" i="4"/>
  <c r="AI250" i="4" s="1"/>
  <c r="T250" i="4"/>
  <c r="U250" i="4" s="1"/>
  <c r="M250" i="4"/>
  <c r="N250" i="4" s="1"/>
  <c r="AA250" i="4"/>
  <c r="AB250" i="4" s="1"/>
  <c r="G251" i="4"/>
  <c r="AM250" i="4" l="1"/>
  <c r="J251" i="4"/>
  <c r="D251" i="4"/>
  <c r="E251" i="4"/>
  <c r="B251" i="4"/>
  <c r="C251" i="4"/>
  <c r="F251" i="4"/>
  <c r="I251" i="4"/>
  <c r="AH251" i="4" l="1"/>
  <c r="AI251" i="4" s="1"/>
  <c r="T251" i="4"/>
  <c r="U251" i="4" s="1"/>
  <c r="M251" i="4"/>
  <c r="N251" i="4" s="1"/>
  <c r="AA251" i="4"/>
  <c r="AB251" i="4" s="1"/>
  <c r="R251" i="4"/>
  <c r="S251" i="4" s="1"/>
  <c r="V251" i="4" s="1"/>
  <c r="W251" i="4" s="1"/>
  <c r="X251" i="4" s="1"/>
  <c r="Y251" i="4"/>
  <c r="Z251" i="4" s="1"/>
  <c r="AC251" i="4" s="1"/>
  <c r="AD251" i="4" s="1"/>
  <c r="AE251" i="4" s="1"/>
  <c r="AF251" i="4"/>
  <c r="AG251" i="4" s="1"/>
  <c r="AJ251" i="4" s="1"/>
  <c r="AK251" i="4" s="1"/>
  <c r="AL251" i="4" s="1"/>
  <c r="K251" i="4"/>
  <c r="L251" i="4" s="1"/>
  <c r="O251" i="4" l="1"/>
  <c r="P251" i="4" s="1"/>
  <c r="Q251" i="4" l="1"/>
  <c r="AM251" i="4" s="1"/>
  <c r="H252" i="4"/>
  <c r="G252" i="4"/>
  <c r="C252" i="4"/>
  <c r="B252" i="4"/>
  <c r="E252" i="4"/>
  <c r="J252" i="4"/>
  <c r="I252" i="4"/>
  <c r="F252" i="4"/>
  <c r="D252" i="4"/>
  <c r="K252" i="4" l="1"/>
  <c r="L252" i="4" s="1"/>
  <c r="R252" i="4"/>
  <c r="S252" i="4" s="1"/>
  <c r="Y252" i="4"/>
  <c r="Z252" i="4" s="1"/>
  <c r="AC252" i="4" s="1"/>
  <c r="AD252" i="4" s="1"/>
  <c r="AE252" i="4" s="1"/>
  <c r="AF252" i="4"/>
  <c r="AG252" i="4" s="1"/>
  <c r="AJ252" i="4" s="1"/>
  <c r="AK252" i="4" s="1"/>
  <c r="AL252" i="4" s="1"/>
  <c r="T252" i="4"/>
  <c r="U252" i="4" s="1"/>
  <c r="AA252" i="4"/>
  <c r="AB252" i="4" s="1"/>
  <c r="AH252" i="4"/>
  <c r="AI252" i="4" s="1"/>
  <c r="M252" i="4"/>
  <c r="N252" i="4" s="1"/>
  <c r="V252" i="4" l="1"/>
  <c r="W252" i="4" s="1"/>
  <c r="X252" i="4" s="1"/>
  <c r="O252" i="4"/>
  <c r="P252" i="4" s="1"/>
  <c r="Q252" i="4" l="1"/>
  <c r="AM252" i="4" s="1"/>
  <c r="AP36" i="4" s="1"/>
  <c r="F253" i="4"/>
  <c r="B253" i="4"/>
  <c r="G253" i="4"/>
  <c r="C253" i="4"/>
  <c r="I253" i="4"/>
  <c r="J253" i="4"/>
  <c r="E253" i="4"/>
  <c r="D253" i="4"/>
  <c r="H253" i="4"/>
  <c r="M253" i="4" l="1"/>
  <c r="N253" i="4" s="1"/>
  <c r="AA253" i="4"/>
  <c r="AB253" i="4" s="1"/>
  <c r="T253" i="4"/>
  <c r="U253" i="4" s="1"/>
  <c r="AH253" i="4"/>
  <c r="AI253" i="4" s="1"/>
  <c r="R253" i="4"/>
  <c r="S253" i="4" s="1"/>
  <c r="V253" i="4" s="1"/>
  <c r="W253" i="4" s="1"/>
  <c r="X253" i="4" s="1"/>
  <c r="Y253" i="4"/>
  <c r="Z253" i="4" s="1"/>
  <c r="AC253" i="4" s="1"/>
  <c r="AD253" i="4" s="1"/>
  <c r="AE253" i="4" s="1"/>
  <c r="K253" i="4"/>
  <c r="L253" i="4" s="1"/>
  <c r="O253" i="4" s="1"/>
  <c r="P253" i="4" s="1"/>
  <c r="Q253" i="4" s="1"/>
  <c r="AF253" i="4"/>
  <c r="AG253" i="4" s="1"/>
  <c r="AJ253" i="4" s="1"/>
  <c r="AK253" i="4" s="1"/>
  <c r="AL253" i="4" s="1"/>
  <c r="G254" i="4" l="1"/>
  <c r="B254" i="4"/>
  <c r="C254" i="4"/>
  <c r="F254" i="4"/>
  <c r="AM253" i="4"/>
  <c r="I254" i="4"/>
  <c r="J254" i="4"/>
  <c r="E254" i="4"/>
  <c r="D254" i="4"/>
  <c r="H254" i="4"/>
  <c r="AF254" i="4" l="1"/>
  <c r="AG254" i="4" s="1"/>
  <c r="AJ254" i="4" s="1"/>
  <c r="AK254" i="4" s="1"/>
  <c r="AL254" i="4" s="1"/>
  <c r="Y254" i="4"/>
  <c r="Z254" i="4" s="1"/>
  <c r="AC254" i="4" s="1"/>
  <c r="AD254" i="4" s="1"/>
  <c r="AE254" i="4" s="1"/>
  <c r="K254" i="4"/>
  <c r="L254" i="4" s="1"/>
  <c r="O254" i="4" s="1"/>
  <c r="P254" i="4" s="1"/>
  <c r="Q254" i="4" s="1"/>
  <c r="R254" i="4"/>
  <c r="S254" i="4" s="1"/>
  <c r="AH254" i="4"/>
  <c r="AI254" i="4" s="1"/>
  <c r="AA254" i="4"/>
  <c r="AB254" i="4" s="1"/>
  <c r="T254" i="4"/>
  <c r="U254" i="4" s="1"/>
  <c r="M254" i="4"/>
  <c r="N254" i="4" s="1"/>
  <c r="E255" i="4" l="1"/>
  <c r="H255" i="4"/>
  <c r="C255" i="4"/>
  <c r="J255" i="4"/>
  <c r="AM254" i="4"/>
  <c r="F255" i="4"/>
  <c r="G255" i="4"/>
  <c r="V254" i="4"/>
  <c r="W254" i="4" s="1"/>
  <c r="X254" i="4" s="1"/>
  <c r="I255" i="4"/>
  <c r="AH255" i="4" l="1"/>
  <c r="AI255" i="4" s="1"/>
  <c r="AA255" i="4"/>
  <c r="AB255" i="4" s="1"/>
  <c r="M255" i="4"/>
  <c r="N255" i="4" s="1"/>
  <c r="T255" i="4"/>
  <c r="U255" i="4" s="1"/>
  <c r="B255" i="4"/>
  <c r="D255" i="4"/>
  <c r="R255" i="4" l="1"/>
  <c r="S255" i="4" s="1"/>
  <c r="V255" i="4" s="1"/>
  <c r="W255" i="4" s="1"/>
  <c r="X255" i="4" s="1"/>
  <c r="Y255" i="4"/>
  <c r="Z255" i="4" s="1"/>
  <c r="AC255" i="4" s="1"/>
  <c r="AD255" i="4" s="1"/>
  <c r="AE255" i="4" s="1"/>
  <c r="K255" i="4"/>
  <c r="L255" i="4" s="1"/>
  <c r="O255" i="4" s="1"/>
  <c r="P255" i="4" s="1"/>
  <c r="B256" i="4"/>
  <c r="AF255" i="4"/>
  <c r="AG255" i="4" s="1"/>
  <c r="AJ255" i="4" s="1"/>
  <c r="AK255" i="4" s="1"/>
  <c r="AL255" i="4" s="1"/>
  <c r="Q255" i="4" l="1"/>
  <c r="AM255" i="4" s="1"/>
  <c r="F256" i="4"/>
  <c r="J256" i="4"/>
  <c r="C256" i="4"/>
  <c r="AF256" i="4" s="1"/>
  <c r="AG256" i="4" s="1"/>
  <c r="H256" i="4"/>
  <c r="I256" i="4"/>
  <c r="G256" i="4"/>
  <c r="E256" i="4"/>
  <c r="D256" i="4"/>
  <c r="T256" i="4" l="1"/>
  <c r="U256" i="4" s="1"/>
  <c r="AA256" i="4"/>
  <c r="AB256" i="4" s="1"/>
  <c r="M256" i="4"/>
  <c r="N256" i="4" s="1"/>
  <c r="AH256" i="4"/>
  <c r="AI256" i="4" s="1"/>
  <c r="AJ256" i="4" s="1"/>
  <c r="AK256" i="4" s="1"/>
  <c r="AL256" i="4" s="1"/>
  <c r="R256" i="4"/>
  <c r="S256" i="4" s="1"/>
  <c r="Y256" i="4"/>
  <c r="Z256" i="4" s="1"/>
  <c r="K256" i="4"/>
  <c r="L256" i="4" s="1"/>
  <c r="O256" i="4" s="1"/>
  <c r="P256" i="4" s="1"/>
  <c r="Q256" i="4" l="1"/>
  <c r="E257" i="4"/>
  <c r="AC256" i="4"/>
  <c r="AD256" i="4" s="1"/>
  <c r="AE256" i="4" s="1"/>
  <c r="D257" i="4"/>
  <c r="I257" i="4"/>
  <c r="V256" i="4"/>
  <c r="W256" i="4" s="1"/>
  <c r="X256" i="4" s="1"/>
  <c r="H257" i="4" l="1"/>
  <c r="G257" i="4"/>
  <c r="C257" i="4"/>
  <c r="J257" i="4"/>
  <c r="B257" i="4"/>
  <c r="F257" i="4"/>
  <c r="M257" i="4" s="1"/>
  <c r="N257" i="4" s="1"/>
  <c r="AM256" i="4"/>
  <c r="T257" i="4" l="1"/>
  <c r="U257" i="4" s="1"/>
  <c r="K257" i="4"/>
  <c r="L257" i="4" s="1"/>
  <c r="O257" i="4" s="1"/>
  <c r="P257" i="4" s="1"/>
  <c r="AF257" i="4"/>
  <c r="AG257" i="4" s="1"/>
  <c r="AJ257" i="4" s="1"/>
  <c r="AK257" i="4" s="1"/>
  <c r="AL257" i="4" s="1"/>
  <c r="Y257" i="4"/>
  <c r="Z257" i="4" s="1"/>
  <c r="R257" i="4"/>
  <c r="S257" i="4" s="1"/>
  <c r="V257" i="4" s="1"/>
  <c r="W257" i="4" s="1"/>
  <c r="X257" i="4" s="1"/>
  <c r="AA257" i="4"/>
  <c r="AB257" i="4" s="1"/>
  <c r="AH257" i="4"/>
  <c r="AI257" i="4" s="1"/>
  <c r="AC257" i="4" l="1"/>
  <c r="AD257" i="4" s="1"/>
  <c r="AE257" i="4" s="1"/>
  <c r="G258" i="4"/>
  <c r="J258" i="4"/>
  <c r="F258" i="4"/>
  <c r="Q257" i="4"/>
  <c r="AM257" i="4" s="1"/>
  <c r="D258" i="4"/>
  <c r="E258" i="4"/>
  <c r="I258" i="4"/>
  <c r="C258" i="4"/>
  <c r="B258" i="4"/>
  <c r="H258" i="4"/>
  <c r="T258" i="4" l="1"/>
  <c r="U258" i="4" s="1"/>
  <c r="AH258" i="4"/>
  <c r="AI258" i="4" s="1"/>
  <c r="M258" i="4"/>
  <c r="N258" i="4" s="1"/>
  <c r="AA258" i="4"/>
  <c r="AB258" i="4" s="1"/>
  <c r="AF258" i="4"/>
  <c r="AG258" i="4" s="1"/>
  <c r="AJ258" i="4" s="1"/>
  <c r="AK258" i="4" s="1"/>
  <c r="AL258" i="4" s="1"/>
  <c r="K258" i="4"/>
  <c r="L258" i="4" s="1"/>
  <c r="R258" i="4"/>
  <c r="S258" i="4" s="1"/>
  <c r="V258" i="4" s="1"/>
  <c r="W258" i="4" s="1"/>
  <c r="X258" i="4" s="1"/>
  <c r="Y258" i="4"/>
  <c r="Z258" i="4" s="1"/>
  <c r="AC258" i="4" s="1"/>
  <c r="AD258" i="4" s="1"/>
  <c r="AE258" i="4" s="1"/>
  <c r="O258" i="4" l="1"/>
  <c r="P258" i="4" s="1"/>
  <c r="Q258" i="4" l="1"/>
  <c r="AM258" i="4" s="1"/>
  <c r="C259" i="4"/>
  <c r="E259" i="4"/>
  <c r="I259" i="4"/>
  <c r="D259" i="4"/>
  <c r="H259" i="4"/>
  <c r="F259" i="4"/>
  <c r="J259" i="4"/>
  <c r="B259" i="4"/>
  <c r="G259" i="4"/>
  <c r="AH259" i="4" l="1"/>
  <c r="AI259" i="4" s="1"/>
  <c r="T259" i="4"/>
  <c r="U259" i="4" s="1"/>
  <c r="M259" i="4"/>
  <c r="N259" i="4" s="1"/>
  <c r="AA259" i="4"/>
  <c r="AB259" i="4" s="1"/>
  <c r="R259" i="4"/>
  <c r="S259" i="4" s="1"/>
  <c r="V259" i="4" s="1"/>
  <c r="W259" i="4" s="1"/>
  <c r="X259" i="4" s="1"/>
  <c r="Y259" i="4"/>
  <c r="Z259" i="4" s="1"/>
  <c r="AC259" i="4" s="1"/>
  <c r="AD259" i="4" s="1"/>
  <c r="AE259" i="4" s="1"/>
  <c r="AF259" i="4"/>
  <c r="AG259" i="4" s="1"/>
  <c r="K259" i="4"/>
  <c r="L259" i="4" s="1"/>
  <c r="O259" i="4" s="1"/>
  <c r="P259" i="4" s="1"/>
  <c r="Q259" i="4" s="1"/>
  <c r="AJ259" i="4" l="1"/>
  <c r="AK259" i="4" s="1"/>
  <c r="AL259" i="4" s="1"/>
  <c r="AM259" i="4" s="1"/>
  <c r="C260" i="4"/>
  <c r="I260" i="4"/>
  <c r="E260" i="4"/>
  <c r="H260" i="4"/>
  <c r="J260" i="4" l="1"/>
  <c r="D260" i="4"/>
  <c r="G260" i="4"/>
  <c r="B260" i="4"/>
  <c r="F260" i="4"/>
  <c r="M260" i="4" l="1"/>
  <c r="N260" i="4" s="1"/>
  <c r="K260" i="4"/>
  <c r="L260" i="4" s="1"/>
  <c r="O260" i="4" s="1"/>
  <c r="P260" i="4" s="1"/>
  <c r="R260" i="4"/>
  <c r="S260" i="4" s="1"/>
  <c r="Y260" i="4"/>
  <c r="Z260" i="4" s="1"/>
  <c r="AC260" i="4" s="1"/>
  <c r="AD260" i="4" s="1"/>
  <c r="AE260" i="4" s="1"/>
  <c r="AF260" i="4"/>
  <c r="AG260" i="4" s="1"/>
  <c r="AJ260" i="4" s="1"/>
  <c r="AK260" i="4" s="1"/>
  <c r="AL260" i="4" s="1"/>
  <c r="AH260" i="4"/>
  <c r="AI260" i="4" s="1"/>
  <c r="AA260" i="4"/>
  <c r="AB260" i="4" s="1"/>
  <c r="T260" i="4"/>
  <c r="U260" i="4" s="1"/>
  <c r="V260" i="4" l="1"/>
  <c r="W260" i="4" s="1"/>
  <c r="X260" i="4" s="1"/>
  <c r="G261" i="4"/>
  <c r="F261" i="4"/>
  <c r="Q260" i="4"/>
  <c r="AM260" i="4" s="1"/>
  <c r="H261" i="4"/>
  <c r="E261" i="4"/>
  <c r="D261" i="4"/>
  <c r="M261" i="4" l="1"/>
  <c r="N261" i="4" s="1"/>
  <c r="AH261" i="4"/>
  <c r="AI261" i="4" s="1"/>
  <c r="T261" i="4"/>
  <c r="U261" i="4" s="1"/>
  <c r="AA261" i="4"/>
  <c r="AB261" i="4" s="1"/>
  <c r="C261" i="4"/>
  <c r="B261" i="4"/>
  <c r="I261" i="4"/>
  <c r="J261" i="4"/>
  <c r="Y261" i="4" l="1"/>
  <c r="Z261" i="4" s="1"/>
  <c r="AC261" i="4" s="1"/>
  <c r="AD261" i="4" s="1"/>
  <c r="AE261" i="4" s="1"/>
  <c r="K261" i="4"/>
  <c r="L261" i="4" s="1"/>
  <c r="O261" i="4" s="1"/>
  <c r="P261" i="4" s="1"/>
  <c r="R261" i="4"/>
  <c r="S261" i="4" s="1"/>
  <c r="V261" i="4" s="1"/>
  <c r="W261" i="4" s="1"/>
  <c r="X261" i="4" s="1"/>
  <c r="AF261" i="4"/>
  <c r="AG261" i="4" s="1"/>
  <c r="AJ261" i="4" s="1"/>
  <c r="AK261" i="4" s="1"/>
  <c r="AL261" i="4" s="1"/>
  <c r="C262" i="4" l="1"/>
  <c r="Q261" i="4"/>
  <c r="AM261" i="4" s="1"/>
  <c r="H262" i="4"/>
  <c r="D262" i="4"/>
  <c r="E262" i="4"/>
  <c r="G262" i="4"/>
  <c r="F262" i="4"/>
  <c r="B262" i="4"/>
  <c r="J262" i="4"/>
  <c r="I262" i="4"/>
  <c r="AF262" i="4" l="1"/>
  <c r="AG262" i="4" s="1"/>
  <c r="K262" i="4"/>
  <c r="L262" i="4" s="1"/>
  <c r="R262" i="4"/>
  <c r="S262" i="4" s="1"/>
  <c r="Y262" i="4"/>
  <c r="Z262" i="4" s="1"/>
  <c r="AC262" i="4" s="1"/>
  <c r="AD262" i="4" s="1"/>
  <c r="AE262" i="4" s="1"/>
  <c r="AA262" i="4"/>
  <c r="AB262" i="4" s="1"/>
  <c r="AH262" i="4"/>
  <c r="AI262" i="4" s="1"/>
  <c r="T262" i="4"/>
  <c r="U262" i="4" s="1"/>
  <c r="M262" i="4"/>
  <c r="N262" i="4" s="1"/>
  <c r="V262" i="4" l="1"/>
  <c r="W262" i="4" s="1"/>
  <c r="X262" i="4" s="1"/>
  <c r="AJ262" i="4"/>
  <c r="AK262" i="4" s="1"/>
  <c r="AL262" i="4" s="1"/>
  <c r="O262" i="4"/>
  <c r="P262" i="4" s="1"/>
  <c r="Q262" i="4" l="1"/>
  <c r="AM262" i="4" s="1"/>
  <c r="AP37" i="4" s="1"/>
  <c r="B263" i="4"/>
  <c r="H263" i="4"/>
  <c r="C263" i="4"/>
  <c r="I263" i="4"/>
  <c r="E263" i="4"/>
  <c r="F263" i="4"/>
  <c r="G263" i="4"/>
  <c r="D263" i="4"/>
  <c r="J263" i="4"/>
  <c r="AH263" i="4" l="1"/>
  <c r="AI263" i="4" s="1"/>
  <c r="M263" i="4"/>
  <c r="N263" i="4" s="1"/>
  <c r="AA263" i="4"/>
  <c r="AB263" i="4" s="1"/>
  <c r="T263" i="4"/>
  <c r="U263" i="4" s="1"/>
  <c r="R263" i="4"/>
  <c r="S263" i="4" s="1"/>
  <c r="Y263" i="4"/>
  <c r="Z263" i="4" s="1"/>
  <c r="K263" i="4"/>
  <c r="L263" i="4" s="1"/>
  <c r="O263" i="4" s="1"/>
  <c r="P263" i="4" s="1"/>
  <c r="Q263" i="4" s="1"/>
  <c r="AF263" i="4"/>
  <c r="AG263" i="4" s="1"/>
  <c r="AJ263" i="4" s="1"/>
  <c r="AK263" i="4" s="1"/>
  <c r="AL263" i="4" s="1"/>
  <c r="AC263" i="4" l="1"/>
  <c r="AD263" i="4" s="1"/>
  <c r="AE263" i="4" s="1"/>
  <c r="V263" i="4"/>
  <c r="W263" i="4" s="1"/>
  <c r="F264" i="4"/>
  <c r="D264" i="4"/>
  <c r="J264" i="4"/>
  <c r="G264" i="4"/>
  <c r="X263" i="4" l="1"/>
  <c r="AM263" i="4" s="1"/>
  <c r="B264" i="4"/>
  <c r="E264" i="4"/>
  <c r="I264" i="4"/>
  <c r="C264" i="4"/>
  <c r="H264" i="4"/>
  <c r="T264" i="4" l="1"/>
  <c r="U264" i="4" s="1"/>
  <c r="AA264" i="4"/>
  <c r="AB264" i="4" s="1"/>
  <c r="AH264" i="4"/>
  <c r="AI264" i="4" s="1"/>
  <c r="M264" i="4"/>
  <c r="N264" i="4" s="1"/>
  <c r="K264" i="4"/>
  <c r="L264" i="4" s="1"/>
  <c r="O264" i="4" s="1"/>
  <c r="P264" i="4" s="1"/>
  <c r="R264" i="4"/>
  <c r="S264" i="4" s="1"/>
  <c r="V264" i="4" s="1"/>
  <c r="W264" i="4" s="1"/>
  <c r="X264" i="4" s="1"/>
  <c r="Y264" i="4"/>
  <c r="Z264" i="4" s="1"/>
  <c r="AC264" i="4" s="1"/>
  <c r="AD264" i="4" s="1"/>
  <c r="AE264" i="4" s="1"/>
  <c r="AF264" i="4"/>
  <c r="AG264" i="4" s="1"/>
  <c r="AJ264" i="4" l="1"/>
  <c r="AK264" i="4" s="1"/>
  <c r="AL264" i="4" s="1"/>
  <c r="Q264" i="4"/>
  <c r="AM264" i="4" s="1"/>
  <c r="J265" i="4"/>
  <c r="G265" i="4"/>
  <c r="D265" i="4"/>
  <c r="F265" i="4"/>
  <c r="B265" i="4"/>
  <c r="H265" i="4" l="1"/>
  <c r="I265" i="4"/>
  <c r="C265" i="4"/>
  <c r="K265" i="4" s="1"/>
  <c r="L265" i="4" s="1"/>
  <c r="E265" i="4"/>
  <c r="Y265" i="4" l="1"/>
  <c r="Z265" i="4" s="1"/>
  <c r="AF265" i="4"/>
  <c r="AG265" i="4" s="1"/>
  <c r="M265" i="4"/>
  <c r="N265" i="4" s="1"/>
  <c r="O265" i="4" s="1"/>
  <c r="P265" i="4" s="1"/>
  <c r="T265" i="4"/>
  <c r="U265" i="4" s="1"/>
  <c r="AH265" i="4"/>
  <c r="AI265" i="4" s="1"/>
  <c r="AA265" i="4"/>
  <c r="AB265" i="4" s="1"/>
  <c r="R265" i="4"/>
  <c r="S265" i="4" s="1"/>
  <c r="Q265" i="4" l="1"/>
  <c r="B266" i="4"/>
  <c r="E266" i="4"/>
  <c r="I266" i="4"/>
  <c r="V265" i="4"/>
  <c r="W265" i="4" s="1"/>
  <c r="X265" i="4" s="1"/>
  <c r="AJ265" i="4"/>
  <c r="AK265" i="4" s="1"/>
  <c r="AL265" i="4" s="1"/>
  <c r="AC265" i="4"/>
  <c r="AD265" i="4" s="1"/>
  <c r="AE265" i="4" s="1"/>
  <c r="J266" i="4" l="1"/>
  <c r="F266" i="4"/>
  <c r="G266" i="4"/>
  <c r="H266" i="4"/>
  <c r="D266" i="4"/>
  <c r="Y266" i="4" s="1"/>
  <c r="Z266" i="4" s="1"/>
  <c r="C266" i="4"/>
  <c r="AM265" i="4"/>
  <c r="AH266" i="4" l="1"/>
  <c r="AI266" i="4" s="1"/>
  <c r="R266" i="4"/>
  <c r="S266" i="4" s="1"/>
  <c r="V266" i="4" s="1"/>
  <c r="W266" i="4" s="1"/>
  <c r="X266" i="4" s="1"/>
  <c r="T266" i="4"/>
  <c r="U266" i="4" s="1"/>
  <c r="K266" i="4"/>
  <c r="L266" i="4" s="1"/>
  <c r="M266" i="4"/>
  <c r="N266" i="4" s="1"/>
  <c r="AF266" i="4"/>
  <c r="AG266" i="4" s="1"/>
  <c r="AA266" i="4"/>
  <c r="AB266" i="4" s="1"/>
  <c r="AC266" i="4" s="1"/>
  <c r="AD266" i="4" s="1"/>
  <c r="AE266" i="4" s="1"/>
  <c r="AJ266" i="4" l="1"/>
  <c r="AK266" i="4" s="1"/>
  <c r="AL266" i="4" s="1"/>
  <c r="O266" i="4"/>
  <c r="P266" i="4" s="1"/>
  <c r="Q266" i="4" l="1"/>
  <c r="AM266" i="4" s="1"/>
  <c r="I267" i="4"/>
  <c r="E267" i="4"/>
  <c r="B267" i="4"/>
  <c r="D267" i="4"/>
  <c r="F267" i="4"/>
  <c r="J267" i="4"/>
  <c r="H267" i="4"/>
  <c r="G267" i="4"/>
  <c r="C267" i="4"/>
  <c r="R267" i="4" l="1"/>
  <c r="S267" i="4" s="1"/>
  <c r="Y267" i="4"/>
  <c r="Z267" i="4" s="1"/>
  <c r="K267" i="4"/>
  <c r="L267" i="4" s="1"/>
  <c r="O267" i="4" s="1"/>
  <c r="P267" i="4" s="1"/>
  <c r="Q267" i="4" s="1"/>
  <c r="AF267" i="4"/>
  <c r="AG267" i="4" s="1"/>
  <c r="AJ267" i="4" s="1"/>
  <c r="AK267" i="4" s="1"/>
  <c r="AL267" i="4" s="1"/>
  <c r="AH267" i="4"/>
  <c r="AI267" i="4" s="1"/>
  <c r="M267" i="4"/>
  <c r="N267" i="4" s="1"/>
  <c r="AA267" i="4"/>
  <c r="AB267" i="4" s="1"/>
  <c r="T267" i="4"/>
  <c r="U267" i="4" s="1"/>
  <c r="AC267" i="4" l="1"/>
  <c r="AD267" i="4" s="1"/>
  <c r="AE267" i="4" s="1"/>
  <c r="V267" i="4"/>
  <c r="W267" i="4" s="1"/>
  <c r="D268" i="4" s="1"/>
  <c r="F268" i="4"/>
  <c r="H268" i="4"/>
  <c r="G268" i="4"/>
  <c r="J268" i="4" l="1"/>
  <c r="X267" i="4"/>
  <c r="AM267" i="4" s="1"/>
  <c r="I268" i="4"/>
  <c r="B268" i="4"/>
  <c r="C268" i="4"/>
  <c r="E268" i="4"/>
  <c r="K268" i="4" l="1"/>
  <c r="L268" i="4" s="1"/>
  <c r="Y268" i="4"/>
  <c r="Z268" i="4" s="1"/>
  <c r="AC268" i="4" s="1"/>
  <c r="AD268" i="4" s="1"/>
  <c r="AE268" i="4" s="1"/>
  <c r="AF268" i="4"/>
  <c r="AG268" i="4" s="1"/>
  <c r="AJ268" i="4" s="1"/>
  <c r="AK268" i="4" s="1"/>
  <c r="AL268" i="4" s="1"/>
  <c r="R268" i="4"/>
  <c r="S268" i="4" s="1"/>
  <c r="V268" i="4" s="1"/>
  <c r="W268" i="4" s="1"/>
  <c r="X268" i="4" s="1"/>
  <c r="T268" i="4"/>
  <c r="U268" i="4" s="1"/>
  <c r="AA268" i="4"/>
  <c r="AB268" i="4" s="1"/>
  <c r="AH268" i="4"/>
  <c r="AI268" i="4" s="1"/>
  <c r="M268" i="4"/>
  <c r="N268" i="4" s="1"/>
  <c r="O268" i="4" l="1"/>
  <c r="P268" i="4" s="1"/>
  <c r="Q268" i="4" l="1"/>
  <c r="AM268" i="4" s="1"/>
  <c r="D269" i="4"/>
  <c r="H269" i="4"/>
  <c r="G269" i="4"/>
  <c r="F269" i="4"/>
  <c r="I269" i="4"/>
  <c r="E269" i="4"/>
  <c r="B269" i="4"/>
  <c r="C269" i="4"/>
  <c r="J269" i="4"/>
  <c r="Y269" i="4" l="1"/>
  <c r="Z269" i="4" s="1"/>
  <c r="K269" i="4"/>
  <c r="L269" i="4" s="1"/>
  <c r="R269" i="4"/>
  <c r="S269" i="4" s="1"/>
  <c r="V269" i="4" s="1"/>
  <c r="W269" i="4" s="1"/>
  <c r="X269" i="4" s="1"/>
  <c r="AF269" i="4"/>
  <c r="AG269" i="4" s="1"/>
  <c r="AJ269" i="4" s="1"/>
  <c r="AK269" i="4" s="1"/>
  <c r="AL269" i="4" s="1"/>
  <c r="M269" i="4"/>
  <c r="N269" i="4" s="1"/>
  <c r="AH269" i="4"/>
  <c r="AI269" i="4" s="1"/>
  <c r="T269" i="4"/>
  <c r="U269" i="4" s="1"/>
  <c r="AA269" i="4"/>
  <c r="AB269" i="4" s="1"/>
  <c r="O269" i="4" l="1"/>
  <c r="P269" i="4" s="1"/>
  <c r="AC269" i="4"/>
  <c r="AD269" i="4" s="1"/>
  <c r="AE269" i="4" s="1"/>
  <c r="Q269" i="4" l="1"/>
  <c r="AM269" i="4" s="1"/>
  <c r="C270" i="4"/>
  <c r="B270" i="4"/>
  <c r="I270" i="4"/>
  <c r="G270" i="4"/>
  <c r="J270" i="4"/>
  <c r="D270" i="4"/>
  <c r="E270" i="4"/>
  <c r="F270" i="4"/>
  <c r="H270" i="4"/>
  <c r="AA270" i="4" l="1"/>
  <c r="AB270" i="4" s="1"/>
  <c r="AH270" i="4"/>
  <c r="AI270" i="4" s="1"/>
  <c r="T270" i="4"/>
  <c r="U270" i="4" s="1"/>
  <c r="M270" i="4"/>
  <c r="N270" i="4" s="1"/>
  <c r="AF270" i="4"/>
  <c r="AG270" i="4" s="1"/>
  <c r="K270" i="4"/>
  <c r="L270" i="4" s="1"/>
  <c r="Y270" i="4"/>
  <c r="Z270" i="4" s="1"/>
  <c r="AC270" i="4" s="1"/>
  <c r="AD270" i="4" s="1"/>
  <c r="AE270" i="4" s="1"/>
  <c r="R270" i="4"/>
  <c r="S270" i="4" s="1"/>
  <c r="V270" i="4" s="1"/>
  <c r="W270" i="4" s="1"/>
  <c r="X270" i="4" s="1"/>
  <c r="O270" i="4" l="1"/>
  <c r="P270" i="4" s="1"/>
  <c r="AJ270" i="4"/>
  <c r="AK270" i="4" s="1"/>
  <c r="AL270" i="4" s="1"/>
  <c r="Q270" i="4" l="1"/>
  <c r="AM270" i="4" s="1"/>
  <c r="E271" i="4"/>
  <c r="F271" i="4"/>
  <c r="G271" i="4"/>
  <c r="H271" i="4"/>
  <c r="B271" i="4"/>
  <c r="C271" i="4"/>
  <c r="J271" i="4"/>
  <c r="D271" i="4"/>
  <c r="I271" i="4"/>
  <c r="R271" i="4" l="1"/>
  <c r="S271" i="4" s="1"/>
  <c r="Y271" i="4"/>
  <c r="Z271" i="4" s="1"/>
  <c r="K271" i="4"/>
  <c r="L271" i="4" s="1"/>
  <c r="O271" i="4" s="1"/>
  <c r="P271" i="4" s="1"/>
  <c r="Q271" i="4" s="1"/>
  <c r="AF271" i="4"/>
  <c r="AG271" i="4" s="1"/>
  <c r="AH271" i="4"/>
  <c r="AI271" i="4" s="1"/>
  <c r="M271" i="4"/>
  <c r="N271" i="4" s="1"/>
  <c r="AA271" i="4"/>
  <c r="AB271" i="4" s="1"/>
  <c r="T271" i="4"/>
  <c r="U271" i="4" s="1"/>
  <c r="AC271" i="4" l="1"/>
  <c r="AD271" i="4" s="1"/>
  <c r="AE271" i="4" s="1"/>
  <c r="V271" i="4"/>
  <c r="W271" i="4" s="1"/>
  <c r="X271" i="4" s="1"/>
  <c r="AM271" i="4" s="1"/>
  <c r="I272" i="4"/>
  <c r="F272" i="4"/>
  <c r="AJ271" i="4"/>
  <c r="AK271" i="4" s="1"/>
  <c r="AL271" i="4" s="1"/>
  <c r="J272" i="4" l="1"/>
  <c r="C272" i="4"/>
  <c r="D272" i="4"/>
  <c r="H272" i="4"/>
  <c r="E272" i="4"/>
  <c r="G272" i="4"/>
  <c r="B272" i="4"/>
  <c r="T272" i="4" l="1"/>
  <c r="U272" i="4" s="1"/>
  <c r="AA272" i="4"/>
  <c r="AB272" i="4" s="1"/>
  <c r="M272" i="4"/>
  <c r="N272" i="4" s="1"/>
  <c r="AH272" i="4"/>
  <c r="AI272" i="4" s="1"/>
  <c r="K272" i="4"/>
  <c r="L272" i="4" s="1"/>
  <c r="Y272" i="4"/>
  <c r="Z272" i="4" s="1"/>
  <c r="AC272" i="4" s="1"/>
  <c r="AD272" i="4" s="1"/>
  <c r="AE272" i="4" s="1"/>
  <c r="R272" i="4"/>
  <c r="S272" i="4" s="1"/>
  <c r="V272" i="4" s="1"/>
  <c r="W272" i="4" s="1"/>
  <c r="X272" i="4" s="1"/>
  <c r="AF272" i="4"/>
  <c r="AG272" i="4" s="1"/>
  <c r="AJ272" i="4" s="1"/>
  <c r="AK272" i="4" s="1"/>
  <c r="AL272" i="4" s="1"/>
  <c r="O272" i="4" l="1"/>
  <c r="P272" i="4" s="1"/>
  <c r="Q272" i="4" l="1"/>
  <c r="AM272" i="4" s="1"/>
  <c r="AP38" i="4" s="1"/>
  <c r="I273" i="4"/>
  <c r="F273" i="4"/>
  <c r="J273" i="4"/>
  <c r="E273" i="4"/>
  <c r="D273" i="4"/>
  <c r="G273" i="4"/>
  <c r="B273" i="4"/>
  <c r="H273" i="4"/>
  <c r="C273" i="4"/>
  <c r="M273" i="4" l="1"/>
  <c r="N273" i="4" s="1"/>
  <c r="AH273" i="4"/>
  <c r="AI273" i="4" s="1"/>
  <c r="AA273" i="4"/>
  <c r="AB273" i="4" s="1"/>
  <c r="T273" i="4"/>
  <c r="U273" i="4" s="1"/>
  <c r="Y273" i="4"/>
  <c r="Z273" i="4" s="1"/>
  <c r="K273" i="4"/>
  <c r="L273" i="4" s="1"/>
  <c r="O273" i="4" s="1"/>
  <c r="P273" i="4" s="1"/>
  <c r="Q273" i="4" s="1"/>
  <c r="AF273" i="4"/>
  <c r="AG273" i="4" s="1"/>
  <c r="AJ273" i="4" s="1"/>
  <c r="AK273" i="4" s="1"/>
  <c r="AL273" i="4" s="1"/>
  <c r="R273" i="4"/>
  <c r="S273" i="4" s="1"/>
  <c r="V273" i="4" l="1"/>
  <c r="W273" i="4" s="1"/>
  <c r="G274" i="4" s="1"/>
  <c r="AC273" i="4"/>
  <c r="AD273" i="4" s="1"/>
  <c r="AE273" i="4" s="1"/>
  <c r="D274" i="4"/>
  <c r="H274" i="4"/>
  <c r="I274" i="4" l="1"/>
  <c r="E274" i="4"/>
  <c r="B274" i="4"/>
  <c r="C274" i="4"/>
  <c r="X273" i="4"/>
  <c r="AM273" i="4" s="1"/>
  <c r="J274" i="4"/>
  <c r="F274" i="4"/>
  <c r="AF274" i="4" l="1"/>
  <c r="AG274" i="4" s="1"/>
  <c r="AJ274" i="4" s="1"/>
  <c r="AK274" i="4" s="1"/>
  <c r="AL274" i="4" s="1"/>
  <c r="K274" i="4"/>
  <c r="L274" i="4" s="1"/>
  <c r="O274" i="4" s="1"/>
  <c r="P274" i="4" s="1"/>
  <c r="R274" i="4"/>
  <c r="S274" i="4" s="1"/>
  <c r="V274" i="4" s="1"/>
  <c r="W274" i="4" s="1"/>
  <c r="X274" i="4" s="1"/>
  <c r="Y274" i="4"/>
  <c r="Z274" i="4" s="1"/>
  <c r="AA274" i="4"/>
  <c r="AB274" i="4" s="1"/>
  <c r="M274" i="4"/>
  <c r="N274" i="4" s="1"/>
  <c r="AH274" i="4"/>
  <c r="AI274" i="4" s="1"/>
  <c r="T274" i="4"/>
  <c r="U274" i="4" s="1"/>
  <c r="AC274" i="4" l="1"/>
  <c r="AD274" i="4" s="1"/>
  <c r="AE274" i="4" s="1"/>
  <c r="Q274" i="4"/>
  <c r="AM274" i="4" s="1"/>
  <c r="G275" i="4"/>
  <c r="J275" i="4" l="1"/>
  <c r="H275" i="4"/>
  <c r="D275" i="4"/>
  <c r="E275" i="4"/>
  <c r="B275" i="4"/>
  <c r="F275" i="4"/>
  <c r="C275" i="4"/>
  <c r="I275" i="4"/>
  <c r="AH275" i="4" l="1"/>
  <c r="AI275" i="4" s="1"/>
  <c r="M275" i="4"/>
  <c r="N275" i="4" s="1"/>
  <c r="AA275" i="4"/>
  <c r="AB275" i="4" s="1"/>
  <c r="T275" i="4"/>
  <c r="U275" i="4" s="1"/>
  <c r="R275" i="4"/>
  <c r="S275" i="4" s="1"/>
  <c r="V275" i="4" s="1"/>
  <c r="W275" i="4" s="1"/>
  <c r="X275" i="4" s="1"/>
  <c r="Y275" i="4"/>
  <c r="Z275" i="4" s="1"/>
  <c r="AC275" i="4" s="1"/>
  <c r="AD275" i="4" s="1"/>
  <c r="AE275" i="4" s="1"/>
  <c r="K275" i="4"/>
  <c r="L275" i="4" s="1"/>
  <c r="O275" i="4" s="1"/>
  <c r="P275" i="4" s="1"/>
  <c r="AF275" i="4"/>
  <c r="AG275" i="4" s="1"/>
  <c r="Q275" i="4" l="1"/>
  <c r="C276" i="4"/>
  <c r="I276" i="4"/>
  <c r="J276" i="4"/>
  <c r="D276" i="4"/>
  <c r="E276" i="4"/>
  <c r="AJ275" i="4"/>
  <c r="AK275" i="4" s="1"/>
  <c r="AL275" i="4" s="1"/>
  <c r="B276" i="4" l="1"/>
  <c r="H276" i="4"/>
  <c r="G276" i="4"/>
  <c r="F276" i="4"/>
  <c r="T276" i="4" s="1"/>
  <c r="U276" i="4" s="1"/>
  <c r="AM275" i="4"/>
  <c r="AH276" i="4" l="1"/>
  <c r="AI276" i="4" s="1"/>
  <c r="M276" i="4"/>
  <c r="N276" i="4" s="1"/>
  <c r="AA276" i="4"/>
  <c r="AB276" i="4" s="1"/>
  <c r="K276" i="4"/>
  <c r="L276" i="4" s="1"/>
  <c r="O276" i="4" s="1"/>
  <c r="P276" i="4" s="1"/>
  <c r="Y276" i="4"/>
  <c r="Z276" i="4" s="1"/>
  <c r="AF276" i="4"/>
  <c r="AG276" i="4" s="1"/>
  <c r="AJ276" i="4" s="1"/>
  <c r="AK276" i="4" s="1"/>
  <c r="AL276" i="4" s="1"/>
  <c r="R276" i="4"/>
  <c r="S276" i="4" s="1"/>
  <c r="V276" i="4" s="1"/>
  <c r="W276" i="4" s="1"/>
  <c r="X276" i="4" s="1"/>
  <c r="Q276" i="4" l="1"/>
  <c r="D277" i="4"/>
  <c r="E277" i="4"/>
  <c r="I277" i="4"/>
  <c r="H277" i="4"/>
  <c r="AC276" i="4"/>
  <c r="AD276" i="4" s="1"/>
  <c r="AE276" i="4" s="1"/>
  <c r="C277" i="4" l="1"/>
  <c r="J277" i="4"/>
  <c r="G277" i="4"/>
  <c r="AM276" i="4"/>
  <c r="F277" i="4"/>
  <c r="M277" i="4" s="1"/>
  <c r="N277" i="4" s="1"/>
  <c r="B277" i="4"/>
  <c r="Y277" i="4" l="1"/>
  <c r="Z277" i="4" s="1"/>
  <c r="AF277" i="4"/>
  <c r="AG277" i="4" s="1"/>
  <c r="AJ277" i="4" s="1"/>
  <c r="AK277" i="4" s="1"/>
  <c r="AL277" i="4" s="1"/>
  <c r="R277" i="4"/>
  <c r="S277" i="4" s="1"/>
  <c r="V277" i="4" s="1"/>
  <c r="W277" i="4" s="1"/>
  <c r="X277" i="4" s="1"/>
  <c r="K277" i="4"/>
  <c r="L277" i="4" s="1"/>
  <c r="O277" i="4" s="1"/>
  <c r="P277" i="4" s="1"/>
  <c r="T277" i="4"/>
  <c r="U277" i="4" s="1"/>
  <c r="AA277" i="4"/>
  <c r="AB277" i="4" s="1"/>
  <c r="AH277" i="4"/>
  <c r="AI277" i="4" s="1"/>
  <c r="Q277" i="4" l="1"/>
  <c r="I278" i="4"/>
  <c r="D278" i="4"/>
  <c r="G278" i="4"/>
  <c r="C278" i="4"/>
  <c r="B278" i="4"/>
  <c r="AC277" i="4"/>
  <c r="AD277" i="4" s="1"/>
  <c r="AE277" i="4" s="1"/>
  <c r="AF278" i="4" l="1"/>
  <c r="AG278" i="4" s="1"/>
  <c r="K278" i="4"/>
  <c r="L278" i="4" s="1"/>
  <c r="Y278" i="4"/>
  <c r="Z278" i="4" s="1"/>
  <c r="R278" i="4"/>
  <c r="S278" i="4" s="1"/>
  <c r="E278" i="4"/>
  <c r="J278" i="4"/>
  <c r="H278" i="4"/>
  <c r="F278" i="4"/>
  <c r="AM277" i="4"/>
  <c r="O278" i="4" l="1"/>
  <c r="P278" i="4" s="1"/>
  <c r="AA278" i="4"/>
  <c r="AB278" i="4" s="1"/>
  <c r="AC278" i="4" s="1"/>
  <c r="AD278" i="4" s="1"/>
  <c r="AE278" i="4" s="1"/>
  <c r="M278" i="4"/>
  <c r="N278" i="4" s="1"/>
  <c r="AH278" i="4"/>
  <c r="AI278" i="4" s="1"/>
  <c r="T278" i="4"/>
  <c r="U278" i="4" s="1"/>
  <c r="V278" i="4" s="1"/>
  <c r="W278" i="4" s="1"/>
  <c r="X278" i="4" s="1"/>
  <c r="AJ278" i="4"/>
  <c r="AK278" i="4" s="1"/>
  <c r="AL278" i="4" s="1"/>
  <c r="Q278" i="4" l="1"/>
  <c r="AM278" i="4" s="1"/>
  <c r="B279" i="4"/>
  <c r="I279" i="4"/>
  <c r="G279" i="4"/>
  <c r="D279" i="4"/>
  <c r="C279" i="4"/>
  <c r="E279" i="4"/>
  <c r="J279" i="4"/>
  <c r="F279" i="4"/>
  <c r="H279" i="4"/>
  <c r="AH279" i="4" l="1"/>
  <c r="AI279" i="4" s="1"/>
  <c r="M279" i="4"/>
  <c r="N279" i="4" s="1"/>
  <c r="T279" i="4"/>
  <c r="U279" i="4" s="1"/>
  <c r="AA279" i="4"/>
  <c r="AB279" i="4" s="1"/>
  <c r="R279" i="4"/>
  <c r="S279" i="4" s="1"/>
  <c r="Y279" i="4"/>
  <c r="Z279" i="4" s="1"/>
  <c r="K279" i="4"/>
  <c r="L279" i="4" s="1"/>
  <c r="O279" i="4" s="1"/>
  <c r="P279" i="4" s="1"/>
  <c r="Q279" i="4" s="1"/>
  <c r="AF279" i="4"/>
  <c r="AG279" i="4" s="1"/>
  <c r="AJ279" i="4" s="1"/>
  <c r="AK279" i="4" s="1"/>
  <c r="AL279" i="4" s="1"/>
  <c r="AC279" i="4" l="1"/>
  <c r="AD279" i="4" s="1"/>
  <c r="AE279" i="4" s="1"/>
  <c r="V279" i="4"/>
  <c r="W279" i="4" s="1"/>
  <c r="J280" i="4"/>
  <c r="B280" i="4"/>
  <c r="E280" i="4"/>
  <c r="F280" i="4"/>
  <c r="X279" i="4" l="1"/>
  <c r="AM279" i="4" s="1"/>
  <c r="D280" i="4"/>
  <c r="G280" i="4"/>
  <c r="M280" i="4" s="1"/>
  <c r="N280" i="4" s="1"/>
  <c r="I280" i="4"/>
  <c r="H280" i="4"/>
  <c r="C280" i="4"/>
  <c r="AH280" i="4" l="1"/>
  <c r="AI280" i="4" s="1"/>
  <c r="AA280" i="4"/>
  <c r="AB280" i="4" s="1"/>
  <c r="AF280" i="4"/>
  <c r="AG280" i="4" s="1"/>
  <c r="AJ280" i="4" s="1"/>
  <c r="AK280" i="4" s="1"/>
  <c r="AL280" i="4" s="1"/>
  <c r="R280" i="4"/>
  <c r="S280" i="4" s="1"/>
  <c r="T280" i="4"/>
  <c r="U280" i="4" s="1"/>
  <c r="K280" i="4"/>
  <c r="L280" i="4" s="1"/>
  <c r="O280" i="4" s="1"/>
  <c r="P280" i="4" s="1"/>
  <c r="Y280" i="4"/>
  <c r="Z280" i="4" s="1"/>
  <c r="AC280" i="4" s="1"/>
  <c r="AD280" i="4" s="1"/>
  <c r="AE280" i="4" s="1"/>
  <c r="V280" i="4" l="1"/>
  <c r="W280" i="4" s="1"/>
  <c r="Q280" i="4"/>
  <c r="F281" i="4"/>
  <c r="B281" i="4"/>
  <c r="E281" i="4"/>
  <c r="J281" i="4"/>
  <c r="G281" i="4"/>
  <c r="I281" i="4"/>
  <c r="D281" i="4"/>
  <c r="M281" i="4" l="1"/>
  <c r="N281" i="4" s="1"/>
  <c r="AA281" i="4"/>
  <c r="AB281" i="4" s="1"/>
  <c r="AH281" i="4"/>
  <c r="AI281" i="4" s="1"/>
  <c r="T281" i="4"/>
  <c r="U281" i="4" s="1"/>
  <c r="AM280" i="4"/>
  <c r="X280" i="4"/>
  <c r="H281" i="4"/>
  <c r="C281" i="4"/>
  <c r="Y281" i="4" s="1"/>
  <c r="Z281" i="4" s="1"/>
  <c r="AC281" i="4" s="1"/>
  <c r="AD281" i="4" s="1"/>
  <c r="AE281" i="4" s="1"/>
  <c r="AF281" i="4" l="1"/>
  <c r="AG281" i="4" s="1"/>
  <c r="AJ281" i="4" s="1"/>
  <c r="AK281" i="4" s="1"/>
  <c r="AL281" i="4" s="1"/>
  <c r="R281" i="4"/>
  <c r="S281" i="4" s="1"/>
  <c r="V281" i="4" s="1"/>
  <c r="W281" i="4" s="1"/>
  <c r="X281" i="4" s="1"/>
  <c r="K281" i="4"/>
  <c r="L281" i="4" s="1"/>
  <c r="O281" i="4" s="1"/>
  <c r="P281" i="4" s="1"/>
  <c r="H282" i="4" s="1"/>
  <c r="Q281" i="4" l="1"/>
  <c r="AM281" i="4" s="1"/>
  <c r="G282" i="4"/>
  <c r="J282" i="4"/>
  <c r="E282" i="4"/>
  <c r="I282" i="4"/>
  <c r="D282" i="4"/>
  <c r="B282" i="4"/>
  <c r="F282" i="4"/>
  <c r="C282" i="4"/>
  <c r="AF282" i="4" l="1"/>
  <c r="AG282" i="4" s="1"/>
  <c r="K282" i="4"/>
  <c r="L282" i="4" s="1"/>
  <c r="R282" i="4"/>
  <c r="S282" i="4" s="1"/>
  <c r="Y282" i="4"/>
  <c r="Z282" i="4" s="1"/>
  <c r="AC282" i="4" s="1"/>
  <c r="AD282" i="4" s="1"/>
  <c r="AE282" i="4" s="1"/>
  <c r="AA282" i="4"/>
  <c r="AB282" i="4" s="1"/>
  <c r="AH282" i="4"/>
  <c r="AI282" i="4" s="1"/>
  <c r="T282" i="4"/>
  <c r="U282" i="4" s="1"/>
  <c r="M282" i="4"/>
  <c r="N282" i="4" s="1"/>
  <c r="V282" i="4" l="1"/>
  <c r="W282" i="4" s="1"/>
  <c r="X282" i="4" s="1"/>
  <c r="O282" i="4"/>
  <c r="P282" i="4" s="1"/>
  <c r="AJ282" i="4"/>
  <c r="AK282" i="4" s="1"/>
  <c r="AL282" i="4" s="1"/>
  <c r="Q282" i="4" l="1"/>
  <c r="AM282" i="4" s="1"/>
  <c r="AP39" i="4" s="1"/>
  <c r="H283" i="4"/>
  <c r="B283" i="4"/>
  <c r="C283" i="4"/>
  <c r="E283" i="4"/>
  <c r="G283" i="4"/>
  <c r="F283" i="4"/>
  <c r="D283" i="4"/>
  <c r="I283" i="4"/>
  <c r="J283" i="4"/>
  <c r="AH283" i="4" l="1"/>
  <c r="AI283" i="4" s="1"/>
  <c r="M283" i="4"/>
  <c r="N283" i="4" s="1"/>
  <c r="AA283" i="4"/>
  <c r="AB283" i="4" s="1"/>
  <c r="T283" i="4"/>
  <c r="U283" i="4" s="1"/>
  <c r="R283" i="4"/>
  <c r="S283" i="4" s="1"/>
  <c r="V283" i="4" s="1"/>
  <c r="W283" i="4" s="1"/>
  <c r="X283" i="4" s="1"/>
  <c r="Y283" i="4"/>
  <c r="Z283" i="4" s="1"/>
  <c r="AC283" i="4" s="1"/>
  <c r="AD283" i="4" s="1"/>
  <c r="AE283" i="4" s="1"/>
  <c r="K283" i="4"/>
  <c r="L283" i="4" s="1"/>
  <c r="AF283" i="4"/>
  <c r="AG283" i="4" s="1"/>
  <c r="AJ283" i="4" s="1"/>
  <c r="AK283" i="4" s="1"/>
  <c r="AL283" i="4" s="1"/>
  <c r="O283" i="4" l="1"/>
  <c r="P283" i="4" s="1"/>
  <c r="Q283" i="4" l="1"/>
  <c r="AM283" i="4" s="1"/>
  <c r="D284" i="4"/>
  <c r="E284" i="4"/>
  <c r="I284" i="4"/>
  <c r="C284" i="4"/>
  <c r="J284" i="4"/>
  <c r="F284" i="4"/>
  <c r="G284" i="4"/>
  <c r="H284" i="4"/>
  <c r="B284" i="4"/>
  <c r="T284" i="4" l="1"/>
  <c r="U284" i="4" s="1"/>
  <c r="AA284" i="4"/>
  <c r="AB284" i="4" s="1"/>
  <c r="M284" i="4"/>
  <c r="N284" i="4" s="1"/>
  <c r="AH284" i="4"/>
  <c r="AI284" i="4" s="1"/>
  <c r="K284" i="4"/>
  <c r="L284" i="4" s="1"/>
  <c r="O284" i="4" s="1"/>
  <c r="P284" i="4" s="1"/>
  <c r="Q284" i="4" s="1"/>
  <c r="Y284" i="4"/>
  <c r="Z284" i="4" s="1"/>
  <c r="R284" i="4"/>
  <c r="S284" i="4" s="1"/>
  <c r="AF284" i="4"/>
  <c r="AG284" i="4" s="1"/>
  <c r="AJ284" i="4" s="1"/>
  <c r="AK284" i="4" s="1"/>
  <c r="AL284" i="4" s="1"/>
  <c r="V284" i="4" l="1"/>
  <c r="W284" i="4" s="1"/>
  <c r="AC284" i="4"/>
  <c r="AD284" i="4" s="1"/>
  <c r="AE284" i="4" s="1"/>
  <c r="H285" i="4"/>
  <c r="F285" i="4"/>
  <c r="J285" i="4" l="1"/>
  <c r="I285" i="4"/>
  <c r="X284" i="4"/>
  <c r="AM284" i="4" s="1"/>
  <c r="G285" i="4"/>
  <c r="B285" i="4"/>
  <c r="C285" i="4"/>
  <c r="D285" i="4"/>
  <c r="E285" i="4"/>
  <c r="Y285" i="4" l="1"/>
  <c r="Z285" i="4" s="1"/>
  <c r="R285" i="4"/>
  <c r="S285" i="4" s="1"/>
  <c r="K285" i="4"/>
  <c r="L285" i="4" s="1"/>
  <c r="O285" i="4" s="1"/>
  <c r="P285" i="4" s="1"/>
  <c r="AF285" i="4"/>
  <c r="AG285" i="4" s="1"/>
  <c r="AJ285" i="4" s="1"/>
  <c r="AK285" i="4" s="1"/>
  <c r="AL285" i="4" s="1"/>
  <c r="M285" i="4"/>
  <c r="N285" i="4" s="1"/>
  <c r="AH285" i="4"/>
  <c r="AI285" i="4" s="1"/>
  <c r="AA285" i="4"/>
  <c r="AB285" i="4" s="1"/>
  <c r="T285" i="4"/>
  <c r="U285" i="4" s="1"/>
  <c r="V285" i="4" l="1"/>
  <c r="W285" i="4" s="1"/>
  <c r="Q285" i="4"/>
  <c r="F286" i="4"/>
  <c r="H286" i="4"/>
  <c r="AC285" i="4"/>
  <c r="AD285" i="4" s="1"/>
  <c r="AE285" i="4" s="1"/>
  <c r="X285" i="4" l="1"/>
  <c r="AM285" i="4" s="1"/>
  <c r="I286" i="4"/>
  <c r="G286" i="4"/>
  <c r="E286" i="4"/>
  <c r="C286" i="4"/>
  <c r="D286" i="4"/>
  <c r="J286" i="4"/>
  <c r="B286" i="4"/>
  <c r="AA286" i="4" l="1"/>
  <c r="AB286" i="4" s="1"/>
  <c r="M286" i="4"/>
  <c r="N286" i="4" s="1"/>
  <c r="T286" i="4"/>
  <c r="U286" i="4" s="1"/>
  <c r="AH286" i="4"/>
  <c r="AI286" i="4" s="1"/>
  <c r="AF286" i="4"/>
  <c r="AG286" i="4" s="1"/>
  <c r="K286" i="4"/>
  <c r="L286" i="4" s="1"/>
  <c r="R286" i="4"/>
  <c r="S286" i="4" s="1"/>
  <c r="Y286" i="4"/>
  <c r="Z286" i="4" s="1"/>
  <c r="AC286" i="4" s="1"/>
  <c r="AD286" i="4" s="1"/>
  <c r="AE286" i="4" s="1"/>
  <c r="O286" i="4" l="1"/>
  <c r="P286" i="4" s="1"/>
  <c r="V286" i="4"/>
  <c r="W286" i="4" s="1"/>
  <c r="X286" i="4" s="1"/>
  <c r="AJ286" i="4"/>
  <c r="AK286" i="4" s="1"/>
  <c r="AL286" i="4" s="1"/>
  <c r="Q286" i="4" l="1"/>
  <c r="AM286" i="4" s="1"/>
  <c r="H287" i="4"/>
  <c r="F287" i="4"/>
  <c r="C287" i="4"/>
  <c r="E287" i="4"/>
  <c r="G287" i="4"/>
  <c r="D287" i="4"/>
  <c r="B287" i="4"/>
  <c r="I287" i="4"/>
  <c r="J287" i="4"/>
  <c r="R287" i="4" l="1"/>
  <c r="S287" i="4" s="1"/>
  <c r="Y287" i="4"/>
  <c r="Z287" i="4" s="1"/>
  <c r="K287" i="4"/>
  <c r="L287" i="4" s="1"/>
  <c r="AF287" i="4"/>
  <c r="AG287" i="4" s="1"/>
  <c r="AJ287" i="4" s="1"/>
  <c r="AK287" i="4" s="1"/>
  <c r="AL287" i="4" s="1"/>
  <c r="AH287" i="4"/>
  <c r="AI287" i="4" s="1"/>
  <c r="M287" i="4"/>
  <c r="N287" i="4" s="1"/>
  <c r="AA287" i="4"/>
  <c r="AB287" i="4" s="1"/>
  <c r="T287" i="4"/>
  <c r="U287" i="4" s="1"/>
  <c r="O287" i="4" l="1"/>
  <c r="P287" i="4" s="1"/>
  <c r="AC287" i="4"/>
  <c r="AD287" i="4" s="1"/>
  <c r="AE287" i="4" s="1"/>
  <c r="V287" i="4"/>
  <c r="W287" i="4" s="1"/>
  <c r="X287" i="4" s="1"/>
  <c r="Q287" i="4" l="1"/>
  <c r="AM287" i="4" s="1"/>
  <c r="J288" i="4"/>
  <c r="I288" i="4"/>
  <c r="H288" i="4"/>
  <c r="G288" i="4"/>
  <c r="F288" i="4"/>
  <c r="B288" i="4"/>
  <c r="E288" i="4"/>
  <c r="D288" i="4"/>
  <c r="C288" i="4"/>
  <c r="K288" i="4" l="1"/>
  <c r="L288" i="4" s="1"/>
  <c r="AF288" i="4"/>
  <c r="AG288" i="4" s="1"/>
  <c r="R288" i="4"/>
  <c r="S288" i="4" s="1"/>
  <c r="V288" i="4" s="1"/>
  <c r="W288" i="4" s="1"/>
  <c r="X288" i="4" s="1"/>
  <c r="Y288" i="4"/>
  <c r="Z288" i="4" s="1"/>
  <c r="AC288" i="4" s="1"/>
  <c r="AD288" i="4" s="1"/>
  <c r="AE288" i="4" s="1"/>
  <c r="T288" i="4"/>
  <c r="U288" i="4" s="1"/>
  <c r="AA288" i="4"/>
  <c r="AB288" i="4" s="1"/>
  <c r="AH288" i="4"/>
  <c r="AI288" i="4" s="1"/>
  <c r="M288" i="4"/>
  <c r="N288" i="4" s="1"/>
  <c r="AJ288" i="4" l="1"/>
  <c r="AK288" i="4" s="1"/>
  <c r="AL288" i="4" s="1"/>
  <c r="O288" i="4"/>
  <c r="P288" i="4" s="1"/>
  <c r="Q288" i="4" l="1"/>
  <c r="AM288" i="4" s="1"/>
  <c r="D289" i="4"/>
  <c r="E289" i="4"/>
  <c r="F289" i="4"/>
  <c r="B289" i="4"/>
  <c r="G289" i="4"/>
  <c r="H289" i="4"/>
  <c r="I289" i="4"/>
  <c r="C289" i="4"/>
  <c r="J289" i="4"/>
  <c r="K289" i="4" l="1"/>
  <c r="L289" i="4" s="1"/>
  <c r="R289" i="4"/>
  <c r="S289" i="4" s="1"/>
  <c r="Y289" i="4"/>
  <c r="Z289" i="4" s="1"/>
  <c r="AF289" i="4"/>
  <c r="AG289" i="4" s="1"/>
  <c r="M289" i="4"/>
  <c r="N289" i="4" s="1"/>
  <c r="AA289" i="4"/>
  <c r="AB289" i="4" s="1"/>
  <c r="AH289" i="4"/>
  <c r="AI289" i="4" s="1"/>
  <c r="T289" i="4"/>
  <c r="U289" i="4" s="1"/>
  <c r="AC289" i="4" l="1"/>
  <c r="AD289" i="4" s="1"/>
  <c r="AE289" i="4" s="1"/>
  <c r="V289" i="4"/>
  <c r="W289" i="4" s="1"/>
  <c r="X289" i="4" s="1"/>
  <c r="AJ289" i="4"/>
  <c r="AK289" i="4" s="1"/>
  <c r="AL289" i="4" s="1"/>
  <c r="O289" i="4"/>
  <c r="P289" i="4" s="1"/>
  <c r="Q289" i="4" l="1"/>
  <c r="AM289" i="4" s="1"/>
  <c r="J290" i="4"/>
  <c r="C290" i="4"/>
  <c r="B290" i="4"/>
  <c r="I290" i="4"/>
  <c r="D290" i="4"/>
  <c r="G290" i="4"/>
  <c r="E290" i="4"/>
  <c r="H290" i="4"/>
  <c r="F290" i="4"/>
  <c r="M290" i="4" l="1"/>
  <c r="N290" i="4" s="1"/>
  <c r="T290" i="4"/>
  <c r="U290" i="4" s="1"/>
  <c r="AA290" i="4"/>
  <c r="AB290" i="4" s="1"/>
  <c r="AH290" i="4"/>
  <c r="AI290" i="4" s="1"/>
  <c r="AF290" i="4"/>
  <c r="AG290" i="4" s="1"/>
  <c r="K290" i="4"/>
  <c r="L290" i="4" s="1"/>
  <c r="O290" i="4" s="1"/>
  <c r="P290" i="4" s="1"/>
  <c r="Q290" i="4" s="1"/>
  <c r="Y290" i="4"/>
  <c r="Z290" i="4" s="1"/>
  <c r="R290" i="4"/>
  <c r="S290" i="4" s="1"/>
  <c r="V290" i="4" s="1"/>
  <c r="W290" i="4" s="1"/>
  <c r="X290" i="4" s="1"/>
  <c r="AC290" i="4" l="1"/>
  <c r="AD290" i="4" s="1"/>
  <c r="E291" i="4"/>
  <c r="H291" i="4"/>
  <c r="AJ290" i="4"/>
  <c r="AK290" i="4" s="1"/>
  <c r="AL290" i="4" s="1"/>
  <c r="AA291" i="4" l="1"/>
  <c r="AB291" i="4" s="1"/>
  <c r="AE290" i="4"/>
  <c r="AM290" i="4" s="1"/>
  <c r="F291" i="4"/>
  <c r="J291" i="4"/>
  <c r="G291" i="4"/>
  <c r="B291" i="4"/>
  <c r="C291" i="4"/>
  <c r="D291" i="4"/>
  <c r="I291" i="4"/>
  <c r="T291" i="4" l="1"/>
  <c r="U291" i="4" s="1"/>
  <c r="M291" i="4"/>
  <c r="N291" i="4" s="1"/>
  <c r="R291" i="4"/>
  <c r="S291" i="4" s="1"/>
  <c r="V291" i="4" s="1"/>
  <c r="W291" i="4" s="1"/>
  <c r="X291" i="4" s="1"/>
  <c r="Y291" i="4"/>
  <c r="Z291" i="4" s="1"/>
  <c r="AC291" i="4" s="1"/>
  <c r="AD291" i="4" s="1"/>
  <c r="AE291" i="4" s="1"/>
  <c r="K291" i="4"/>
  <c r="L291" i="4" s="1"/>
  <c r="AF291" i="4"/>
  <c r="AG291" i="4" s="1"/>
  <c r="AH291" i="4"/>
  <c r="AI291" i="4" s="1"/>
  <c r="AJ291" i="4" l="1"/>
  <c r="AK291" i="4" s="1"/>
  <c r="AL291" i="4" s="1"/>
  <c r="O291" i="4"/>
  <c r="P291" i="4" s="1"/>
  <c r="Q291" i="4" l="1"/>
  <c r="AM291" i="4" s="1"/>
  <c r="E292" i="4"/>
  <c r="H292" i="4"/>
  <c r="F292" i="4"/>
  <c r="G292" i="4"/>
  <c r="J292" i="4"/>
  <c r="D292" i="4"/>
  <c r="B292" i="4"/>
  <c r="C292" i="4"/>
  <c r="I292" i="4"/>
  <c r="K292" i="4" l="1"/>
  <c r="L292" i="4" s="1"/>
  <c r="Y292" i="4"/>
  <c r="Z292" i="4" s="1"/>
  <c r="AF292" i="4"/>
  <c r="AG292" i="4" s="1"/>
  <c r="R292" i="4"/>
  <c r="S292" i="4" s="1"/>
  <c r="V292" i="4" s="1"/>
  <c r="W292" i="4" s="1"/>
  <c r="X292" i="4" s="1"/>
  <c r="T292" i="4"/>
  <c r="U292" i="4" s="1"/>
  <c r="AA292" i="4"/>
  <c r="AB292" i="4" s="1"/>
  <c r="AH292" i="4"/>
  <c r="AI292" i="4" s="1"/>
  <c r="M292" i="4"/>
  <c r="N292" i="4" s="1"/>
  <c r="AJ292" i="4" l="1"/>
  <c r="AK292" i="4" s="1"/>
  <c r="AL292" i="4" s="1"/>
  <c r="AC292" i="4"/>
  <c r="AD292" i="4" s="1"/>
  <c r="AE292" i="4" s="1"/>
  <c r="O292" i="4"/>
  <c r="P292" i="4" s="1"/>
  <c r="Q292" i="4" l="1"/>
  <c r="AM292" i="4" s="1"/>
  <c r="AP40" i="4" s="1"/>
  <c r="I293" i="4"/>
  <c r="C293" i="4"/>
  <c r="B293" i="4"/>
  <c r="E293" i="4"/>
  <c r="D293" i="4"/>
  <c r="J293" i="4"/>
  <c r="G293" i="4"/>
  <c r="F293" i="4"/>
  <c r="H293" i="4"/>
  <c r="K293" i="4" l="1"/>
  <c r="L293" i="4" s="1"/>
  <c r="O293" i="4" s="1"/>
  <c r="P293" i="4" s="1"/>
  <c r="Q293" i="4" s="1"/>
  <c r="R293" i="4"/>
  <c r="S293" i="4" s="1"/>
  <c r="Y293" i="4"/>
  <c r="Z293" i="4" s="1"/>
  <c r="AC293" i="4" s="1"/>
  <c r="AD293" i="4" s="1"/>
  <c r="AE293" i="4" s="1"/>
  <c r="AF293" i="4"/>
  <c r="AG293" i="4" s="1"/>
  <c r="AJ293" i="4" s="1"/>
  <c r="AK293" i="4" s="1"/>
  <c r="AL293" i="4" s="1"/>
  <c r="M293" i="4"/>
  <c r="N293" i="4" s="1"/>
  <c r="AA293" i="4"/>
  <c r="AB293" i="4" s="1"/>
  <c r="AH293" i="4"/>
  <c r="AI293" i="4" s="1"/>
  <c r="T293" i="4"/>
  <c r="U293" i="4" s="1"/>
  <c r="V293" i="4" l="1"/>
  <c r="W293" i="4" s="1"/>
  <c r="D294" i="4"/>
  <c r="I294" i="4"/>
  <c r="J294" i="4"/>
  <c r="F294" i="4"/>
  <c r="H294" i="4"/>
  <c r="G294" i="4"/>
  <c r="X293" i="4" l="1"/>
  <c r="AM293" i="4" s="1"/>
  <c r="E294" i="4"/>
  <c r="C294" i="4"/>
  <c r="B294" i="4"/>
  <c r="M294" i="4" l="1"/>
  <c r="N294" i="4" s="1"/>
  <c r="T294" i="4"/>
  <c r="U294" i="4" s="1"/>
  <c r="AA294" i="4"/>
  <c r="AB294" i="4" s="1"/>
  <c r="AH294" i="4"/>
  <c r="AI294" i="4" s="1"/>
  <c r="AF294" i="4"/>
  <c r="AG294" i="4" s="1"/>
  <c r="AJ294" i="4" s="1"/>
  <c r="AK294" i="4" s="1"/>
  <c r="AL294" i="4" s="1"/>
  <c r="K294" i="4"/>
  <c r="L294" i="4" s="1"/>
  <c r="O294" i="4" s="1"/>
  <c r="P294" i="4" s="1"/>
  <c r="Y294" i="4"/>
  <c r="Z294" i="4" s="1"/>
  <c r="R294" i="4"/>
  <c r="S294" i="4" s="1"/>
  <c r="V294" i="4" s="1"/>
  <c r="W294" i="4" s="1"/>
  <c r="X294" i="4" s="1"/>
  <c r="Q294" i="4" l="1"/>
  <c r="AM294" i="4" s="1"/>
  <c r="G295" i="4"/>
  <c r="F295" i="4"/>
  <c r="H295" i="4"/>
  <c r="J295" i="4"/>
  <c r="AC294" i="4"/>
  <c r="AD294" i="4" s="1"/>
  <c r="AE294" i="4" s="1"/>
  <c r="C295" i="4" l="1"/>
  <c r="D295" i="4"/>
  <c r="B295" i="4"/>
  <c r="I295" i="4"/>
  <c r="E295" i="4"/>
  <c r="R295" i="4" l="1"/>
  <c r="S295" i="4" s="1"/>
  <c r="Y295" i="4"/>
  <c r="Z295" i="4" s="1"/>
  <c r="AF295" i="4"/>
  <c r="AG295" i="4" s="1"/>
  <c r="AJ295" i="4" s="1"/>
  <c r="AK295" i="4" s="1"/>
  <c r="AL295" i="4" s="1"/>
  <c r="K295" i="4"/>
  <c r="L295" i="4" s="1"/>
  <c r="O295" i="4" s="1"/>
  <c r="P295" i="4" s="1"/>
  <c r="AH295" i="4"/>
  <c r="AI295" i="4" s="1"/>
  <c r="M295" i="4"/>
  <c r="N295" i="4" s="1"/>
  <c r="T295" i="4"/>
  <c r="U295" i="4" s="1"/>
  <c r="AA295" i="4"/>
  <c r="AB295" i="4" s="1"/>
  <c r="Q295" i="4" l="1"/>
  <c r="B296" i="4"/>
  <c r="AC295" i="4"/>
  <c r="AD295" i="4" s="1"/>
  <c r="AE295" i="4" s="1"/>
  <c r="E296" i="4"/>
  <c r="V295" i="4"/>
  <c r="W295" i="4" s="1"/>
  <c r="G296" i="4" l="1"/>
  <c r="H296" i="4"/>
  <c r="I296" i="4"/>
  <c r="J296" i="4"/>
  <c r="D296" i="4"/>
  <c r="F296" i="4"/>
  <c r="X295" i="4"/>
  <c r="C296" i="4"/>
  <c r="AM295" i="4"/>
  <c r="AA296" i="4" l="1"/>
  <c r="AB296" i="4" s="1"/>
  <c r="R296" i="4"/>
  <c r="S296" i="4" s="1"/>
  <c r="T296" i="4"/>
  <c r="U296" i="4" s="1"/>
  <c r="AF296" i="4"/>
  <c r="AG296" i="4" s="1"/>
  <c r="M296" i="4"/>
  <c r="N296" i="4" s="1"/>
  <c r="Y296" i="4"/>
  <c r="Z296" i="4" s="1"/>
  <c r="AC296" i="4" s="1"/>
  <c r="AD296" i="4" s="1"/>
  <c r="AE296" i="4" s="1"/>
  <c r="AH296" i="4"/>
  <c r="AI296" i="4" s="1"/>
  <c r="K296" i="4"/>
  <c r="L296" i="4" s="1"/>
  <c r="O296" i="4" s="1"/>
  <c r="P296" i="4" s="1"/>
  <c r="Q296" i="4" l="1"/>
  <c r="I297" i="4"/>
  <c r="C297" i="4"/>
  <c r="G297" i="4"/>
  <c r="F297" i="4"/>
  <c r="H297" i="4"/>
  <c r="V296" i="4"/>
  <c r="W296" i="4" s="1"/>
  <c r="X296" i="4" s="1"/>
  <c r="AJ296" i="4"/>
  <c r="AK296" i="4" s="1"/>
  <c r="AL296" i="4" s="1"/>
  <c r="D297" i="4"/>
  <c r="E297" i="4" l="1"/>
  <c r="B297" i="4"/>
  <c r="J297" i="4"/>
  <c r="AM296" i="4"/>
  <c r="K297" i="4" l="1"/>
  <c r="L297" i="4" s="1"/>
  <c r="R297" i="4"/>
  <c r="S297" i="4" s="1"/>
  <c r="Y297" i="4"/>
  <c r="Z297" i="4" s="1"/>
  <c r="AF297" i="4"/>
  <c r="AG297" i="4" s="1"/>
  <c r="AJ297" i="4" s="1"/>
  <c r="AK297" i="4" s="1"/>
  <c r="AL297" i="4" s="1"/>
  <c r="M297" i="4"/>
  <c r="N297" i="4" s="1"/>
  <c r="AA297" i="4"/>
  <c r="AB297" i="4" s="1"/>
  <c r="AH297" i="4"/>
  <c r="AI297" i="4" s="1"/>
  <c r="T297" i="4"/>
  <c r="U297" i="4" s="1"/>
  <c r="AC297" i="4" l="1"/>
  <c r="AD297" i="4" s="1"/>
  <c r="AE297" i="4" s="1"/>
  <c r="V297" i="4"/>
  <c r="W297" i="4" s="1"/>
  <c r="X297" i="4" s="1"/>
  <c r="O297" i="4"/>
  <c r="P297" i="4" s="1"/>
  <c r="Q297" i="4" l="1"/>
  <c r="AM297" i="4" s="1"/>
  <c r="F298" i="4"/>
  <c r="H298" i="4"/>
  <c r="D298" i="4"/>
  <c r="G298" i="4"/>
  <c r="C298" i="4"/>
  <c r="I298" i="4"/>
  <c r="J298" i="4"/>
  <c r="B298" i="4"/>
  <c r="E298" i="4"/>
  <c r="M298" i="4" l="1"/>
  <c r="N298" i="4" s="1"/>
  <c r="T298" i="4"/>
  <c r="U298" i="4" s="1"/>
  <c r="AA298" i="4"/>
  <c r="AB298" i="4" s="1"/>
  <c r="AH298" i="4"/>
  <c r="AI298" i="4" s="1"/>
  <c r="AF298" i="4"/>
  <c r="AG298" i="4" s="1"/>
  <c r="AJ298" i="4" s="1"/>
  <c r="AK298" i="4" s="1"/>
  <c r="AL298" i="4" s="1"/>
  <c r="K298" i="4"/>
  <c r="L298" i="4" s="1"/>
  <c r="O298" i="4" s="1"/>
  <c r="P298" i="4" s="1"/>
  <c r="Q298" i="4" s="1"/>
  <c r="Y298" i="4"/>
  <c r="Z298" i="4" s="1"/>
  <c r="AC298" i="4" s="1"/>
  <c r="AD298" i="4" s="1"/>
  <c r="AE298" i="4" s="1"/>
  <c r="R298" i="4"/>
  <c r="S298" i="4" s="1"/>
  <c r="B299" i="4" l="1"/>
  <c r="F299" i="4"/>
  <c r="G299" i="4"/>
  <c r="H299" i="4"/>
  <c r="I299" i="4"/>
  <c r="D299" i="4"/>
  <c r="V298" i="4"/>
  <c r="W298" i="4" s="1"/>
  <c r="X298" i="4" s="1"/>
  <c r="AM298" i="4" s="1"/>
  <c r="C299" i="4"/>
  <c r="R299" i="4" l="1"/>
  <c r="S299" i="4" s="1"/>
  <c r="Y299" i="4"/>
  <c r="Z299" i="4" s="1"/>
  <c r="K299" i="4"/>
  <c r="L299" i="4" s="1"/>
  <c r="AF299" i="4"/>
  <c r="AG299" i="4" s="1"/>
  <c r="E299" i="4"/>
  <c r="J299" i="4"/>
  <c r="AC299" i="4" l="1"/>
  <c r="AD299" i="4" s="1"/>
  <c r="AE299" i="4" s="1"/>
  <c r="AH299" i="4"/>
  <c r="AI299" i="4" s="1"/>
  <c r="AJ299" i="4" s="1"/>
  <c r="AK299" i="4" s="1"/>
  <c r="AL299" i="4" s="1"/>
  <c r="M299" i="4"/>
  <c r="N299" i="4" s="1"/>
  <c r="O299" i="4" s="1"/>
  <c r="P299" i="4" s="1"/>
  <c r="T299" i="4"/>
  <c r="U299" i="4" s="1"/>
  <c r="V299" i="4" s="1"/>
  <c r="W299" i="4" s="1"/>
  <c r="X299" i="4" s="1"/>
  <c r="AA299" i="4"/>
  <c r="AB299" i="4" s="1"/>
  <c r="Q299" i="4" l="1"/>
  <c r="AM299" i="4" s="1"/>
  <c r="H300" i="4"/>
  <c r="D300" i="4"/>
  <c r="B300" i="4"/>
  <c r="I300" i="4"/>
  <c r="G300" i="4"/>
  <c r="F300" i="4"/>
  <c r="C300" i="4"/>
  <c r="J300" i="4"/>
  <c r="E300" i="4"/>
  <c r="K300" i="4" l="1"/>
  <c r="L300" i="4" s="1"/>
  <c r="Y300" i="4"/>
  <c r="Z300" i="4" s="1"/>
  <c r="AC300" i="4" s="1"/>
  <c r="AD300" i="4" s="1"/>
  <c r="AE300" i="4" s="1"/>
  <c r="AF300" i="4"/>
  <c r="AG300" i="4" s="1"/>
  <c r="R300" i="4"/>
  <c r="S300" i="4" s="1"/>
  <c r="T300" i="4"/>
  <c r="U300" i="4" s="1"/>
  <c r="AA300" i="4"/>
  <c r="AB300" i="4" s="1"/>
  <c r="M300" i="4"/>
  <c r="N300" i="4" s="1"/>
  <c r="AH300" i="4"/>
  <c r="AI300" i="4" s="1"/>
  <c r="O300" i="4" l="1"/>
  <c r="P300" i="4" s="1"/>
  <c r="V300" i="4"/>
  <c r="W300" i="4" s="1"/>
  <c r="X300" i="4" s="1"/>
  <c r="AJ300" i="4"/>
  <c r="AK300" i="4" s="1"/>
  <c r="AL300" i="4" s="1"/>
  <c r="Q300" i="4" l="1"/>
  <c r="AM300" i="4" s="1"/>
  <c r="F301" i="4"/>
  <c r="J301" i="4"/>
  <c r="I301" i="4"/>
  <c r="D301" i="4"/>
  <c r="C301" i="4"/>
  <c r="G301" i="4"/>
  <c r="E301" i="4"/>
  <c r="B301" i="4"/>
  <c r="H301" i="4"/>
  <c r="M301" i="4" l="1"/>
  <c r="N301" i="4" s="1"/>
  <c r="AA301" i="4"/>
  <c r="AB301" i="4" s="1"/>
  <c r="AH301" i="4"/>
  <c r="AI301" i="4" s="1"/>
  <c r="T301" i="4"/>
  <c r="U301" i="4" s="1"/>
  <c r="K301" i="4"/>
  <c r="L301" i="4" s="1"/>
  <c r="O301" i="4" s="1"/>
  <c r="P301" i="4" s="1"/>
  <c r="Q301" i="4" s="1"/>
  <c r="R301" i="4"/>
  <c r="S301" i="4" s="1"/>
  <c r="V301" i="4" s="1"/>
  <c r="W301" i="4" s="1"/>
  <c r="X301" i="4" s="1"/>
  <c r="Y301" i="4"/>
  <c r="Z301" i="4" s="1"/>
  <c r="AC301" i="4" s="1"/>
  <c r="AD301" i="4" s="1"/>
  <c r="AE301" i="4" s="1"/>
  <c r="AF301" i="4"/>
  <c r="AG301" i="4" s="1"/>
  <c r="AJ301" i="4" s="1"/>
  <c r="AK301" i="4" s="1"/>
  <c r="AL301" i="4" s="1"/>
  <c r="C302" i="4" l="1"/>
  <c r="J302" i="4"/>
  <c r="D302" i="4"/>
  <c r="AM301" i="4"/>
  <c r="F302" i="4"/>
  <c r="H302" i="4"/>
  <c r="I302" i="4"/>
  <c r="E302" i="4"/>
  <c r="B302" i="4"/>
  <c r="G302" i="4"/>
  <c r="M302" i="4" l="1"/>
  <c r="N302" i="4" s="1"/>
  <c r="T302" i="4"/>
  <c r="U302" i="4" s="1"/>
  <c r="AA302" i="4"/>
  <c r="AB302" i="4" s="1"/>
  <c r="AH302" i="4"/>
  <c r="AI302" i="4" s="1"/>
  <c r="AF302" i="4"/>
  <c r="AG302" i="4" s="1"/>
  <c r="AJ302" i="4" s="1"/>
  <c r="AK302" i="4" s="1"/>
  <c r="AL302" i="4" s="1"/>
  <c r="K302" i="4"/>
  <c r="L302" i="4" s="1"/>
  <c r="O302" i="4" s="1"/>
  <c r="P302" i="4" s="1"/>
  <c r="Q302" i="4" s="1"/>
  <c r="R302" i="4"/>
  <c r="S302" i="4" s="1"/>
  <c r="V302" i="4" s="1"/>
  <c r="W302" i="4" s="1"/>
  <c r="X302" i="4" s="1"/>
  <c r="Y302" i="4"/>
  <c r="Z302" i="4" s="1"/>
  <c r="AC302" i="4" s="1"/>
  <c r="AD302" i="4" s="1"/>
  <c r="AE302" i="4" s="1"/>
  <c r="I303" i="4" l="1"/>
  <c r="D303" i="4"/>
  <c r="AM302" i="4"/>
  <c r="AP41" i="4" s="1"/>
  <c r="H303" i="4"/>
  <c r="B303" i="4"/>
  <c r="G303" i="4"/>
  <c r="E303" i="4"/>
  <c r="F303" i="4"/>
  <c r="C303" i="4"/>
  <c r="J303" i="4"/>
  <c r="AH303" i="4" l="1"/>
  <c r="AI303" i="4" s="1"/>
  <c r="M303" i="4"/>
  <c r="N303" i="4" s="1"/>
  <c r="T303" i="4"/>
  <c r="U303" i="4" s="1"/>
  <c r="AA303" i="4"/>
  <c r="AB303" i="4" s="1"/>
  <c r="R303" i="4"/>
  <c r="S303" i="4" s="1"/>
  <c r="Y303" i="4"/>
  <c r="Z303" i="4" s="1"/>
  <c r="AC303" i="4" s="1"/>
  <c r="AD303" i="4" s="1"/>
  <c r="AE303" i="4" s="1"/>
  <c r="AF303" i="4"/>
  <c r="AG303" i="4" s="1"/>
  <c r="AJ303" i="4" s="1"/>
  <c r="AK303" i="4" s="1"/>
  <c r="AL303" i="4" s="1"/>
  <c r="K303" i="4"/>
  <c r="L303" i="4" s="1"/>
  <c r="O303" i="4" s="1"/>
  <c r="P303" i="4" s="1"/>
  <c r="Q303" i="4" s="1"/>
  <c r="V303" i="4" l="1"/>
  <c r="W303" i="4" s="1"/>
  <c r="F304" i="4"/>
  <c r="G304" i="4"/>
  <c r="B304" i="4"/>
  <c r="E304" i="4"/>
  <c r="I304" i="4"/>
  <c r="T304" i="4" l="1"/>
  <c r="U304" i="4" s="1"/>
  <c r="AA304" i="4"/>
  <c r="AB304" i="4" s="1"/>
  <c r="M304" i="4"/>
  <c r="N304" i="4" s="1"/>
  <c r="AH304" i="4"/>
  <c r="AI304" i="4" s="1"/>
  <c r="X303" i="4"/>
  <c r="AM303" i="4" s="1"/>
  <c r="J304" i="4"/>
  <c r="D304" i="4"/>
  <c r="C304" i="4"/>
  <c r="Y304" i="4" s="1"/>
  <c r="Z304" i="4" s="1"/>
  <c r="AC304" i="4" s="1"/>
  <c r="AD304" i="4" s="1"/>
  <c r="AE304" i="4" s="1"/>
  <c r="H304" i="4"/>
  <c r="AF304" i="4" l="1"/>
  <c r="AG304" i="4" s="1"/>
  <c r="AJ304" i="4" s="1"/>
  <c r="AK304" i="4" s="1"/>
  <c r="AL304" i="4" s="1"/>
  <c r="R304" i="4"/>
  <c r="S304" i="4" s="1"/>
  <c r="V304" i="4" s="1"/>
  <c r="W304" i="4" s="1"/>
  <c r="X304" i="4" s="1"/>
  <c r="K304" i="4"/>
  <c r="L304" i="4" s="1"/>
  <c r="O304" i="4" s="1"/>
  <c r="P304" i="4" s="1"/>
  <c r="Q304" i="4" l="1"/>
  <c r="AM304" i="4" s="1"/>
  <c r="E305" i="4"/>
  <c r="F305" i="4"/>
  <c r="B305" i="4"/>
  <c r="I305" i="4"/>
  <c r="G305" i="4"/>
  <c r="C305" i="4"/>
  <c r="H305" i="4"/>
  <c r="J305" i="4"/>
  <c r="D305" i="4"/>
  <c r="K305" i="4" l="1"/>
  <c r="L305" i="4" s="1"/>
  <c r="O305" i="4" s="1"/>
  <c r="P305" i="4" s="1"/>
  <c r="Q305" i="4" s="1"/>
  <c r="R305" i="4"/>
  <c r="S305" i="4" s="1"/>
  <c r="V305" i="4" s="1"/>
  <c r="W305" i="4" s="1"/>
  <c r="X305" i="4" s="1"/>
  <c r="Y305" i="4"/>
  <c r="Z305" i="4" s="1"/>
  <c r="AC305" i="4" s="1"/>
  <c r="AD305" i="4" s="1"/>
  <c r="AE305" i="4" s="1"/>
  <c r="AF305" i="4"/>
  <c r="AG305" i="4" s="1"/>
  <c r="AJ305" i="4" s="1"/>
  <c r="AK305" i="4" s="1"/>
  <c r="AL305" i="4" s="1"/>
  <c r="B306" i="4"/>
  <c r="M305" i="4"/>
  <c r="N305" i="4" s="1"/>
  <c r="T305" i="4"/>
  <c r="U305" i="4" s="1"/>
  <c r="AA305" i="4"/>
  <c r="AB305" i="4" s="1"/>
  <c r="AH305" i="4"/>
  <c r="AI305" i="4" s="1"/>
  <c r="F306" i="4"/>
  <c r="I306" i="4" l="1"/>
  <c r="E306" i="4"/>
  <c r="AM305" i="4"/>
  <c r="C306" i="4"/>
  <c r="H306" i="4"/>
  <c r="J306" i="4"/>
  <c r="D306" i="4"/>
  <c r="Y306" i="4" s="1"/>
  <c r="Z306" i="4" s="1"/>
  <c r="G306" i="4"/>
  <c r="M306" i="4" l="1"/>
  <c r="N306" i="4" s="1"/>
  <c r="T306" i="4"/>
  <c r="U306" i="4" s="1"/>
  <c r="AA306" i="4"/>
  <c r="AB306" i="4" s="1"/>
  <c r="AC306" i="4" s="1"/>
  <c r="AD306" i="4" s="1"/>
  <c r="AE306" i="4" s="1"/>
  <c r="AH306" i="4"/>
  <c r="AI306" i="4" s="1"/>
  <c r="AF306" i="4"/>
  <c r="AG306" i="4" s="1"/>
  <c r="R306" i="4"/>
  <c r="S306" i="4" s="1"/>
  <c r="V306" i="4" s="1"/>
  <c r="W306" i="4" s="1"/>
  <c r="X306" i="4" s="1"/>
  <c r="K306" i="4"/>
  <c r="L306" i="4" s="1"/>
  <c r="O306" i="4" s="1"/>
  <c r="P306" i="4" s="1"/>
  <c r="Q306" i="4" l="1"/>
  <c r="I307" i="4"/>
  <c r="G307" i="4"/>
  <c r="D307" i="4"/>
  <c r="E307" i="4"/>
  <c r="C307" i="4"/>
  <c r="AJ306" i="4"/>
  <c r="AK306" i="4" s="1"/>
  <c r="AL306" i="4" s="1"/>
  <c r="J307" i="4"/>
  <c r="T307" i="4" l="1"/>
  <c r="U307" i="4" s="1"/>
  <c r="AA307" i="4"/>
  <c r="AB307" i="4" s="1"/>
  <c r="F307" i="4"/>
  <c r="B307" i="4"/>
  <c r="H307" i="4"/>
  <c r="AM306" i="4"/>
  <c r="R307" i="4" l="1"/>
  <c r="S307" i="4" s="1"/>
  <c r="V307" i="4" s="1"/>
  <c r="W307" i="4" s="1"/>
  <c r="X307" i="4" s="1"/>
  <c r="Y307" i="4"/>
  <c r="Z307" i="4" s="1"/>
  <c r="AC307" i="4" s="1"/>
  <c r="AD307" i="4" s="1"/>
  <c r="AE307" i="4" s="1"/>
  <c r="AF307" i="4"/>
  <c r="AG307" i="4" s="1"/>
  <c r="K307" i="4"/>
  <c r="L307" i="4" s="1"/>
  <c r="O307" i="4" s="1"/>
  <c r="P307" i="4" s="1"/>
  <c r="M307" i="4"/>
  <c r="N307" i="4" s="1"/>
  <c r="AH307" i="4"/>
  <c r="AI307" i="4" s="1"/>
  <c r="Q307" i="4" l="1"/>
  <c r="AM307" i="4" s="1"/>
  <c r="C308" i="4"/>
  <c r="G308" i="4"/>
  <c r="J308" i="4"/>
  <c r="E308" i="4"/>
  <c r="D308" i="4"/>
  <c r="I308" i="4"/>
  <c r="AJ307" i="4"/>
  <c r="AK307" i="4" s="1"/>
  <c r="AL307" i="4" s="1"/>
  <c r="B308" i="4"/>
  <c r="H308" i="4"/>
  <c r="K308" i="4" l="1"/>
  <c r="L308" i="4" s="1"/>
  <c r="R308" i="4"/>
  <c r="S308" i="4" s="1"/>
  <c r="Y308" i="4"/>
  <c r="Z308" i="4" s="1"/>
  <c r="AF308" i="4"/>
  <c r="AG308" i="4" s="1"/>
  <c r="F308" i="4"/>
  <c r="T308" i="4" s="1"/>
  <c r="U308" i="4" s="1"/>
  <c r="AH308" i="4" l="1"/>
  <c r="AI308" i="4" s="1"/>
  <c r="AJ308" i="4" s="1"/>
  <c r="AK308" i="4" s="1"/>
  <c r="AL308" i="4" s="1"/>
  <c r="AA308" i="4"/>
  <c r="AB308" i="4" s="1"/>
  <c r="AC308" i="4"/>
  <c r="AD308" i="4" s="1"/>
  <c r="AE308" i="4" s="1"/>
  <c r="V308" i="4"/>
  <c r="W308" i="4" s="1"/>
  <c r="X308" i="4" s="1"/>
  <c r="M308" i="4"/>
  <c r="N308" i="4" s="1"/>
  <c r="O308" i="4" s="1"/>
  <c r="P308" i="4" s="1"/>
  <c r="Q308" i="4" l="1"/>
  <c r="AM308" i="4" s="1"/>
  <c r="I309" i="4"/>
  <c r="D309" i="4"/>
  <c r="J309" i="4"/>
  <c r="G309" i="4"/>
  <c r="C309" i="4"/>
  <c r="H309" i="4"/>
  <c r="E309" i="4"/>
  <c r="B309" i="4"/>
  <c r="F309" i="4"/>
  <c r="M309" i="4" l="1"/>
  <c r="N309" i="4" s="1"/>
  <c r="T309" i="4"/>
  <c r="U309" i="4" s="1"/>
  <c r="AA309" i="4"/>
  <c r="AB309" i="4" s="1"/>
  <c r="AH309" i="4"/>
  <c r="AI309" i="4" s="1"/>
  <c r="K309" i="4"/>
  <c r="L309" i="4" s="1"/>
  <c r="O309" i="4" s="1"/>
  <c r="P309" i="4" s="1"/>
  <c r="Q309" i="4" s="1"/>
  <c r="R309" i="4"/>
  <c r="S309" i="4" s="1"/>
  <c r="V309" i="4" s="1"/>
  <c r="W309" i="4" s="1"/>
  <c r="X309" i="4" s="1"/>
  <c r="Y309" i="4"/>
  <c r="Z309" i="4" s="1"/>
  <c r="AC309" i="4" s="1"/>
  <c r="AD309" i="4" s="1"/>
  <c r="AE309" i="4" s="1"/>
  <c r="AF309" i="4"/>
  <c r="AG309" i="4" s="1"/>
  <c r="AJ309" i="4" l="1"/>
  <c r="AK309" i="4" s="1"/>
  <c r="AL309" i="4" l="1"/>
  <c r="AM309" i="4" s="1"/>
  <c r="B310" i="4"/>
  <c r="I310" i="4"/>
  <c r="C310" i="4"/>
  <c r="F310" i="4"/>
  <c r="J310" i="4"/>
  <c r="G310" i="4"/>
  <c r="E310" i="4"/>
  <c r="D310" i="4"/>
  <c r="H310" i="4"/>
  <c r="M310" i="4" l="1"/>
  <c r="N310" i="4" s="1"/>
  <c r="T310" i="4"/>
  <c r="U310" i="4" s="1"/>
  <c r="AA310" i="4"/>
  <c r="AB310" i="4" s="1"/>
  <c r="AH310" i="4"/>
  <c r="AI310" i="4" s="1"/>
  <c r="AF310" i="4"/>
  <c r="AG310" i="4" s="1"/>
  <c r="K310" i="4"/>
  <c r="L310" i="4" s="1"/>
  <c r="O310" i="4" s="1"/>
  <c r="P310" i="4" s="1"/>
  <c r="Q310" i="4" s="1"/>
  <c r="Y310" i="4"/>
  <c r="Z310" i="4" s="1"/>
  <c r="R310" i="4"/>
  <c r="S310" i="4" s="1"/>
  <c r="V310" i="4" s="1"/>
  <c r="W310" i="4" s="1"/>
  <c r="X310" i="4" s="1"/>
  <c r="AC310" i="4" l="1"/>
  <c r="AD310" i="4" s="1"/>
  <c r="D311" i="4"/>
  <c r="AJ310" i="4"/>
  <c r="AK310" i="4" s="1"/>
  <c r="AL310" i="4" s="1"/>
  <c r="AE310" i="4" l="1"/>
  <c r="AM310" i="4" s="1"/>
  <c r="F311" i="4"/>
  <c r="G311" i="4"/>
  <c r="J311" i="4"/>
  <c r="E311" i="4"/>
  <c r="C311" i="4"/>
  <c r="I311" i="4"/>
  <c r="B311" i="4"/>
  <c r="H311" i="4"/>
  <c r="R311" i="4" l="1"/>
  <c r="S311" i="4" s="1"/>
  <c r="Y311" i="4"/>
  <c r="Z311" i="4" s="1"/>
  <c r="AF311" i="4"/>
  <c r="AG311" i="4" s="1"/>
  <c r="AJ311" i="4" s="1"/>
  <c r="AK311" i="4" s="1"/>
  <c r="AL311" i="4" s="1"/>
  <c r="K311" i="4"/>
  <c r="L311" i="4" s="1"/>
  <c r="O311" i="4" s="1"/>
  <c r="P311" i="4" s="1"/>
  <c r="AH311" i="4"/>
  <c r="AI311" i="4" s="1"/>
  <c r="M311" i="4"/>
  <c r="N311" i="4" s="1"/>
  <c r="AA311" i="4"/>
  <c r="AB311" i="4" s="1"/>
  <c r="T311" i="4"/>
  <c r="U311" i="4" s="1"/>
  <c r="G312" i="4" l="1"/>
  <c r="Q311" i="4"/>
  <c r="AM311" i="4" s="1"/>
  <c r="I312" i="4"/>
  <c r="AC311" i="4"/>
  <c r="AD311" i="4" s="1"/>
  <c r="AE311" i="4" s="1"/>
  <c r="V311" i="4"/>
  <c r="W311" i="4" s="1"/>
  <c r="X311" i="4" s="1"/>
  <c r="D312" i="4" l="1"/>
  <c r="F312" i="4"/>
  <c r="E312" i="4"/>
  <c r="J312" i="4"/>
  <c r="H312" i="4"/>
  <c r="B312" i="4"/>
  <c r="C312" i="4"/>
  <c r="K312" i="4" l="1"/>
  <c r="L312" i="4" s="1"/>
  <c r="R312" i="4"/>
  <c r="S312" i="4" s="1"/>
  <c r="Y312" i="4"/>
  <c r="Z312" i="4" s="1"/>
  <c r="AC312" i="4" s="1"/>
  <c r="AD312" i="4" s="1"/>
  <c r="AE312" i="4" s="1"/>
  <c r="AF312" i="4"/>
  <c r="AG312" i="4" s="1"/>
  <c r="AJ312" i="4" s="1"/>
  <c r="AK312" i="4" s="1"/>
  <c r="AL312" i="4" s="1"/>
  <c r="T312" i="4"/>
  <c r="U312" i="4" s="1"/>
  <c r="AA312" i="4"/>
  <c r="AB312" i="4" s="1"/>
  <c r="AH312" i="4"/>
  <c r="AI312" i="4" s="1"/>
  <c r="M312" i="4"/>
  <c r="N312" i="4" s="1"/>
  <c r="V312" i="4" l="1"/>
  <c r="W312" i="4" s="1"/>
  <c r="X312" i="4" s="1"/>
  <c r="O312" i="4"/>
  <c r="P312" i="4" s="1"/>
  <c r="Q312" i="4" l="1"/>
  <c r="AM312" i="4" s="1"/>
  <c r="AP42" i="4" s="1"/>
  <c r="I313" i="4"/>
  <c r="G313" i="4"/>
  <c r="J313" i="4"/>
  <c r="H313" i="4"/>
  <c r="F313" i="4"/>
  <c r="B313" i="4"/>
  <c r="D313" i="4"/>
  <c r="C313" i="4"/>
  <c r="E313" i="4"/>
  <c r="K313" i="4" l="1"/>
  <c r="L313" i="4" s="1"/>
  <c r="R313" i="4"/>
  <c r="S313" i="4" s="1"/>
  <c r="Y313" i="4"/>
  <c r="Z313" i="4" s="1"/>
  <c r="AF313" i="4"/>
  <c r="AG313" i="4" s="1"/>
  <c r="AJ313" i="4" s="1"/>
  <c r="AK313" i="4" s="1"/>
  <c r="AL313" i="4" s="1"/>
  <c r="M313" i="4"/>
  <c r="N313" i="4" s="1"/>
  <c r="T313" i="4"/>
  <c r="U313" i="4" s="1"/>
  <c r="AA313" i="4"/>
  <c r="AB313" i="4" s="1"/>
  <c r="AH313" i="4"/>
  <c r="AI313" i="4" s="1"/>
  <c r="AC313" i="4" l="1"/>
  <c r="AD313" i="4" s="1"/>
  <c r="AE313" i="4" s="1"/>
  <c r="V313" i="4"/>
  <c r="W313" i="4" s="1"/>
  <c r="X313" i="4" s="1"/>
  <c r="O313" i="4"/>
  <c r="P313" i="4" s="1"/>
  <c r="Q313" i="4" l="1"/>
  <c r="AM313" i="4" s="1"/>
  <c r="H314" i="4"/>
  <c r="C314" i="4"/>
  <c r="B314" i="4"/>
  <c r="E314" i="4"/>
  <c r="F314" i="4"/>
  <c r="G314" i="4"/>
  <c r="J314" i="4"/>
  <c r="D314" i="4"/>
  <c r="I314" i="4"/>
  <c r="M314" i="4" l="1"/>
  <c r="N314" i="4" s="1"/>
  <c r="T314" i="4"/>
  <c r="U314" i="4" s="1"/>
  <c r="AA314" i="4"/>
  <c r="AB314" i="4" s="1"/>
  <c r="AH314" i="4"/>
  <c r="AI314" i="4" s="1"/>
  <c r="AF314" i="4"/>
  <c r="AG314" i="4" s="1"/>
  <c r="AJ314" i="4" s="1"/>
  <c r="AK314" i="4" s="1"/>
  <c r="AL314" i="4" s="1"/>
  <c r="K314" i="4"/>
  <c r="L314" i="4" s="1"/>
  <c r="O314" i="4" s="1"/>
  <c r="P314" i="4" s="1"/>
  <c r="Q314" i="4" s="1"/>
  <c r="R314" i="4"/>
  <c r="S314" i="4" s="1"/>
  <c r="Y314" i="4"/>
  <c r="Z314" i="4" s="1"/>
  <c r="AC314" i="4" s="1"/>
  <c r="AD314" i="4" s="1"/>
  <c r="AE314" i="4" s="1"/>
  <c r="V314" i="4" l="1"/>
  <c r="W314" i="4" s="1"/>
  <c r="X314" i="4" s="1"/>
  <c r="B315" i="4"/>
  <c r="C315" i="4"/>
  <c r="G315" i="4"/>
  <c r="AM314" i="4"/>
  <c r="H315" i="4"/>
  <c r="I315" i="4"/>
  <c r="F315" i="4"/>
  <c r="E315" i="4"/>
  <c r="D315" i="4"/>
  <c r="J315" i="4"/>
  <c r="K315" i="4" l="1"/>
  <c r="L315" i="4" s="1"/>
  <c r="O315" i="4" s="1"/>
  <c r="P315" i="4" s="1"/>
  <c r="Q315" i="4" s="1"/>
  <c r="R315" i="4"/>
  <c r="S315" i="4" s="1"/>
  <c r="Y315" i="4"/>
  <c r="Z315" i="4" s="1"/>
  <c r="AF315" i="4"/>
  <c r="AG315" i="4" s="1"/>
  <c r="T315" i="4"/>
  <c r="U315" i="4" s="1"/>
  <c r="AA315" i="4"/>
  <c r="AB315" i="4" s="1"/>
  <c r="AH315" i="4"/>
  <c r="AI315" i="4" s="1"/>
  <c r="M315" i="4"/>
  <c r="N315" i="4" s="1"/>
  <c r="AJ315" i="4" l="1"/>
  <c r="AK315" i="4" s="1"/>
  <c r="AL315" i="4" s="1"/>
  <c r="B316" i="4"/>
  <c r="AC315" i="4"/>
  <c r="AD315" i="4" s="1"/>
  <c r="AE315" i="4" s="1"/>
  <c r="V315" i="4"/>
  <c r="W315" i="4" s="1"/>
  <c r="X315" i="4" s="1"/>
  <c r="AM315" i="4" s="1"/>
  <c r="J316" i="4" l="1"/>
  <c r="K316" i="4"/>
  <c r="L316" i="4" s="1"/>
  <c r="H316" i="4"/>
  <c r="D316" i="4"/>
  <c r="G316" i="4"/>
  <c r="F316" i="4"/>
  <c r="C316" i="4"/>
  <c r="R316" i="4" s="1"/>
  <c r="S316" i="4" s="1"/>
  <c r="E316" i="4"/>
  <c r="I316" i="4"/>
  <c r="AA316" i="4" l="1"/>
  <c r="AB316" i="4" s="1"/>
  <c r="AH316" i="4"/>
  <c r="AI316" i="4" s="1"/>
  <c r="M316" i="4"/>
  <c r="N316" i="4" s="1"/>
  <c r="O316" i="4" s="1"/>
  <c r="P316" i="4" s="1"/>
  <c r="T316" i="4"/>
  <c r="U316" i="4" s="1"/>
  <c r="V316" i="4" s="1"/>
  <c r="W316" i="4" s="1"/>
  <c r="X316" i="4" s="1"/>
  <c r="AF316" i="4"/>
  <c r="AG316" i="4" s="1"/>
  <c r="Y316" i="4"/>
  <c r="Z316" i="4" s="1"/>
  <c r="AC316" i="4" s="1"/>
  <c r="AD316" i="4" s="1"/>
  <c r="AE316" i="4" s="1"/>
  <c r="Q316" i="4" l="1"/>
  <c r="C317" i="4"/>
  <c r="E317" i="4"/>
  <c r="D317" i="4"/>
  <c r="F317" i="4"/>
  <c r="AJ316" i="4"/>
  <c r="AK316" i="4" s="1"/>
  <c r="AL316" i="4" s="1"/>
  <c r="H317" i="4" l="1"/>
  <c r="I317" i="4"/>
  <c r="J317" i="4"/>
  <c r="B317" i="4"/>
  <c r="AA317" i="4"/>
  <c r="AB317" i="4" s="1"/>
  <c r="G317" i="4"/>
  <c r="AH317" i="4" s="1"/>
  <c r="AI317" i="4" s="1"/>
  <c r="AM316" i="4"/>
  <c r="AF317" i="4" l="1"/>
  <c r="AG317" i="4" s="1"/>
  <c r="AJ317" i="4" s="1"/>
  <c r="AK317" i="4" s="1"/>
  <c r="AL317" i="4" s="1"/>
  <c r="R317" i="4"/>
  <c r="S317" i="4" s="1"/>
  <c r="V317" i="4" s="1"/>
  <c r="W317" i="4" s="1"/>
  <c r="X317" i="4" s="1"/>
  <c r="Y317" i="4"/>
  <c r="Z317" i="4" s="1"/>
  <c r="AC317" i="4" s="1"/>
  <c r="AD317" i="4" s="1"/>
  <c r="AE317" i="4" s="1"/>
  <c r="K317" i="4"/>
  <c r="L317" i="4" s="1"/>
  <c r="O317" i="4" s="1"/>
  <c r="P317" i="4" s="1"/>
  <c r="I318" i="4" s="1"/>
  <c r="T317" i="4"/>
  <c r="U317" i="4" s="1"/>
  <c r="M317" i="4"/>
  <c r="N317" i="4" s="1"/>
  <c r="J318" i="4" l="1"/>
  <c r="G318" i="4"/>
  <c r="Q317" i="4"/>
  <c r="AM317" i="4" s="1"/>
  <c r="F318" i="4"/>
  <c r="E318" i="4"/>
  <c r="D318" i="4"/>
  <c r="C318" i="4"/>
  <c r="H318" i="4"/>
  <c r="B318" i="4"/>
  <c r="R318" i="4" l="1"/>
  <c r="S318" i="4" s="1"/>
  <c r="Y318" i="4"/>
  <c r="Z318" i="4" s="1"/>
  <c r="AF318" i="4"/>
  <c r="AG318" i="4" s="1"/>
  <c r="AJ318" i="4" s="1"/>
  <c r="AK318" i="4" s="1"/>
  <c r="AL318" i="4" s="1"/>
  <c r="K318" i="4"/>
  <c r="L318" i="4" s="1"/>
  <c r="O318" i="4" s="1"/>
  <c r="P318" i="4" s="1"/>
  <c r="AH318" i="4"/>
  <c r="AI318" i="4" s="1"/>
  <c r="M318" i="4"/>
  <c r="N318" i="4" s="1"/>
  <c r="T318" i="4"/>
  <c r="U318" i="4" s="1"/>
  <c r="AA318" i="4"/>
  <c r="AB318" i="4" s="1"/>
  <c r="Q318" i="4" l="1"/>
  <c r="AC318" i="4"/>
  <c r="AD318" i="4" s="1"/>
  <c r="AE318" i="4" s="1"/>
  <c r="V318" i="4"/>
  <c r="W318" i="4" s="1"/>
  <c r="X318" i="4" s="1"/>
  <c r="E319" i="4"/>
  <c r="H319" i="4" l="1"/>
  <c r="C319" i="4"/>
  <c r="B319" i="4"/>
  <c r="J319" i="4"/>
  <c r="G319" i="4"/>
  <c r="D319" i="4"/>
  <c r="I319" i="4"/>
  <c r="F319" i="4"/>
  <c r="M319" i="4" s="1"/>
  <c r="N319" i="4" s="1"/>
  <c r="AM318" i="4"/>
  <c r="AF319" i="4" l="1"/>
  <c r="AG319" i="4" s="1"/>
  <c r="K319" i="4"/>
  <c r="L319" i="4" s="1"/>
  <c r="O319" i="4" s="1"/>
  <c r="P319" i="4" s="1"/>
  <c r="R319" i="4"/>
  <c r="S319" i="4" s="1"/>
  <c r="V319" i="4" s="1"/>
  <c r="W319" i="4" s="1"/>
  <c r="X319" i="4" s="1"/>
  <c r="Y319" i="4"/>
  <c r="Z319" i="4" s="1"/>
  <c r="AC319" i="4" s="1"/>
  <c r="AD319" i="4" s="1"/>
  <c r="AE319" i="4" s="1"/>
  <c r="AH319" i="4"/>
  <c r="AI319" i="4" s="1"/>
  <c r="AA319" i="4"/>
  <c r="AB319" i="4" s="1"/>
  <c r="T319" i="4"/>
  <c r="U319" i="4" s="1"/>
  <c r="Q319" i="4" l="1"/>
  <c r="AJ319" i="4"/>
  <c r="AK319" i="4" s="1"/>
  <c r="I320" i="4" s="1"/>
  <c r="E320" i="4" l="1"/>
  <c r="F320" i="4"/>
  <c r="H320" i="4"/>
  <c r="AL319" i="4"/>
  <c r="AM319" i="4" s="1"/>
  <c r="D320" i="4"/>
  <c r="J320" i="4"/>
  <c r="C320" i="4"/>
  <c r="G320" i="4"/>
  <c r="B320" i="4"/>
  <c r="M320" i="4" l="1"/>
  <c r="N320" i="4" s="1"/>
  <c r="T320" i="4"/>
  <c r="U320" i="4" s="1"/>
  <c r="AA320" i="4"/>
  <c r="AB320" i="4" s="1"/>
  <c r="AH320" i="4"/>
  <c r="AI320" i="4" s="1"/>
  <c r="AF320" i="4"/>
  <c r="AG320" i="4" s="1"/>
  <c r="K320" i="4"/>
  <c r="L320" i="4" s="1"/>
  <c r="O320" i="4" s="1"/>
  <c r="P320" i="4" s="1"/>
  <c r="R320" i="4"/>
  <c r="S320" i="4" s="1"/>
  <c r="V320" i="4" s="1"/>
  <c r="W320" i="4" s="1"/>
  <c r="X320" i="4" s="1"/>
  <c r="Y320" i="4"/>
  <c r="Z320" i="4" s="1"/>
  <c r="AC320" i="4" s="1"/>
  <c r="AD320" i="4" s="1"/>
  <c r="AE320" i="4" s="1"/>
  <c r="Q320" i="4" l="1"/>
  <c r="AJ320" i="4"/>
  <c r="AK320" i="4" s="1"/>
  <c r="F321" i="4"/>
  <c r="H321" i="4"/>
  <c r="D321" i="4"/>
  <c r="B321" i="4"/>
  <c r="G321" i="4"/>
  <c r="K321" i="4" l="1"/>
  <c r="L321" i="4" s="1"/>
  <c r="R321" i="4"/>
  <c r="S321" i="4" s="1"/>
  <c r="Y321" i="4"/>
  <c r="Z321" i="4" s="1"/>
  <c r="AL320" i="4"/>
  <c r="AM320" i="4" s="1"/>
  <c r="C321" i="4"/>
  <c r="AF321" i="4" s="1"/>
  <c r="AG321" i="4" s="1"/>
  <c r="J321" i="4"/>
  <c r="I321" i="4"/>
  <c r="E321" i="4"/>
  <c r="T321" i="4" l="1"/>
  <c r="U321" i="4" s="1"/>
  <c r="V321" i="4" s="1"/>
  <c r="W321" i="4" s="1"/>
  <c r="AA321" i="4"/>
  <c r="AB321" i="4" s="1"/>
  <c r="AC321" i="4" s="1"/>
  <c r="AD321" i="4" s="1"/>
  <c r="AE321" i="4" s="1"/>
  <c r="AH321" i="4"/>
  <c r="AI321" i="4" s="1"/>
  <c r="AJ321" i="4" s="1"/>
  <c r="AK321" i="4" s="1"/>
  <c r="AL321" i="4" s="1"/>
  <c r="M321" i="4"/>
  <c r="N321" i="4" s="1"/>
  <c r="O321" i="4"/>
  <c r="P321" i="4" s="1"/>
  <c r="X321" i="4" l="1"/>
  <c r="I322" i="4"/>
  <c r="C322" i="4"/>
  <c r="J322" i="4"/>
  <c r="E322" i="4"/>
  <c r="Q321" i="4"/>
  <c r="AM321" i="4" s="1"/>
  <c r="G322" i="4"/>
  <c r="B322" i="4"/>
  <c r="H322" i="4"/>
  <c r="F322" i="4"/>
  <c r="D322" i="4"/>
  <c r="R322" i="4" l="1"/>
  <c r="S322" i="4" s="1"/>
  <c r="K322" i="4"/>
  <c r="L322" i="4" s="1"/>
  <c r="Y322" i="4"/>
  <c r="Z322" i="4" s="1"/>
  <c r="AC322" i="4" s="1"/>
  <c r="AD322" i="4" s="1"/>
  <c r="AE322" i="4" s="1"/>
  <c r="AF322" i="4"/>
  <c r="AG322" i="4" s="1"/>
  <c r="AH322" i="4"/>
  <c r="AI322" i="4" s="1"/>
  <c r="T322" i="4"/>
  <c r="U322" i="4" s="1"/>
  <c r="AA322" i="4"/>
  <c r="AB322" i="4" s="1"/>
  <c r="M322" i="4"/>
  <c r="N322" i="4" s="1"/>
  <c r="AJ322" i="4" l="1"/>
  <c r="AK322" i="4" s="1"/>
  <c r="AL322" i="4" s="1"/>
  <c r="O322" i="4"/>
  <c r="P322" i="4" s="1"/>
  <c r="V322" i="4"/>
  <c r="W322" i="4" s="1"/>
  <c r="X322" i="4" s="1"/>
  <c r="Q322" i="4" l="1"/>
  <c r="AM322" i="4" s="1"/>
  <c r="AP43" i="4" s="1"/>
  <c r="H323" i="4"/>
  <c r="E323" i="4"/>
  <c r="D323" i="4"/>
  <c r="B323" i="4"/>
  <c r="G323" i="4"/>
  <c r="I323" i="4"/>
  <c r="F323" i="4"/>
  <c r="C323" i="4"/>
  <c r="J323" i="4"/>
  <c r="R323" i="4" l="1"/>
  <c r="S323" i="4" s="1"/>
  <c r="V323" i="4" s="1"/>
  <c r="W323" i="4" s="1"/>
  <c r="X323" i="4" s="1"/>
  <c r="Y323" i="4"/>
  <c r="Z323" i="4" s="1"/>
  <c r="AC323" i="4" s="1"/>
  <c r="AD323" i="4" s="1"/>
  <c r="AE323" i="4" s="1"/>
  <c r="AF323" i="4"/>
  <c r="AG323" i="4" s="1"/>
  <c r="AJ323" i="4" s="1"/>
  <c r="AK323" i="4" s="1"/>
  <c r="AL323" i="4" s="1"/>
  <c r="K323" i="4"/>
  <c r="L323" i="4" s="1"/>
  <c r="O323" i="4" s="1"/>
  <c r="P323" i="4" s="1"/>
  <c r="Q323" i="4" s="1"/>
  <c r="AM323" i="4" s="1"/>
  <c r="T323" i="4"/>
  <c r="U323" i="4" s="1"/>
  <c r="AA323" i="4"/>
  <c r="AB323" i="4" s="1"/>
  <c r="AH323" i="4"/>
  <c r="AI323" i="4" s="1"/>
  <c r="M323" i="4"/>
  <c r="N323" i="4" s="1"/>
  <c r="D324" i="4" l="1"/>
  <c r="B324" i="4"/>
  <c r="H324" i="4"/>
  <c r="J324" i="4"/>
  <c r="E324" i="4"/>
  <c r="I324" i="4"/>
  <c r="F324" i="4"/>
  <c r="C324" i="4"/>
  <c r="G324" i="4"/>
  <c r="Y324" i="4" l="1"/>
  <c r="Z324" i="4" s="1"/>
  <c r="AF324" i="4"/>
  <c r="AG324" i="4" s="1"/>
  <c r="AJ324" i="4" s="1"/>
  <c r="AK324" i="4" s="1"/>
  <c r="AL324" i="4" s="1"/>
  <c r="K324" i="4"/>
  <c r="L324" i="4" s="1"/>
  <c r="R324" i="4"/>
  <c r="S324" i="4" s="1"/>
  <c r="AH324" i="4"/>
  <c r="AI324" i="4" s="1"/>
  <c r="M324" i="4"/>
  <c r="N324" i="4" s="1"/>
  <c r="T324" i="4"/>
  <c r="U324" i="4" s="1"/>
  <c r="AA324" i="4"/>
  <c r="AB324" i="4" s="1"/>
  <c r="AC324" i="4" l="1"/>
  <c r="AD324" i="4" s="1"/>
  <c r="AE324" i="4" s="1"/>
  <c r="V324" i="4"/>
  <c r="W324" i="4" s="1"/>
  <c r="X324" i="4" s="1"/>
  <c r="O324" i="4"/>
  <c r="P324" i="4" s="1"/>
  <c r="Q324" i="4" l="1"/>
  <c r="AM324" i="4" s="1"/>
  <c r="C325" i="4"/>
  <c r="D325" i="4"/>
  <c r="F325" i="4"/>
  <c r="I325" i="4"/>
  <c r="E325" i="4"/>
  <c r="J325" i="4"/>
  <c r="H325" i="4"/>
  <c r="B325" i="4"/>
  <c r="G325" i="4"/>
  <c r="AH325" i="4" l="1"/>
  <c r="AI325" i="4" s="1"/>
  <c r="M325" i="4"/>
  <c r="N325" i="4" s="1"/>
  <c r="T325" i="4"/>
  <c r="U325" i="4" s="1"/>
  <c r="AA325" i="4"/>
  <c r="AB325" i="4" s="1"/>
  <c r="AF325" i="4"/>
  <c r="AG325" i="4" s="1"/>
  <c r="AJ325" i="4" s="1"/>
  <c r="AK325" i="4" s="1"/>
  <c r="AL325" i="4" s="1"/>
  <c r="Y325" i="4"/>
  <c r="Z325" i="4" s="1"/>
  <c r="AC325" i="4" s="1"/>
  <c r="AD325" i="4" s="1"/>
  <c r="AE325" i="4" s="1"/>
  <c r="K325" i="4"/>
  <c r="L325" i="4" s="1"/>
  <c r="O325" i="4" s="1"/>
  <c r="P325" i="4" s="1"/>
  <c r="Q325" i="4" s="1"/>
  <c r="R325" i="4"/>
  <c r="S325" i="4" s="1"/>
  <c r="E326" i="4" l="1"/>
  <c r="C326" i="4"/>
  <c r="G326" i="4"/>
  <c r="D326" i="4"/>
  <c r="F326" i="4"/>
  <c r="I326" i="4"/>
  <c r="V325" i="4"/>
  <c r="W325" i="4" s="1"/>
  <c r="X325" i="4" s="1"/>
  <c r="AM325" i="4" s="1"/>
  <c r="H326" i="4"/>
  <c r="AH326" i="4" l="1"/>
  <c r="AI326" i="4" s="1"/>
  <c r="M326" i="4"/>
  <c r="N326" i="4" s="1"/>
  <c r="T326" i="4"/>
  <c r="U326" i="4" s="1"/>
  <c r="AA326" i="4"/>
  <c r="AB326" i="4" s="1"/>
  <c r="B326" i="4"/>
  <c r="J326" i="4"/>
  <c r="R326" i="4" l="1"/>
  <c r="S326" i="4" s="1"/>
  <c r="V326" i="4" s="1"/>
  <c r="W326" i="4" s="1"/>
  <c r="X326" i="4" s="1"/>
  <c r="AF326" i="4"/>
  <c r="AG326" i="4" s="1"/>
  <c r="AJ326" i="4" s="1"/>
  <c r="AK326" i="4" s="1"/>
  <c r="AL326" i="4" s="1"/>
  <c r="K326" i="4"/>
  <c r="L326" i="4" s="1"/>
  <c r="O326" i="4" s="1"/>
  <c r="P326" i="4" s="1"/>
  <c r="Y326" i="4"/>
  <c r="Z326" i="4" s="1"/>
  <c r="AC326" i="4" s="1"/>
  <c r="AD326" i="4" s="1"/>
  <c r="AE326" i="4" s="1"/>
  <c r="Q326" i="4" l="1"/>
  <c r="AM326" i="4" s="1"/>
  <c r="D327" i="4"/>
  <c r="E327" i="4"/>
  <c r="I327" i="4"/>
  <c r="C327" i="4"/>
  <c r="F327" i="4"/>
  <c r="H327" i="4"/>
  <c r="G327" i="4"/>
  <c r="B327" i="4"/>
  <c r="J327" i="4"/>
  <c r="T327" i="4" l="1"/>
  <c r="U327" i="4" s="1"/>
  <c r="M327" i="4"/>
  <c r="N327" i="4" s="1"/>
  <c r="AA327" i="4"/>
  <c r="AB327" i="4" s="1"/>
  <c r="AH327" i="4"/>
  <c r="AI327" i="4" s="1"/>
  <c r="K327" i="4"/>
  <c r="L327" i="4" s="1"/>
  <c r="O327" i="4" s="1"/>
  <c r="P327" i="4" s="1"/>
  <c r="Q327" i="4" s="1"/>
  <c r="R327" i="4"/>
  <c r="S327" i="4" s="1"/>
  <c r="Y327" i="4"/>
  <c r="Z327" i="4" s="1"/>
  <c r="AC327" i="4" s="1"/>
  <c r="AD327" i="4" s="1"/>
  <c r="AE327" i="4" s="1"/>
  <c r="AF327" i="4"/>
  <c r="AG327" i="4" s="1"/>
  <c r="V327" i="4" l="1"/>
  <c r="W327" i="4" s="1"/>
  <c r="X327" i="4" s="1"/>
  <c r="D328" i="4"/>
  <c r="B328" i="4"/>
  <c r="J328" i="4"/>
  <c r="I328" i="4"/>
  <c r="E328" i="4"/>
  <c r="AJ327" i="4"/>
  <c r="AK327" i="4" s="1"/>
  <c r="AL327" i="4" s="1"/>
  <c r="AM327" i="4" s="1"/>
  <c r="G328" i="4"/>
  <c r="H328" i="4" l="1"/>
  <c r="F328" i="4"/>
  <c r="C328" i="4"/>
  <c r="AF328" i="4" s="1"/>
  <c r="AG328" i="4" s="1"/>
  <c r="R328" i="4" l="1"/>
  <c r="S328" i="4" s="1"/>
  <c r="V328" i="4" s="1"/>
  <c r="W328" i="4" s="1"/>
  <c r="X328" i="4" s="1"/>
  <c r="K328" i="4"/>
  <c r="L328" i="4" s="1"/>
  <c r="M328" i="4"/>
  <c r="N328" i="4" s="1"/>
  <c r="AH328" i="4"/>
  <c r="AI328" i="4" s="1"/>
  <c r="AJ328" i="4" s="1"/>
  <c r="AK328" i="4" s="1"/>
  <c r="AL328" i="4" s="1"/>
  <c r="AA328" i="4"/>
  <c r="AB328" i="4" s="1"/>
  <c r="T328" i="4"/>
  <c r="U328" i="4" s="1"/>
  <c r="Y328" i="4"/>
  <c r="Z328" i="4" s="1"/>
  <c r="O328" i="4" l="1"/>
  <c r="P328" i="4" s="1"/>
  <c r="AC328" i="4"/>
  <c r="AD328" i="4" s="1"/>
  <c r="AE328" i="4" s="1"/>
  <c r="Q328" i="4" l="1"/>
  <c r="AM328" i="4" s="1"/>
  <c r="I329" i="4"/>
  <c r="B329" i="4"/>
  <c r="E329" i="4"/>
  <c r="J329" i="4"/>
  <c r="G329" i="4"/>
  <c r="D329" i="4"/>
  <c r="F329" i="4"/>
  <c r="C329" i="4"/>
  <c r="H329" i="4"/>
  <c r="R329" i="4" l="1"/>
  <c r="S329" i="4" s="1"/>
  <c r="V329" i="4" s="1"/>
  <c r="W329" i="4" s="1"/>
  <c r="X329" i="4" s="1"/>
  <c r="K329" i="4"/>
  <c r="L329" i="4" s="1"/>
  <c r="Y329" i="4"/>
  <c r="Z329" i="4" s="1"/>
  <c r="AC329" i="4" s="1"/>
  <c r="AD329" i="4" s="1"/>
  <c r="AE329" i="4" s="1"/>
  <c r="AF329" i="4"/>
  <c r="AG329" i="4" s="1"/>
  <c r="AJ329" i="4" s="1"/>
  <c r="AK329" i="4" s="1"/>
  <c r="AL329" i="4" s="1"/>
  <c r="AH329" i="4"/>
  <c r="AI329" i="4" s="1"/>
  <c r="AA329" i="4"/>
  <c r="AB329" i="4" s="1"/>
  <c r="T329" i="4"/>
  <c r="U329" i="4" s="1"/>
  <c r="M329" i="4"/>
  <c r="N329" i="4" s="1"/>
  <c r="O329" i="4" l="1"/>
  <c r="P329" i="4" s="1"/>
  <c r="Q329" i="4" l="1"/>
  <c r="AM329" i="4" s="1"/>
  <c r="D330" i="4"/>
  <c r="G330" i="4"/>
  <c r="C330" i="4"/>
  <c r="F330" i="4"/>
  <c r="J330" i="4"/>
  <c r="E330" i="4"/>
  <c r="H330" i="4"/>
  <c r="B330" i="4"/>
  <c r="I330" i="4"/>
  <c r="T330" i="4" l="1"/>
  <c r="U330" i="4" s="1"/>
  <c r="AH330" i="4"/>
  <c r="AI330" i="4" s="1"/>
  <c r="M330" i="4"/>
  <c r="N330" i="4" s="1"/>
  <c r="AA330" i="4"/>
  <c r="AB330" i="4" s="1"/>
  <c r="Y330" i="4"/>
  <c r="Z330" i="4" s="1"/>
  <c r="AF330" i="4"/>
  <c r="AG330" i="4" s="1"/>
  <c r="AJ330" i="4" s="1"/>
  <c r="AK330" i="4" s="1"/>
  <c r="AL330" i="4" s="1"/>
  <c r="K330" i="4"/>
  <c r="L330" i="4" s="1"/>
  <c r="O330" i="4" s="1"/>
  <c r="P330" i="4" s="1"/>
  <c r="Q330" i="4" s="1"/>
  <c r="R330" i="4"/>
  <c r="S330" i="4" s="1"/>
  <c r="AC330" i="4" l="1"/>
  <c r="AD330" i="4" s="1"/>
  <c r="AE330" i="4" s="1"/>
  <c r="I331" i="4"/>
  <c r="E331" i="4"/>
  <c r="V330" i="4"/>
  <c r="W330" i="4" s="1"/>
  <c r="X330" i="4" s="1"/>
  <c r="AM330" i="4" s="1"/>
  <c r="G331" i="4" l="1"/>
  <c r="H331" i="4"/>
  <c r="B331" i="4"/>
  <c r="D331" i="4"/>
  <c r="C331" i="4"/>
  <c r="J331" i="4"/>
  <c r="F331" i="4"/>
  <c r="T331" i="4" l="1"/>
  <c r="U331" i="4" s="1"/>
  <c r="AH331" i="4"/>
  <c r="AI331" i="4" s="1"/>
  <c r="M331" i="4"/>
  <c r="N331" i="4" s="1"/>
  <c r="R331" i="4"/>
  <c r="S331" i="4" s="1"/>
  <c r="Y331" i="4"/>
  <c r="Z331" i="4" s="1"/>
  <c r="AF331" i="4"/>
  <c r="AG331" i="4" s="1"/>
  <c r="K331" i="4"/>
  <c r="L331" i="4" s="1"/>
  <c r="O331" i="4" s="1"/>
  <c r="P331" i="4" s="1"/>
  <c r="AA331" i="4"/>
  <c r="AB331" i="4" s="1"/>
  <c r="Q331" i="4" l="1"/>
  <c r="AJ331" i="4"/>
  <c r="AK331" i="4" s="1"/>
  <c r="AL331" i="4" s="1"/>
  <c r="AC331" i="4"/>
  <c r="AD331" i="4" s="1"/>
  <c r="AE331" i="4" s="1"/>
  <c r="V331" i="4"/>
  <c r="W331" i="4" s="1"/>
  <c r="X331" i="4" l="1"/>
  <c r="C332" i="4"/>
  <c r="B332" i="4"/>
  <c r="D332" i="4"/>
  <c r="H332" i="4"/>
  <c r="J332" i="4"/>
  <c r="G332" i="4"/>
  <c r="I332" i="4"/>
  <c r="E332" i="4"/>
  <c r="F332" i="4"/>
  <c r="AM331" i="4"/>
  <c r="AF332" i="4" l="1"/>
  <c r="AG332" i="4" s="1"/>
  <c r="AJ332" i="4" s="1"/>
  <c r="AK332" i="4" s="1"/>
  <c r="AL332" i="4" s="1"/>
  <c r="K332" i="4"/>
  <c r="L332" i="4" s="1"/>
  <c r="O332" i="4" s="1"/>
  <c r="P332" i="4" s="1"/>
  <c r="Q332" i="4" s="1"/>
  <c r="R332" i="4"/>
  <c r="S332" i="4" s="1"/>
  <c r="Y332" i="4"/>
  <c r="Z332" i="4" s="1"/>
  <c r="M332" i="4"/>
  <c r="N332" i="4" s="1"/>
  <c r="T332" i="4"/>
  <c r="U332" i="4" s="1"/>
  <c r="AA332" i="4"/>
  <c r="AB332" i="4" s="1"/>
  <c r="AH332" i="4"/>
  <c r="AI332" i="4" s="1"/>
  <c r="V332" i="4" l="1"/>
  <c r="W332" i="4" s="1"/>
  <c r="X332" i="4" s="1"/>
  <c r="AC332" i="4"/>
  <c r="AD332" i="4" s="1"/>
  <c r="AE332" i="4" s="1"/>
  <c r="E333" i="4"/>
  <c r="C333" i="4"/>
  <c r="B333" i="4"/>
  <c r="F333" i="4"/>
  <c r="H333" i="4"/>
  <c r="D333" i="4"/>
  <c r="AM332" i="4"/>
  <c r="AP44" i="4" s="1"/>
  <c r="J333" i="4"/>
  <c r="G333" i="4"/>
  <c r="R333" i="4" l="1"/>
  <c r="S333" i="4" s="1"/>
  <c r="V333" i="4" s="1"/>
  <c r="W333" i="4" s="1"/>
  <c r="X333" i="4" s="1"/>
  <c r="Y333" i="4"/>
  <c r="Z333" i="4" s="1"/>
  <c r="AF333" i="4"/>
  <c r="AG333" i="4" s="1"/>
  <c r="AJ333" i="4" s="1"/>
  <c r="AK333" i="4" s="1"/>
  <c r="AL333" i="4" s="1"/>
  <c r="K333" i="4"/>
  <c r="L333" i="4" s="1"/>
  <c r="AH333" i="4"/>
  <c r="AI333" i="4" s="1"/>
  <c r="M333" i="4"/>
  <c r="N333" i="4" s="1"/>
  <c r="T333" i="4"/>
  <c r="U333" i="4" s="1"/>
  <c r="AA333" i="4"/>
  <c r="AB333" i="4" s="1"/>
  <c r="I333" i="4"/>
  <c r="AC333" i="4" l="1"/>
  <c r="AD333" i="4" s="1"/>
  <c r="AE333" i="4" s="1"/>
  <c r="O333" i="4"/>
  <c r="P333" i="4" s="1"/>
  <c r="Q333" i="4" l="1"/>
  <c r="AM333" i="4" s="1"/>
  <c r="F334" i="4"/>
  <c r="D334" i="4"/>
  <c r="B334" i="4"/>
  <c r="H334" i="4"/>
  <c r="C334" i="4"/>
  <c r="G334" i="4"/>
  <c r="J334" i="4"/>
  <c r="E334" i="4"/>
  <c r="I334" i="4"/>
  <c r="R334" i="4" l="1"/>
  <c r="S334" i="4" s="1"/>
  <c r="Y334" i="4"/>
  <c r="Z334" i="4" s="1"/>
  <c r="K334" i="4"/>
  <c r="L334" i="4" s="1"/>
  <c r="O334" i="4" s="1"/>
  <c r="P334" i="4" s="1"/>
  <c r="Q334" i="4" s="1"/>
  <c r="AF334" i="4"/>
  <c r="AG334" i="4" s="1"/>
  <c r="AJ334" i="4" s="1"/>
  <c r="AK334" i="4" s="1"/>
  <c r="AL334" i="4" s="1"/>
  <c r="T334" i="4"/>
  <c r="U334" i="4" s="1"/>
  <c r="AA334" i="4"/>
  <c r="AB334" i="4" s="1"/>
  <c r="AH334" i="4"/>
  <c r="AI334" i="4" s="1"/>
  <c r="M334" i="4"/>
  <c r="N334" i="4" s="1"/>
  <c r="AC334" i="4" l="1"/>
  <c r="AD334" i="4" s="1"/>
  <c r="AE334" i="4" s="1"/>
  <c r="V334" i="4"/>
  <c r="W334" i="4" s="1"/>
  <c r="F335" i="4"/>
  <c r="B335" i="4"/>
  <c r="D335" i="4"/>
  <c r="C335" i="4"/>
  <c r="H335" i="4"/>
  <c r="J335" i="4"/>
  <c r="R335" i="4" l="1"/>
  <c r="S335" i="4" s="1"/>
  <c r="AF335" i="4"/>
  <c r="AG335" i="4" s="1"/>
  <c r="K335" i="4"/>
  <c r="L335" i="4" s="1"/>
  <c r="Y335" i="4"/>
  <c r="Z335" i="4" s="1"/>
  <c r="X334" i="4"/>
  <c r="AM334" i="4" s="1"/>
  <c r="E335" i="4"/>
  <c r="I335" i="4"/>
  <c r="G335" i="4"/>
  <c r="AA335" i="4" l="1"/>
  <c r="AB335" i="4" s="1"/>
  <c r="AC335" i="4" s="1"/>
  <c r="AD335" i="4" s="1"/>
  <c r="AE335" i="4" s="1"/>
  <c r="T335" i="4"/>
  <c r="U335" i="4" s="1"/>
  <c r="V335" i="4" s="1"/>
  <c r="W335" i="4" s="1"/>
  <c r="X335" i="4" s="1"/>
  <c r="M335" i="4"/>
  <c r="N335" i="4" s="1"/>
  <c r="O335" i="4" s="1"/>
  <c r="P335" i="4" s="1"/>
  <c r="AH335" i="4"/>
  <c r="AI335" i="4" s="1"/>
  <c r="AJ335" i="4" s="1"/>
  <c r="AK335" i="4" s="1"/>
  <c r="AL335" i="4" s="1"/>
  <c r="Q335" i="4" l="1"/>
  <c r="AM335" i="4" s="1"/>
  <c r="H336" i="4"/>
  <c r="F336" i="4"/>
  <c r="D336" i="4"/>
  <c r="J336" i="4"/>
  <c r="C336" i="4"/>
  <c r="B336" i="4"/>
  <c r="G336" i="4"/>
  <c r="I336" i="4"/>
  <c r="E336" i="4"/>
  <c r="AF336" i="4" l="1"/>
  <c r="AG336" i="4" s="1"/>
  <c r="Y336" i="4"/>
  <c r="Z336" i="4" s="1"/>
  <c r="AC336" i="4" s="1"/>
  <c r="AD336" i="4" s="1"/>
  <c r="AE336" i="4" s="1"/>
  <c r="K336" i="4"/>
  <c r="L336" i="4" s="1"/>
  <c r="R336" i="4"/>
  <c r="S336" i="4" s="1"/>
  <c r="AA336" i="4"/>
  <c r="AB336" i="4" s="1"/>
  <c r="AH336" i="4"/>
  <c r="AI336" i="4" s="1"/>
  <c r="M336" i="4"/>
  <c r="N336" i="4" s="1"/>
  <c r="T336" i="4"/>
  <c r="U336" i="4" s="1"/>
  <c r="V336" i="4" l="1"/>
  <c r="W336" i="4" s="1"/>
  <c r="X336" i="4" s="1"/>
  <c r="O336" i="4"/>
  <c r="P336" i="4" s="1"/>
  <c r="AJ336" i="4"/>
  <c r="AK336" i="4" s="1"/>
  <c r="AL336" i="4" s="1"/>
  <c r="Q336" i="4" l="1"/>
  <c r="AM336" i="4" s="1"/>
  <c r="B337" i="4"/>
  <c r="J337" i="4"/>
  <c r="I337" i="4"/>
  <c r="E337" i="4"/>
  <c r="F337" i="4"/>
  <c r="G337" i="4"/>
  <c r="D337" i="4"/>
  <c r="C337" i="4"/>
  <c r="H337" i="4"/>
  <c r="R337" i="4" l="1"/>
  <c r="S337" i="4" s="1"/>
  <c r="V337" i="4" s="1"/>
  <c r="W337" i="4" s="1"/>
  <c r="X337" i="4" s="1"/>
  <c r="Y337" i="4"/>
  <c r="Z337" i="4" s="1"/>
  <c r="AC337" i="4" s="1"/>
  <c r="AD337" i="4" s="1"/>
  <c r="AE337" i="4" s="1"/>
  <c r="K337" i="4"/>
  <c r="L337" i="4" s="1"/>
  <c r="AF337" i="4"/>
  <c r="AG337" i="4" s="1"/>
  <c r="AH337" i="4"/>
  <c r="AI337" i="4" s="1"/>
  <c r="T337" i="4"/>
  <c r="U337" i="4" s="1"/>
  <c r="AA337" i="4"/>
  <c r="AB337" i="4" s="1"/>
  <c r="M337" i="4"/>
  <c r="N337" i="4" s="1"/>
  <c r="AJ337" i="4" l="1"/>
  <c r="AK337" i="4" s="1"/>
  <c r="AL337" i="4" s="1"/>
  <c r="O337" i="4"/>
  <c r="P337" i="4" s="1"/>
  <c r="Q337" i="4" l="1"/>
  <c r="AM337" i="4" s="1"/>
  <c r="D338" i="4"/>
  <c r="C338" i="4"/>
  <c r="G338" i="4"/>
  <c r="F338" i="4"/>
  <c r="I338" i="4"/>
  <c r="E338" i="4"/>
  <c r="H338" i="4"/>
  <c r="B338" i="4"/>
  <c r="J338" i="4"/>
  <c r="T338" i="4" l="1"/>
  <c r="U338" i="4" s="1"/>
  <c r="AH338" i="4"/>
  <c r="AI338" i="4" s="1"/>
  <c r="M338" i="4"/>
  <c r="N338" i="4" s="1"/>
  <c r="AA338" i="4"/>
  <c r="AB338" i="4" s="1"/>
  <c r="AF338" i="4"/>
  <c r="AG338" i="4" s="1"/>
  <c r="AJ338" i="4" s="1"/>
  <c r="AK338" i="4" s="1"/>
  <c r="AL338" i="4" s="1"/>
  <c r="K338" i="4"/>
  <c r="L338" i="4" s="1"/>
  <c r="O338" i="4" s="1"/>
  <c r="P338" i="4" s="1"/>
  <c r="Q338" i="4" s="1"/>
  <c r="R338" i="4"/>
  <c r="S338" i="4" s="1"/>
  <c r="V338" i="4" s="1"/>
  <c r="W338" i="4" s="1"/>
  <c r="X338" i="4" s="1"/>
  <c r="Y338" i="4"/>
  <c r="Z338" i="4" s="1"/>
  <c r="D339" i="4" l="1"/>
  <c r="C339" i="4"/>
  <c r="AM338" i="4"/>
  <c r="E339" i="4"/>
  <c r="F339" i="4"/>
  <c r="AC338" i="4"/>
  <c r="AD338" i="4" s="1"/>
  <c r="AE338" i="4" s="1"/>
  <c r="H339" i="4"/>
  <c r="I339" i="4" l="1"/>
  <c r="J339" i="4"/>
  <c r="B339" i="4"/>
  <c r="G339" i="4"/>
  <c r="Y339" i="4" l="1"/>
  <c r="Z339" i="4" s="1"/>
  <c r="AC339" i="4" s="1"/>
  <c r="AD339" i="4" s="1"/>
  <c r="AE339" i="4" s="1"/>
  <c r="K339" i="4"/>
  <c r="L339" i="4" s="1"/>
  <c r="O339" i="4" s="1"/>
  <c r="P339" i="4" s="1"/>
  <c r="AF339" i="4"/>
  <c r="AG339" i="4" s="1"/>
  <c r="AJ339" i="4" s="1"/>
  <c r="AK339" i="4" s="1"/>
  <c r="AL339" i="4" s="1"/>
  <c r="R339" i="4"/>
  <c r="S339" i="4" s="1"/>
  <c r="V339" i="4" s="1"/>
  <c r="W339" i="4" s="1"/>
  <c r="X339" i="4" s="1"/>
  <c r="AH339" i="4"/>
  <c r="AI339" i="4" s="1"/>
  <c r="AA339" i="4"/>
  <c r="AB339" i="4" s="1"/>
  <c r="T339" i="4"/>
  <c r="U339" i="4" s="1"/>
  <c r="M339" i="4"/>
  <c r="N339" i="4" s="1"/>
  <c r="J340" i="4" l="1"/>
  <c r="I340" i="4"/>
  <c r="Q339" i="4"/>
  <c r="AM339" i="4" s="1"/>
  <c r="F340" i="4"/>
  <c r="E340" i="4"/>
  <c r="C340" i="4"/>
  <c r="H340" i="4"/>
  <c r="D340" i="4"/>
  <c r="B340" i="4"/>
  <c r="G340" i="4"/>
  <c r="T340" i="4" l="1"/>
  <c r="U340" i="4" s="1"/>
  <c r="AA340" i="4"/>
  <c r="AB340" i="4" s="1"/>
  <c r="AH340" i="4"/>
  <c r="AI340" i="4" s="1"/>
  <c r="M340" i="4"/>
  <c r="N340" i="4" s="1"/>
  <c r="AF340" i="4"/>
  <c r="AG340" i="4" s="1"/>
  <c r="K340" i="4"/>
  <c r="L340" i="4" s="1"/>
  <c r="O340" i="4" s="1"/>
  <c r="P340" i="4" s="1"/>
  <c r="Q340" i="4" s="1"/>
  <c r="R340" i="4"/>
  <c r="S340" i="4" s="1"/>
  <c r="V340" i="4" s="1"/>
  <c r="W340" i="4" s="1"/>
  <c r="X340" i="4" s="1"/>
  <c r="Y340" i="4"/>
  <c r="Z340" i="4" s="1"/>
  <c r="AC340" i="4" s="1"/>
  <c r="AD340" i="4" s="1"/>
  <c r="AE340" i="4" s="1"/>
  <c r="AJ340" i="4" l="1"/>
  <c r="AK340" i="4" s="1"/>
  <c r="AL340" i="4" s="1"/>
  <c r="AM340" i="4" s="1"/>
  <c r="F341" i="4"/>
  <c r="H341" i="4"/>
  <c r="I341" i="4"/>
  <c r="D341" i="4"/>
  <c r="B341" i="4"/>
  <c r="J341" i="4"/>
  <c r="C341" i="4"/>
  <c r="R341" i="4" l="1"/>
  <c r="S341" i="4" s="1"/>
  <c r="AF341" i="4"/>
  <c r="AG341" i="4" s="1"/>
  <c r="K341" i="4"/>
  <c r="L341" i="4" s="1"/>
  <c r="Y341" i="4"/>
  <c r="Z341" i="4" s="1"/>
  <c r="G341" i="4"/>
  <c r="E341" i="4"/>
  <c r="AH341" i="4" l="1"/>
  <c r="AI341" i="4" s="1"/>
  <c r="AJ341" i="4" s="1"/>
  <c r="AK341" i="4" s="1"/>
  <c r="AL341" i="4" s="1"/>
  <c r="M341" i="4"/>
  <c r="N341" i="4" s="1"/>
  <c r="T341" i="4"/>
  <c r="U341" i="4" s="1"/>
  <c r="V341" i="4" s="1"/>
  <c r="W341" i="4" s="1"/>
  <c r="X341" i="4" s="1"/>
  <c r="AA341" i="4"/>
  <c r="AB341" i="4" s="1"/>
  <c r="AC341" i="4" s="1"/>
  <c r="AD341" i="4" s="1"/>
  <c r="AE341" i="4" s="1"/>
  <c r="O341" i="4"/>
  <c r="P341" i="4" s="1"/>
  <c r="Q341" i="4" l="1"/>
  <c r="AM341" i="4" s="1"/>
  <c r="I342" i="4"/>
  <c r="F342" i="4"/>
  <c r="B342" i="4"/>
  <c r="J342" i="4"/>
  <c r="D342" i="4"/>
  <c r="H342" i="4"/>
  <c r="C342" i="4"/>
  <c r="E342" i="4"/>
  <c r="G342" i="4"/>
  <c r="R342" i="4" l="1"/>
  <c r="S342" i="4" s="1"/>
  <c r="Y342" i="4"/>
  <c r="Z342" i="4" s="1"/>
  <c r="AF342" i="4"/>
  <c r="AG342" i="4" s="1"/>
  <c r="K342" i="4"/>
  <c r="L342" i="4" s="1"/>
  <c r="O342" i="4" s="1"/>
  <c r="P342" i="4" s="1"/>
  <c r="Q342" i="4" s="1"/>
  <c r="T342" i="4"/>
  <c r="U342" i="4" s="1"/>
  <c r="AA342" i="4"/>
  <c r="AB342" i="4" s="1"/>
  <c r="AH342" i="4"/>
  <c r="AI342" i="4" s="1"/>
  <c r="M342" i="4"/>
  <c r="N342" i="4" s="1"/>
  <c r="AJ342" i="4" l="1"/>
  <c r="AK342" i="4" s="1"/>
  <c r="AL342" i="4" s="1"/>
  <c r="AC342" i="4"/>
  <c r="AD342" i="4" s="1"/>
  <c r="AE342" i="4" s="1"/>
  <c r="V342" i="4"/>
  <c r="W342" i="4" s="1"/>
  <c r="J343" i="4"/>
  <c r="C343" i="4"/>
  <c r="D343" i="4"/>
  <c r="X342" i="4" l="1"/>
  <c r="AM342" i="4" s="1"/>
  <c r="AP45" i="4" s="1"/>
  <c r="B343" i="4"/>
  <c r="E343" i="4"/>
  <c r="G343" i="4"/>
  <c r="H343" i="4"/>
  <c r="I343" i="4"/>
  <c r="F343" i="4"/>
  <c r="AH343" i="4" l="1"/>
  <c r="AI343" i="4" s="1"/>
  <c r="T343" i="4"/>
  <c r="U343" i="4" s="1"/>
  <c r="AA343" i="4"/>
  <c r="AB343" i="4" s="1"/>
  <c r="M343" i="4"/>
  <c r="N343" i="4" s="1"/>
  <c r="Y343" i="4"/>
  <c r="Z343" i="4" s="1"/>
  <c r="AF343" i="4"/>
  <c r="AG343" i="4" s="1"/>
  <c r="K343" i="4"/>
  <c r="L343" i="4" s="1"/>
  <c r="R343" i="4"/>
  <c r="S343" i="4" s="1"/>
  <c r="V343" i="4" s="1"/>
  <c r="W343" i="4" s="1"/>
  <c r="X343" i="4" s="1"/>
  <c r="O343" i="4" l="1"/>
  <c r="P343" i="4" s="1"/>
  <c r="AJ343" i="4"/>
  <c r="AK343" i="4" s="1"/>
  <c r="AL343" i="4" s="1"/>
  <c r="AC343" i="4"/>
  <c r="AD343" i="4" s="1"/>
  <c r="AE343" i="4" s="1"/>
  <c r="Q343" i="4" l="1"/>
  <c r="AM343" i="4" s="1"/>
  <c r="C344" i="4"/>
  <c r="J344" i="4"/>
  <c r="D344" i="4"/>
  <c r="H344" i="4"/>
  <c r="G344" i="4"/>
  <c r="E344" i="4"/>
  <c r="B344" i="4"/>
  <c r="I344" i="4"/>
  <c r="F344" i="4"/>
  <c r="AF344" i="4" l="1"/>
  <c r="AG344" i="4" s="1"/>
  <c r="Y344" i="4"/>
  <c r="Z344" i="4" s="1"/>
  <c r="AC344" i="4" s="1"/>
  <c r="AD344" i="4" s="1"/>
  <c r="AE344" i="4" s="1"/>
  <c r="K344" i="4"/>
  <c r="L344" i="4" s="1"/>
  <c r="R344" i="4"/>
  <c r="S344" i="4" s="1"/>
  <c r="V344" i="4" s="1"/>
  <c r="W344" i="4" s="1"/>
  <c r="X344" i="4" s="1"/>
  <c r="M344" i="4"/>
  <c r="N344" i="4" s="1"/>
  <c r="AH344" i="4"/>
  <c r="AI344" i="4" s="1"/>
  <c r="T344" i="4"/>
  <c r="U344" i="4" s="1"/>
  <c r="AA344" i="4"/>
  <c r="AB344" i="4" s="1"/>
  <c r="AJ344" i="4" l="1"/>
  <c r="AK344" i="4" s="1"/>
  <c r="AL344" i="4" s="1"/>
  <c r="O344" i="4"/>
  <c r="P344" i="4" s="1"/>
  <c r="Q344" i="4" l="1"/>
  <c r="AM344" i="4" s="1"/>
  <c r="B345" i="4"/>
  <c r="I345" i="4"/>
  <c r="H345" i="4"/>
  <c r="F345" i="4"/>
  <c r="G345" i="4"/>
  <c r="J345" i="4"/>
  <c r="E345" i="4"/>
  <c r="C345" i="4"/>
  <c r="D345" i="4"/>
  <c r="AH345" i="4" l="1"/>
  <c r="AI345" i="4" s="1"/>
  <c r="M345" i="4"/>
  <c r="N345" i="4" s="1"/>
  <c r="AA345" i="4"/>
  <c r="AB345" i="4" s="1"/>
  <c r="T345" i="4"/>
  <c r="U345" i="4" s="1"/>
  <c r="R345" i="4"/>
  <c r="S345" i="4" s="1"/>
  <c r="Y345" i="4"/>
  <c r="Z345" i="4" s="1"/>
  <c r="AC345" i="4" s="1"/>
  <c r="AD345" i="4" s="1"/>
  <c r="AE345" i="4" s="1"/>
  <c r="K345" i="4"/>
  <c r="L345" i="4" s="1"/>
  <c r="O345" i="4" s="1"/>
  <c r="P345" i="4" s="1"/>
  <c r="Q345" i="4" s="1"/>
  <c r="AF345" i="4"/>
  <c r="AG345" i="4" s="1"/>
  <c r="AJ345" i="4" s="1"/>
  <c r="AK345" i="4" s="1"/>
  <c r="AL345" i="4" s="1"/>
  <c r="V345" i="4" l="1"/>
  <c r="W345" i="4" s="1"/>
  <c r="X345" i="4" s="1"/>
  <c r="AM345" i="4" s="1"/>
  <c r="E346" i="4"/>
  <c r="D346" i="4"/>
  <c r="M346" i="4" l="1"/>
  <c r="N346" i="4" s="1"/>
  <c r="AA346" i="4"/>
  <c r="AB346" i="4" s="1"/>
  <c r="AH346" i="4"/>
  <c r="AI346" i="4" s="1"/>
  <c r="B346" i="4"/>
  <c r="J346" i="4"/>
  <c r="F346" i="4"/>
  <c r="T346" i="4" s="1"/>
  <c r="U346" i="4" s="1"/>
  <c r="G346" i="4"/>
  <c r="C346" i="4"/>
  <c r="H346" i="4"/>
  <c r="I346" i="4"/>
  <c r="K346" i="4" l="1"/>
  <c r="L346" i="4" s="1"/>
  <c r="O346" i="4" s="1"/>
  <c r="P346" i="4" s="1"/>
  <c r="B347" i="4" s="1"/>
  <c r="AF346" i="4"/>
  <c r="AG346" i="4" s="1"/>
  <c r="AJ346" i="4" s="1"/>
  <c r="AK346" i="4" s="1"/>
  <c r="AL346" i="4" s="1"/>
  <c r="R346" i="4"/>
  <c r="S346" i="4" s="1"/>
  <c r="V346" i="4" s="1"/>
  <c r="W346" i="4" s="1"/>
  <c r="X346" i="4" s="1"/>
  <c r="Y346" i="4"/>
  <c r="Z346" i="4" s="1"/>
  <c r="AC346" i="4" s="1"/>
  <c r="AD346" i="4" s="1"/>
  <c r="AE346" i="4" s="1"/>
  <c r="Q346" i="4" l="1"/>
  <c r="AM346" i="4" s="1"/>
  <c r="D347" i="4"/>
  <c r="E347" i="4"/>
  <c r="G347" i="4"/>
  <c r="F347" i="4"/>
  <c r="I347" i="4"/>
  <c r="H347" i="4"/>
  <c r="J347" i="4"/>
  <c r="C347" i="4"/>
  <c r="AH347" i="4" l="1"/>
  <c r="AI347" i="4" s="1"/>
  <c r="M347" i="4"/>
  <c r="N347" i="4" s="1"/>
  <c r="T347" i="4"/>
  <c r="U347" i="4" s="1"/>
  <c r="AA347" i="4"/>
  <c r="AB347" i="4" s="1"/>
  <c r="R347" i="4"/>
  <c r="S347" i="4" s="1"/>
  <c r="K347" i="4"/>
  <c r="L347" i="4" s="1"/>
  <c r="O347" i="4" s="1"/>
  <c r="P347" i="4" s="1"/>
  <c r="AF347" i="4"/>
  <c r="AG347" i="4" s="1"/>
  <c r="AJ347" i="4" s="1"/>
  <c r="AK347" i="4" s="1"/>
  <c r="AL347" i="4" s="1"/>
  <c r="Y347" i="4"/>
  <c r="Z347" i="4" s="1"/>
  <c r="AC347" i="4" s="1"/>
  <c r="AD347" i="4" s="1"/>
  <c r="AE347" i="4" s="1"/>
  <c r="Q347" i="4" l="1"/>
  <c r="V347" i="4"/>
  <c r="W347" i="4" s="1"/>
  <c r="X347" i="4" s="1"/>
  <c r="I348" i="4" l="1"/>
  <c r="F348" i="4"/>
  <c r="D348" i="4"/>
  <c r="C348" i="4"/>
  <c r="E348" i="4"/>
  <c r="B348" i="4"/>
  <c r="AM347" i="4"/>
  <c r="H348" i="4"/>
  <c r="J348" i="4"/>
  <c r="G348" i="4"/>
  <c r="AF348" i="4" l="1"/>
  <c r="AG348" i="4" s="1"/>
  <c r="R348" i="4"/>
  <c r="S348" i="4" s="1"/>
  <c r="V348" i="4" s="1"/>
  <c r="W348" i="4" s="1"/>
  <c r="X348" i="4" s="1"/>
  <c r="Y348" i="4"/>
  <c r="Z348" i="4" s="1"/>
  <c r="AC348" i="4" s="1"/>
  <c r="AD348" i="4" s="1"/>
  <c r="AE348" i="4" s="1"/>
  <c r="K348" i="4"/>
  <c r="L348" i="4" s="1"/>
  <c r="O348" i="4" s="1"/>
  <c r="P348" i="4" s="1"/>
  <c r="Q348" i="4" s="1"/>
  <c r="AA348" i="4"/>
  <c r="AB348" i="4" s="1"/>
  <c r="T348" i="4"/>
  <c r="U348" i="4" s="1"/>
  <c r="AH348" i="4"/>
  <c r="AI348" i="4" s="1"/>
  <c r="M348" i="4"/>
  <c r="N348" i="4" s="1"/>
  <c r="E349" i="4" l="1"/>
  <c r="J349" i="4"/>
  <c r="G349" i="4"/>
  <c r="F349" i="4"/>
  <c r="C349" i="4"/>
  <c r="B349" i="4"/>
  <c r="D349" i="4"/>
  <c r="AJ348" i="4"/>
  <c r="AK348" i="4" s="1"/>
  <c r="AL348" i="4" s="1"/>
  <c r="AM348" i="4" s="1"/>
  <c r="I349" i="4"/>
  <c r="H349" i="4"/>
  <c r="R349" i="4" l="1"/>
  <c r="S349" i="4" s="1"/>
  <c r="Y349" i="4"/>
  <c r="Z349" i="4" s="1"/>
  <c r="AC349" i="4" s="1"/>
  <c r="AD349" i="4" s="1"/>
  <c r="AE349" i="4" s="1"/>
  <c r="AF349" i="4"/>
  <c r="AG349" i="4" s="1"/>
  <c r="K349" i="4"/>
  <c r="L349" i="4" s="1"/>
  <c r="AH349" i="4"/>
  <c r="AI349" i="4" s="1"/>
  <c r="M349" i="4"/>
  <c r="N349" i="4" s="1"/>
  <c r="T349" i="4"/>
  <c r="U349" i="4" s="1"/>
  <c r="AA349" i="4"/>
  <c r="AB349" i="4" s="1"/>
  <c r="O349" i="4" l="1"/>
  <c r="P349" i="4" s="1"/>
  <c r="AJ349" i="4"/>
  <c r="AK349" i="4" s="1"/>
  <c r="AL349" i="4" s="1"/>
  <c r="V349" i="4"/>
  <c r="W349" i="4" s="1"/>
  <c r="X349" i="4" s="1"/>
  <c r="Q349" i="4" l="1"/>
  <c r="AM349" i="4" s="1"/>
  <c r="D350" i="4"/>
  <c r="J350" i="4"/>
  <c r="B350" i="4"/>
  <c r="F350" i="4"/>
  <c r="H350" i="4"/>
  <c r="I350" i="4"/>
  <c r="C350" i="4"/>
  <c r="E350" i="4"/>
  <c r="G350" i="4"/>
  <c r="Y350" i="4" l="1"/>
  <c r="Z350" i="4" s="1"/>
  <c r="AF350" i="4"/>
  <c r="AG350" i="4" s="1"/>
  <c r="K350" i="4"/>
  <c r="L350" i="4" s="1"/>
  <c r="R350" i="4"/>
  <c r="S350" i="4" s="1"/>
  <c r="V350" i="4" s="1"/>
  <c r="W350" i="4" s="1"/>
  <c r="X350" i="4" s="1"/>
  <c r="T350" i="4"/>
  <c r="U350" i="4" s="1"/>
  <c r="AA350" i="4"/>
  <c r="AB350" i="4" s="1"/>
  <c r="AH350" i="4"/>
  <c r="AI350" i="4" s="1"/>
  <c r="M350" i="4"/>
  <c r="N350" i="4" s="1"/>
  <c r="AC350" i="4" l="1"/>
  <c r="AD350" i="4" s="1"/>
  <c r="AE350" i="4" s="1"/>
  <c r="O350" i="4"/>
  <c r="P350" i="4" s="1"/>
  <c r="AJ350" i="4"/>
  <c r="AK350" i="4" s="1"/>
  <c r="AL350" i="4" s="1"/>
  <c r="Q350" i="4" l="1"/>
  <c r="AM350" i="4" s="1"/>
  <c r="H351" i="4"/>
  <c r="G351" i="4"/>
  <c r="E351" i="4"/>
  <c r="J351" i="4"/>
  <c r="B351" i="4"/>
  <c r="C351" i="4"/>
  <c r="D351" i="4"/>
  <c r="I351" i="4"/>
  <c r="F351" i="4"/>
  <c r="AF351" i="4" l="1"/>
  <c r="AG351" i="4" s="1"/>
  <c r="R351" i="4"/>
  <c r="S351" i="4" s="1"/>
  <c r="V351" i="4" s="1"/>
  <c r="W351" i="4" s="1"/>
  <c r="X351" i="4" s="1"/>
  <c r="Y351" i="4"/>
  <c r="Z351" i="4" s="1"/>
  <c r="AC351" i="4" s="1"/>
  <c r="AD351" i="4" s="1"/>
  <c r="AE351" i="4" s="1"/>
  <c r="K351" i="4"/>
  <c r="L351" i="4" s="1"/>
  <c r="O351" i="4" s="1"/>
  <c r="P351" i="4" s="1"/>
  <c r="Q351" i="4" s="1"/>
  <c r="M351" i="4"/>
  <c r="N351" i="4" s="1"/>
  <c r="T351" i="4"/>
  <c r="U351" i="4" s="1"/>
  <c r="AA351" i="4"/>
  <c r="AB351" i="4" s="1"/>
  <c r="AH351" i="4"/>
  <c r="AI351" i="4" s="1"/>
  <c r="AJ351" i="4" l="1"/>
  <c r="AK351" i="4" s="1"/>
  <c r="G352" i="4" s="1"/>
  <c r="C352" i="4"/>
  <c r="I352" i="4"/>
  <c r="D352" i="4"/>
  <c r="AL351" i="4" l="1"/>
  <c r="AM351" i="4" s="1"/>
  <c r="E352" i="4"/>
  <c r="F352" i="4"/>
  <c r="J352" i="4"/>
  <c r="H352" i="4"/>
  <c r="B352" i="4"/>
  <c r="AF352" i="4" l="1"/>
  <c r="AG352" i="4" s="1"/>
  <c r="Y352" i="4"/>
  <c r="Z352" i="4" s="1"/>
  <c r="AC352" i="4" s="1"/>
  <c r="AD352" i="4" s="1"/>
  <c r="AE352" i="4" s="1"/>
  <c r="K352" i="4"/>
  <c r="L352" i="4" s="1"/>
  <c r="O352" i="4" s="1"/>
  <c r="P352" i="4" s="1"/>
  <c r="R352" i="4"/>
  <c r="S352" i="4" s="1"/>
  <c r="V352" i="4" s="1"/>
  <c r="W352" i="4" s="1"/>
  <c r="X352" i="4" s="1"/>
  <c r="AH352" i="4"/>
  <c r="AI352" i="4" s="1"/>
  <c r="M352" i="4"/>
  <c r="N352" i="4" s="1"/>
  <c r="T352" i="4"/>
  <c r="U352" i="4" s="1"/>
  <c r="AA352" i="4"/>
  <c r="AB352" i="4" s="1"/>
  <c r="Q352" i="4" l="1"/>
  <c r="I353" i="4"/>
  <c r="AJ352" i="4"/>
  <c r="AK352" i="4" s="1"/>
  <c r="AL352" i="4" s="1"/>
  <c r="B353" i="4"/>
  <c r="C353" i="4" l="1"/>
  <c r="D353" i="4"/>
  <c r="Y353" i="4" s="1"/>
  <c r="Z353" i="4" s="1"/>
  <c r="G353" i="4"/>
  <c r="J353" i="4"/>
  <c r="AM352" i="4"/>
  <c r="AP46" i="4" s="1"/>
  <c r="F353" i="4"/>
  <c r="E353" i="4"/>
  <c r="H353" i="4"/>
  <c r="AH353" i="4" l="1"/>
  <c r="AI353" i="4" s="1"/>
  <c r="T353" i="4"/>
  <c r="U353" i="4" s="1"/>
  <c r="AA353" i="4"/>
  <c r="AB353" i="4" s="1"/>
  <c r="AC353" i="4" s="1"/>
  <c r="AD353" i="4" s="1"/>
  <c r="AE353" i="4" s="1"/>
  <c r="M353" i="4"/>
  <c r="N353" i="4" s="1"/>
  <c r="AF353" i="4"/>
  <c r="AG353" i="4" s="1"/>
  <c r="K353" i="4"/>
  <c r="L353" i="4" s="1"/>
  <c r="O353" i="4" s="1"/>
  <c r="P353" i="4" s="1"/>
  <c r="R353" i="4"/>
  <c r="S353" i="4" s="1"/>
  <c r="V353" i="4" s="1"/>
  <c r="W353" i="4" s="1"/>
  <c r="X353" i="4" s="1"/>
  <c r="Q353" i="4" l="1"/>
  <c r="AM353" i="4" s="1"/>
  <c r="I354" i="4"/>
  <c r="B354" i="4"/>
  <c r="F354" i="4"/>
  <c r="D354" i="4"/>
  <c r="AJ353" i="4"/>
  <c r="AK353" i="4" s="1"/>
  <c r="AL353" i="4" s="1"/>
  <c r="AF354" i="4" l="1"/>
  <c r="AG354" i="4" s="1"/>
  <c r="K354" i="4"/>
  <c r="L354" i="4" s="1"/>
  <c r="Y354" i="4"/>
  <c r="Z354" i="4" s="1"/>
  <c r="C354" i="4"/>
  <c r="R354" i="4" s="1"/>
  <c r="S354" i="4" s="1"/>
  <c r="H354" i="4"/>
  <c r="E354" i="4"/>
  <c r="G354" i="4"/>
  <c r="J354" i="4"/>
  <c r="T354" i="4" l="1"/>
  <c r="U354" i="4" s="1"/>
  <c r="V354" i="4" s="1"/>
  <c r="W354" i="4" s="1"/>
  <c r="X354" i="4" s="1"/>
  <c r="AA354" i="4"/>
  <c r="AB354" i="4" s="1"/>
  <c r="AC354" i="4" s="1"/>
  <c r="AD354" i="4" s="1"/>
  <c r="AE354" i="4" s="1"/>
  <c r="AH354" i="4"/>
  <c r="AI354" i="4" s="1"/>
  <c r="AJ354" i="4" s="1"/>
  <c r="AK354" i="4" s="1"/>
  <c r="AL354" i="4" s="1"/>
  <c r="M354" i="4"/>
  <c r="N354" i="4" s="1"/>
  <c r="O354" i="4" s="1"/>
  <c r="P354" i="4" s="1"/>
  <c r="Q354" i="4" l="1"/>
  <c r="AM354" i="4" s="1"/>
  <c r="D355" i="4"/>
  <c r="B355" i="4"/>
  <c r="F355" i="4"/>
  <c r="I355" i="4"/>
  <c r="E355" i="4"/>
  <c r="J355" i="4"/>
  <c r="G355" i="4"/>
  <c r="H355" i="4"/>
  <c r="C355" i="4"/>
  <c r="AH355" i="4" l="1"/>
  <c r="AI355" i="4" s="1"/>
  <c r="M355" i="4"/>
  <c r="N355" i="4" s="1"/>
  <c r="T355" i="4"/>
  <c r="U355" i="4" s="1"/>
  <c r="AA355" i="4"/>
  <c r="AB355" i="4" s="1"/>
  <c r="Y355" i="4"/>
  <c r="Z355" i="4" s="1"/>
  <c r="AF355" i="4"/>
  <c r="AG355" i="4" s="1"/>
  <c r="AJ355" i="4" s="1"/>
  <c r="AK355" i="4" s="1"/>
  <c r="AL355" i="4" s="1"/>
  <c r="K355" i="4"/>
  <c r="L355" i="4" s="1"/>
  <c r="O355" i="4" s="1"/>
  <c r="P355" i="4" s="1"/>
  <c r="Q355" i="4" s="1"/>
  <c r="R355" i="4"/>
  <c r="S355" i="4" s="1"/>
  <c r="V355" i="4" s="1"/>
  <c r="W355" i="4" s="1"/>
  <c r="X355" i="4" s="1"/>
  <c r="AC355" i="4" l="1"/>
  <c r="AD355" i="4" s="1"/>
  <c r="H356" i="4"/>
  <c r="AE355" i="4" l="1"/>
  <c r="AM355" i="4" s="1"/>
  <c r="D356" i="4"/>
  <c r="I356" i="4"/>
  <c r="B356" i="4"/>
  <c r="J356" i="4"/>
  <c r="G356" i="4"/>
  <c r="E356" i="4"/>
  <c r="C356" i="4"/>
  <c r="F356" i="4"/>
  <c r="AF356" i="4" l="1"/>
  <c r="AG356" i="4" s="1"/>
  <c r="AJ356" i="4" s="1"/>
  <c r="AK356" i="4" s="1"/>
  <c r="AL356" i="4" s="1"/>
  <c r="Y356" i="4"/>
  <c r="Z356" i="4" s="1"/>
  <c r="AC356" i="4" s="1"/>
  <c r="AD356" i="4" s="1"/>
  <c r="AE356" i="4" s="1"/>
  <c r="R356" i="4"/>
  <c r="S356" i="4" s="1"/>
  <c r="K356" i="4"/>
  <c r="L356" i="4" s="1"/>
  <c r="O356" i="4" s="1"/>
  <c r="P356" i="4" s="1"/>
  <c r="AH356" i="4"/>
  <c r="AI356" i="4" s="1"/>
  <c r="AA356" i="4"/>
  <c r="AB356" i="4" s="1"/>
  <c r="M356" i="4"/>
  <c r="N356" i="4" s="1"/>
  <c r="T356" i="4"/>
  <c r="U356" i="4" s="1"/>
  <c r="Q356" i="4" l="1"/>
  <c r="V356" i="4"/>
  <c r="W356" i="4" s="1"/>
  <c r="B357" i="4"/>
  <c r="E357" i="4"/>
  <c r="J357" i="4"/>
  <c r="D357" i="4"/>
  <c r="G357" i="4"/>
  <c r="X356" i="4" l="1"/>
  <c r="AM356" i="4" s="1"/>
  <c r="F357" i="4"/>
  <c r="C357" i="4"/>
  <c r="Y357" i="4" s="1"/>
  <c r="Z357" i="4" s="1"/>
  <c r="I357" i="4"/>
  <c r="H357" i="4"/>
  <c r="M357" i="4" l="1"/>
  <c r="N357" i="4" s="1"/>
  <c r="AF357" i="4"/>
  <c r="AG357" i="4" s="1"/>
  <c r="AJ357" i="4" s="1"/>
  <c r="AK357" i="4" s="1"/>
  <c r="AL357" i="4" s="1"/>
  <c r="T357" i="4"/>
  <c r="U357" i="4" s="1"/>
  <c r="R357" i="4"/>
  <c r="S357" i="4" s="1"/>
  <c r="V357" i="4" s="1"/>
  <c r="W357" i="4" s="1"/>
  <c r="X357" i="4" s="1"/>
  <c r="K357" i="4"/>
  <c r="L357" i="4" s="1"/>
  <c r="AA357" i="4"/>
  <c r="AB357" i="4" s="1"/>
  <c r="AC357" i="4" s="1"/>
  <c r="AD357" i="4" s="1"/>
  <c r="AE357" i="4" s="1"/>
  <c r="AH357" i="4"/>
  <c r="AI357" i="4" s="1"/>
  <c r="O357" i="4" l="1"/>
  <c r="P357" i="4" s="1"/>
  <c r="Q357" i="4" l="1"/>
  <c r="AM357" i="4" s="1"/>
  <c r="D358" i="4"/>
  <c r="G358" i="4"/>
  <c r="J358" i="4"/>
  <c r="E358" i="4"/>
  <c r="B358" i="4"/>
  <c r="F358" i="4"/>
  <c r="C358" i="4"/>
  <c r="I358" i="4"/>
  <c r="H358" i="4"/>
  <c r="Y358" i="4" l="1"/>
  <c r="Z358" i="4" s="1"/>
  <c r="K358" i="4"/>
  <c r="L358" i="4" s="1"/>
  <c r="AF358" i="4"/>
  <c r="AG358" i="4" s="1"/>
  <c r="AJ358" i="4" s="1"/>
  <c r="AK358" i="4" s="1"/>
  <c r="AL358" i="4" s="1"/>
  <c r="R358" i="4"/>
  <c r="S358" i="4" s="1"/>
  <c r="T358" i="4"/>
  <c r="U358" i="4" s="1"/>
  <c r="M358" i="4"/>
  <c r="N358" i="4" s="1"/>
  <c r="AH358" i="4"/>
  <c r="AI358" i="4" s="1"/>
  <c r="AA358" i="4"/>
  <c r="AB358" i="4" s="1"/>
  <c r="V358" i="4" l="1"/>
  <c r="W358" i="4" s="1"/>
  <c r="X358" i="4" s="1"/>
  <c r="O358" i="4"/>
  <c r="P358" i="4" s="1"/>
  <c r="AC358" i="4"/>
  <c r="AD358" i="4" s="1"/>
  <c r="AE358" i="4" s="1"/>
  <c r="Q358" i="4" l="1"/>
  <c r="AM358" i="4" s="1"/>
  <c r="F359" i="4"/>
  <c r="I359" i="4"/>
  <c r="J359" i="4"/>
  <c r="H359" i="4"/>
  <c r="D359" i="4"/>
  <c r="B359" i="4"/>
  <c r="E359" i="4"/>
  <c r="C359" i="4"/>
  <c r="G359" i="4"/>
  <c r="K359" i="4" l="1"/>
  <c r="L359" i="4" s="1"/>
  <c r="Y359" i="4"/>
  <c r="Z359" i="4" s="1"/>
  <c r="AF359" i="4"/>
  <c r="AG359" i="4" s="1"/>
  <c r="R359" i="4"/>
  <c r="S359" i="4" s="1"/>
  <c r="V359" i="4" s="1"/>
  <c r="W359" i="4" s="1"/>
  <c r="X359" i="4" s="1"/>
  <c r="T359" i="4"/>
  <c r="U359" i="4" s="1"/>
  <c r="M359" i="4"/>
  <c r="N359" i="4" s="1"/>
  <c r="AH359" i="4"/>
  <c r="AI359" i="4" s="1"/>
  <c r="AA359" i="4"/>
  <c r="AB359" i="4" s="1"/>
  <c r="AJ359" i="4" l="1"/>
  <c r="AK359" i="4" s="1"/>
  <c r="AL359" i="4" s="1"/>
  <c r="AC359" i="4"/>
  <c r="AD359" i="4" s="1"/>
  <c r="AE359" i="4" s="1"/>
  <c r="O359" i="4"/>
  <c r="P359" i="4" s="1"/>
  <c r="Q359" i="4" l="1"/>
  <c r="AM359" i="4" s="1"/>
  <c r="C360" i="4"/>
  <c r="E360" i="4"/>
  <c r="B360" i="4"/>
  <c r="D360" i="4"/>
  <c r="J360" i="4"/>
  <c r="H360" i="4"/>
  <c r="I360" i="4"/>
  <c r="G360" i="4"/>
  <c r="F360" i="4"/>
  <c r="AF360" i="4" l="1"/>
  <c r="AG360" i="4" s="1"/>
  <c r="AJ360" i="4" s="1"/>
  <c r="AK360" i="4" s="1"/>
  <c r="AL360" i="4" s="1"/>
  <c r="R360" i="4"/>
  <c r="S360" i="4" s="1"/>
  <c r="K360" i="4"/>
  <c r="L360" i="4" s="1"/>
  <c r="Y360" i="4"/>
  <c r="Z360" i="4" s="1"/>
  <c r="AC360" i="4" s="1"/>
  <c r="AD360" i="4" s="1"/>
  <c r="AE360" i="4" s="1"/>
  <c r="AA360" i="4"/>
  <c r="AB360" i="4" s="1"/>
  <c r="AH360" i="4"/>
  <c r="AI360" i="4" s="1"/>
  <c r="T360" i="4"/>
  <c r="U360" i="4" s="1"/>
  <c r="M360" i="4"/>
  <c r="N360" i="4" s="1"/>
  <c r="V360" i="4" l="1"/>
  <c r="W360" i="4" s="1"/>
  <c r="X360" i="4" s="1"/>
  <c r="O360" i="4"/>
  <c r="P360" i="4" s="1"/>
  <c r="Q360" i="4" l="1"/>
  <c r="AM360" i="4" s="1"/>
  <c r="I361" i="4"/>
  <c r="C361" i="4"/>
  <c r="G361" i="4"/>
  <c r="H361" i="4"/>
  <c r="D361" i="4"/>
  <c r="J361" i="4"/>
  <c r="B361" i="4"/>
  <c r="F361" i="4"/>
  <c r="E361" i="4"/>
  <c r="R361" i="4" l="1"/>
  <c r="S361" i="4" s="1"/>
  <c r="Y361" i="4"/>
  <c r="Z361" i="4" s="1"/>
  <c r="K361" i="4"/>
  <c r="L361" i="4" s="1"/>
  <c r="AF361" i="4"/>
  <c r="AG361" i="4" s="1"/>
  <c r="AJ361" i="4" s="1"/>
  <c r="AK361" i="4" s="1"/>
  <c r="AL361" i="4" s="1"/>
  <c r="AH361" i="4"/>
  <c r="AI361" i="4" s="1"/>
  <c r="AA361" i="4"/>
  <c r="AB361" i="4" s="1"/>
  <c r="T361" i="4"/>
  <c r="U361" i="4" s="1"/>
  <c r="M361" i="4"/>
  <c r="N361" i="4" s="1"/>
  <c r="O361" i="4" l="1"/>
  <c r="P361" i="4" s="1"/>
  <c r="AC361" i="4"/>
  <c r="AD361" i="4" s="1"/>
  <c r="AE361" i="4" s="1"/>
  <c r="V361" i="4"/>
  <c r="W361" i="4" s="1"/>
  <c r="X361" i="4" s="1"/>
  <c r="Q361" i="4" l="1"/>
  <c r="AM361" i="4" s="1"/>
  <c r="F362" i="4"/>
  <c r="E362" i="4"/>
  <c r="B362" i="4"/>
  <c r="J362" i="4"/>
  <c r="I362" i="4"/>
  <c r="D362" i="4"/>
  <c r="H362" i="4"/>
  <c r="G362" i="4"/>
  <c r="C362" i="4"/>
  <c r="Y362" i="4" l="1"/>
  <c r="Z362" i="4" s="1"/>
  <c r="AF362" i="4"/>
  <c r="AG362" i="4" s="1"/>
  <c r="R362" i="4"/>
  <c r="S362" i="4" s="1"/>
  <c r="V362" i="4" s="1"/>
  <c r="W362" i="4" s="1"/>
  <c r="X362" i="4" s="1"/>
  <c r="K362" i="4"/>
  <c r="L362" i="4" s="1"/>
  <c r="O362" i="4" s="1"/>
  <c r="P362" i="4" s="1"/>
  <c r="Q362" i="4" s="1"/>
  <c r="T362" i="4"/>
  <c r="U362" i="4" s="1"/>
  <c r="AH362" i="4"/>
  <c r="AI362" i="4" s="1"/>
  <c r="AA362" i="4"/>
  <c r="AB362" i="4" s="1"/>
  <c r="M362" i="4"/>
  <c r="N362" i="4" s="1"/>
  <c r="AC362" i="4" l="1"/>
  <c r="AD362" i="4" s="1"/>
  <c r="AE362" i="4" s="1"/>
  <c r="AJ362" i="4"/>
  <c r="AK362" i="4" s="1"/>
  <c r="AL362" i="4" s="1"/>
  <c r="AM362" i="4" s="1"/>
  <c r="AP47" i="4" s="1"/>
  <c r="E363" i="4"/>
  <c r="AA363" i="4" l="1"/>
  <c r="AB363" i="4" s="1"/>
  <c r="AH363" i="4"/>
  <c r="AI363" i="4" s="1"/>
  <c r="J363" i="4"/>
  <c r="D363" i="4"/>
  <c r="H363" i="4"/>
  <c r="C363" i="4"/>
  <c r="G363" i="4"/>
  <c r="B363" i="4"/>
  <c r="I363" i="4"/>
  <c r="F363" i="4"/>
  <c r="T363" i="4" l="1"/>
  <c r="U363" i="4" s="1"/>
  <c r="AF363" i="4"/>
  <c r="AG363" i="4" s="1"/>
  <c r="AJ363" i="4" s="1"/>
  <c r="AK363" i="4" s="1"/>
  <c r="AL363" i="4" s="1"/>
  <c r="R363" i="4"/>
  <c r="S363" i="4" s="1"/>
  <c r="V363" i="4" s="1"/>
  <c r="W363" i="4" s="1"/>
  <c r="X363" i="4" s="1"/>
  <c r="Y363" i="4"/>
  <c r="Z363" i="4" s="1"/>
  <c r="AC363" i="4" s="1"/>
  <c r="AD363" i="4" s="1"/>
  <c r="AE363" i="4" s="1"/>
  <c r="K363" i="4"/>
  <c r="L363" i="4" s="1"/>
  <c r="M363" i="4"/>
  <c r="N363" i="4" s="1"/>
  <c r="O363" i="4" l="1"/>
  <c r="P363" i="4" s="1"/>
  <c r="Q363" i="4" l="1"/>
  <c r="AM363" i="4" s="1"/>
  <c r="E364" i="4"/>
  <c r="D364" i="4"/>
  <c r="J364" i="4"/>
  <c r="F364" i="4"/>
  <c r="G364" i="4"/>
  <c r="I364" i="4"/>
  <c r="H364" i="4"/>
  <c r="C364" i="4"/>
  <c r="B364" i="4"/>
  <c r="AF364" i="4" l="1"/>
  <c r="AG364" i="4" s="1"/>
  <c r="R364" i="4"/>
  <c r="S364" i="4" s="1"/>
  <c r="V364" i="4" s="1"/>
  <c r="W364" i="4" s="1"/>
  <c r="X364" i="4" s="1"/>
  <c r="Y364" i="4"/>
  <c r="Z364" i="4" s="1"/>
  <c r="AC364" i="4" s="1"/>
  <c r="AD364" i="4" s="1"/>
  <c r="AE364" i="4" s="1"/>
  <c r="K364" i="4"/>
  <c r="L364" i="4" s="1"/>
  <c r="M364" i="4"/>
  <c r="N364" i="4" s="1"/>
  <c r="AA364" i="4"/>
  <c r="AB364" i="4" s="1"/>
  <c r="T364" i="4"/>
  <c r="U364" i="4" s="1"/>
  <c r="AH364" i="4"/>
  <c r="AI364" i="4" s="1"/>
  <c r="AJ364" i="4" l="1"/>
  <c r="AK364" i="4" s="1"/>
  <c r="AL364" i="4" s="1"/>
  <c r="O364" i="4"/>
  <c r="P364" i="4" s="1"/>
  <c r="Q364" i="4" l="1"/>
  <c r="AM364" i="4" s="1"/>
  <c r="I365" i="4"/>
  <c r="C365" i="4"/>
  <c r="F365" i="4"/>
  <c r="G365" i="4"/>
  <c r="H365" i="4"/>
  <c r="D365" i="4"/>
  <c r="J365" i="4"/>
  <c r="B365" i="4"/>
  <c r="E365" i="4"/>
  <c r="AH365" i="4" l="1"/>
  <c r="AI365" i="4" s="1"/>
  <c r="T365" i="4"/>
  <c r="U365" i="4" s="1"/>
  <c r="AA365" i="4"/>
  <c r="AB365" i="4" s="1"/>
  <c r="M365" i="4"/>
  <c r="N365" i="4" s="1"/>
  <c r="R365" i="4"/>
  <c r="S365" i="4" s="1"/>
  <c r="K365" i="4"/>
  <c r="L365" i="4" s="1"/>
  <c r="Y365" i="4"/>
  <c r="Z365" i="4" s="1"/>
  <c r="AC365" i="4" s="1"/>
  <c r="AD365" i="4" s="1"/>
  <c r="AE365" i="4" s="1"/>
  <c r="AF365" i="4"/>
  <c r="AG365" i="4" s="1"/>
  <c r="O365" i="4" l="1"/>
  <c r="P365" i="4" s="1"/>
  <c r="V365" i="4"/>
  <c r="W365" i="4" s="1"/>
  <c r="X365" i="4" s="1"/>
  <c r="AJ365" i="4"/>
  <c r="AK365" i="4" s="1"/>
  <c r="AL365" i="4" s="1"/>
  <c r="Q365" i="4" l="1"/>
  <c r="AM365" i="4" s="1"/>
  <c r="H366" i="4"/>
  <c r="E366" i="4"/>
  <c r="G366" i="4"/>
  <c r="I366" i="4"/>
  <c r="D366" i="4"/>
  <c r="J366" i="4"/>
  <c r="F366" i="4"/>
  <c r="C366" i="4"/>
  <c r="B366" i="4"/>
  <c r="R366" i="4" l="1"/>
  <c r="S366" i="4" s="1"/>
  <c r="V366" i="4" s="1"/>
  <c r="W366" i="4" s="1"/>
  <c r="X366" i="4" s="1"/>
  <c r="Y366" i="4"/>
  <c r="Z366" i="4" s="1"/>
  <c r="AC366" i="4" s="1"/>
  <c r="AD366" i="4" s="1"/>
  <c r="AE366" i="4" s="1"/>
  <c r="K366" i="4"/>
  <c r="L366" i="4" s="1"/>
  <c r="O366" i="4" s="1"/>
  <c r="P366" i="4" s="1"/>
  <c r="Q366" i="4" s="1"/>
  <c r="AF366" i="4"/>
  <c r="AG366" i="4" s="1"/>
  <c r="T366" i="4"/>
  <c r="U366" i="4" s="1"/>
  <c r="AA366" i="4"/>
  <c r="AB366" i="4" s="1"/>
  <c r="M366" i="4"/>
  <c r="N366" i="4" s="1"/>
  <c r="AH366" i="4"/>
  <c r="AI366" i="4" s="1"/>
  <c r="B367" i="4" l="1"/>
  <c r="G367" i="4"/>
  <c r="I367" i="4"/>
  <c r="D367" i="4"/>
  <c r="H367" i="4"/>
  <c r="J367" i="4"/>
  <c r="C367" i="4"/>
  <c r="AJ366" i="4"/>
  <c r="AK366" i="4" s="1"/>
  <c r="F367" i="4"/>
  <c r="R367" i="4" l="1"/>
  <c r="S367" i="4" s="1"/>
  <c r="Y367" i="4"/>
  <c r="Z367" i="4" s="1"/>
  <c r="K367" i="4"/>
  <c r="L367" i="4" s="1"/>
  <c r="AF367" i="4"/>
  <c r="AG367" i="4" s="1"/>
  <c r="AL366" i="4"/>
  <c r="AM366" i="4" s="1"/>
  <c r="E367" i="4"/>
  <c r="AA367" i="4" l="1"/>
  <c r="AB367" i="4" s="1"/>
  <c r="M367" i="4"/>
  <c r="N367" i="4" s="1"/>
  <c r="AH367" i="4"/>
  <c r="AI367" i="4" s="1"/>
  <c r="AJ367" i="4" s="1"/>
  <c r="AK367" i="4" s="1"/>
  <c r="AL367" i="4" s="1"/>
  <c r="T367" i="4"/>
  <c r="U367" i="4" s="1"/>
  <c r="V367" i="4" s="1"/>
  <c r="W367" i="4" s="1"/>
  <c r="X367" i="4" s="1"/>
  <c r="O367" i="4"/>
  <c r="P367" i="4" s="1"/>
  <c r="E368" i="4" s="1"/>
  <c r="AC367" i="4"/>
  <c r="AD367" i="4" s="1"/>
  <c r="AE367" i="4" s="1"/>
  <c r="Q367" i="4" l="1"/>
  <c r="AM367" i="4" s="1"/>
  <c r="C368" i="4"/>
  <c r="B368" i="4"/>
  <c r="J368" i="4"/>
  <c r="D368" i="4"/>
  <c r="H368" i="4"/>
  <c r="I368" i="4"/>
  <c r="G368" i="4"/>
  <c r="F368" i="4"/>
  <c r="AH368" i="4" s="1"/>
  <c r="AI368" i="4" s="1"/>
  <c r="AF368" i="4" l="1"/>
  <c r="AG368" i="4" s="1"/>
  <c r="AJ368" i="4" s="1"/>
  <c r="AK368" i="4" s="1"/>
  <c r="AL368" i="4" s="1"/>
  <c r="Y368" i="4"/>
  <c r="Z368" i="4" s="1"/>
  <c r="K368" i="4"/>
  <c r="L368" i="4" s="1"/>
  <c r="R368" i="4"/>
  <c r="S368" i="4" s="1"/>
  <c r="AA368" i="4"/>
  <c r="AB368" i="4" s="1"/>
  <c r="M368" i="4"/>
  <c r="N368" i="4" s="1"/>
  <c r="T368" i="4"/>
  <c r="U368" i="4" s="1"/>
  <c r="V368" i="4" l="1"/>
  <c r="W368" i="4" s="1"/>
  <c r="X368" i="4" s="1"/>
  <c r="O368" i="4"/>
  <c r="P368" i="4" s="1"/>
  <c r="AC368" i="4"/>
  <c r="AD368" i="4" s="1"/>
  <c r="AE368" i="4" s="1"/>
  <c r="Q368" i="4" l="1"/>
  <c r="AM368" i="4" s="1"/>
  <c r="E369" i="4"/>
  <c r="B369" i="4"/>
  <c r="D369" i="4"/>
  <c r="F369" i="4"/>
  <c r="I369" i="4"/>
  <c r="H369" i="4"/>
  <c r="C369" i="4"/>
  <c r="J369" i="4"/>
  <c r="G369" i="4"/>
  <c r="R369" i="4" l="1"/>
  <c r="S369" i="4" s="1"/>
  <c r="V369" i="4" s="1"/>
  <c r="W369" i="4" s="1"/>
  <c r="X369" i="4" s="1"/>
  <c r="AF369" i="4"/>
  <c r="AG369" i="4" s="1"/>
  <c r="AJ369" i="4" s="1"/>
  <c r="AK369" i="4" s="1"/>
  <c r="AL369" i="4" s="1"/>
  <c r="K369" i="4"/>
  <c r="L369" i="4" s="1"/>
  <c r="Y369" i="4"/>
  <c r="Z369" i="4" s="1"/>
  <c r="AH369" i="4"/>
  <c r="AI369" i="4" s="1"/>
  <c r="T369" i="4"/>
  <c r="U369" i="4" s="1"/>
  <c r="AA369" i="4"/>
  <c r="AB369" i="4" s="1"/>
  <c r="M369" i="4"/>
  <c r="N369" i="4" s="1"/>
  <c r="AC369" i="4" l="1"/>
  <c r="AD369" i="4" s="1"/>
  <c r="AE369" i="4" s="1"/>
  <c r="O369" i="4"/>
  <c r="P369" i="4" s="1"/>
  <c r="Q369" i="4" l="1"/>
  <c r="AM369" i="4" s="1"/>
  <c r="H370" i="4"/>
  <c r="J370" i="4"/>
  <c r="I370" i="4"/>
  <c r="B370" i="4"/>
  <c r="F370" i="4"/>
  <c r="G370" i="4"/>
  <c r="C370" i="4"/>
  <c r="E370" i="4"/>
  <c r="D370" i="4"/>
  <c r="AF370" i="4" l="1"/>
  <c r="AG370" i="4" s="1"/>
  <c r="R370" i="4"/>
  <c r="S370" i="4" s="1"/>
  <c r="K370" i="4"/>
  <c r="L370" i="4" s="1"/>
  <c r="Y370" i="4"/>
  <c r="Z370" i="4" s="1"/>
  <c r="AC370" i="4" s="1"/>
  <c r="AD370" i="4" s="1"/>
  <c r="AE370" i="4" s="1"/>
  <c r="T370" i="4"/>
  <c r="U370" i="4" s="1"/>
  <c r="M370" i="4"/>
  <c r="N370" i="4" s="1"/>
  <c r="AH370" i="4"/>
  <c r="AI370" i="4" s="1"/>
  <c r="AA370" i="4"/>
  <c r="AB370" i="4" s="1"/>
  <c r="AJ370" i="4" l="1"/>
  <c r="AK370" i="4" s="1"/>
  <c r="AL370" i="4" s="1"/>
  <c r="O370" i="4"/>
  <c r="P370" i="4" s="1"/>
  <c r="V370" i="4"/>
  <c r="W370" i="4" s="1"/>
  <c r="X370" i="4" s="1"/>
  <c r="Q370" i="4" l="1"/>
  <c r="AM370" i="4" s="1"/>
  <c r="C371" i="4"/>
  <c r="G371" i="4"/>
  <c r="F371" i="4"/>
  <c r="I371" i="4"/>
  <c r="D371" i="4"/>
  <c r="J371" i="4"/>
  <c r="H371" i="4"/>
  <c r="B371" i="4"/>
  <c r="E371" i="4"/>
  <c r="T371" i="4" l="1"/>
  <c r="U371" i="4" s="1"/>
  <c r="AA371" i="4"/>
  <c r="AB371" i="4" s="1"/>
  <c r="M371" i="4"/>
  <c r="N371" i="4" s="1"/>
  <c r="AH371" i="4"/>
  <c r="AI371" i="4" s="1"/>
  <c r="K371" i="4"/>
  <c r="L371" i="4" s="1"/>
  <c r="O371" i="4" s="1"/>
  <c r="P371" i="4" s="1"/>
  <c r="Q371" i="4" s="1"/>
  <c r="AF371" i="4"/>
  <c r="AG371" i="4" s="1"/>
  <c r="AJ371" i="4" s="1"/>
  <c r="AK371" i="4" s="1"/>
  <c r="AL371" i="4" s="1"/>
  <c r="R371" i="4"/>
  <c r="S371" i="4" s="1"/>
  <c r="V371" i="4" s="1"/>
  <c r="W371" i="4" s="1"/>
  <c r="X371" i="4" s="1"/>
  <c r="Y371" i="4"/>
  <c r="Z371" i="4" s="1"/>
  <c r="AM371" i="4" l="1"/>
  <c r="C372" i="4"/>
  <c r="B372" i="4"/>
  <c r="G372" i="4"/>
  <c r="I372" i="4"/>
  <c r="D372" i="4"/>
  <c r="J372" i="4"/>
  <c r="AC371" i="4"/>
  <c r="AD371" i="4" s="1"/>
  <c r="AE371" i="4" s="1"/>
  <c r="E372" i="4"/>
  <c r="H372" i="4"/>
  <c r="AF372" i="4" l="1"/>
  <c r="AG372" i="4" s="1"/>
  <c r="K372" i="4"/>
  <c r="L372" i="4" s="1"/>
  <c r="R372" i="4"/>
  <c r="S372" i="4" s="1"/>
  <c r="V372" i="4" s="1"/>
  <c r="W372" i="4" s="1"/>
  <c r="X372" i="4" s="1"/>
  <c r="Y372" i="4"/>
  <c r="Z372" i="4" s="1"/>
  <c r="AC372" i="4" s="1"/>
  <c r="AD372" i="4" s="1"/>
  <c r="AE372" i="4" s="1"/>
  <c r="T372" i="4"/>
  <c r="U372" i="4" s="1"/>
  <c r="AA372" i="4"/>
  <c r="AB372" i="4" s="1"/>
  <c r="M372" i="4"/>
  <c r="N372" i="4" s="1"/>
  <c r="AH372" i="4"/>
  <c r="AI372" i="4" s="1"/>
  <c r="F372" i="4"/>
  <c r="O372" i="4" l="1"/>
  <c r="P372" i="4" s="1"/>
  <c r="AJ372" i="4"/>
  <c r="AK372" i="4" s="1"/>
  <c r="AL372" i="4" s="1"/>
  <c r="F373" i="4"/>
  <c r="Q372" i="4" l="1"/>
  <c r="AM372" i="4" s="1"/>
  <c r="AP48" i="4" s="1"/>
  <c r="J373" i="4"/>
  <c r="G373" i="4"/>
  <c r="I373" i="4"/>
  <c r="H373" i="4"/>
  <c r="B373" i="4"/>
  <c r="C373" i="4"/>
  <c r="E373" i="4"/>
  <c r="D373" i="4"/>
  <c r="R373" i="4" l="1"/>
  <c r="S373" i="4" s="1"/>
  <c r="Y373" i="4"/>
  <c r="Z373" i="4" s="1"/>
  <c r="K373" i="4"/>
  <c r="L373" i="4" s="1"/>
  <c r="AF373" i="4"/>
  <c r="AG373" i="4" s="1"/>
  <c r="AJ373" i="4" s="1"/>
  <c r="AK373" i="4" s="1"/>
  <c r="AL373" i="4" s="1"/>
  <c r="AH373" i="4"/>
  <c r="AI373" i="4" s="1"/>
  <c r="AA373" i="4"/>
  <c r="AB373" i="4" s="1"/>
  <c r="M373" i="4"/>
  <c r="N373" i="4" s="1"/>
  <c r="T373" i="4"/>
  <c r="U373" i="4" s="1"/>
  <c r="O373" i="4" l="1"/>
  <c r="P373" i="4" s="1"/>
  <c r="AC373" i="4"/>
  <c r="AD373" i="4" s="1"/>
  <c r="AE373" i="4" s="1"/>
  <c r="V373" i="4"/>
  <c r="W373" i="4" s="1"/>
  <c r="X373" i="4" s="1"/>
  <c r="Q373" i="4" l="1"/>
  <c r="AM373" i="4" s="1"/>
  <c r="F374" i="4"/>
  <c r="C374" i="4"/>
  <c r="J374" i="4"/>
  <c r="I374" i="4"/>
  <c r="G374" i="4"/>
  <c r="H374" i="4"/>
  <c r="E374" i="4"/>
  <c r="D374" i="4"/>
  <c r="B374" i="4"/>
  <c r="T374" i="4" l="1"/>
  <c r="U374" i="4" s="1"/>
  <c r="AH374" i="4"/>
  <c r="AI374" i="4" s="1"/>
  <c r="AA374" i="4"/>
  <c r="AB374" i="4" s="1"/>
  <c r="M374" i="4"/>
  <c r="N374" i="4" s="1"/>
  <c r="Y374" i="4"/>
  <c r="Z374" i="4" s="1"/>
  <c r="K374" i="4"/>
  <c r="L374" i="4" s="1"/>
  <c r="AF374" i="4"/>
  <c r="AG374" i="4" s="1"/>
  <c r="AJ374" i="4" s="1"/>
  <c r="AK374" i="4" s="1"/>
  <c r="AL374" i="4" s="1"/>
  <c r="R374" i="4"/>
  <c r="S374" i="4" s="1"/>
  <c r="V374" i="4" s="1"/>
  <c r="W374" i="4" s="1"/>
  <c r="X374" i="4" s="1"/>
  <c r="O374" i="4" l="1"/>
  <c r="P374" i="4" s="1"/>
  <c r="AC374" i="4"/>
  <c r="AD374" i="4" s="1"/>
  <c r="AE374" i="4" s="1"/>
  <c r="Q374" i="4" l="1"/>
  <c r="AM374" i="4" s="1"/>
  <c r="C375" i="4"/>
  <c r="H375" i="4"/>
  <c r="D375" i="4"/>
  <c r="I375" i="4"/>
  <c r="E375" i="4"/>
  <c r="B375" i="4"/>
  <c r="G375" i="4"/>
  <c r="J375" i="4"/>
  <c r="F375" i="4"/>
  <c r="AH375" i="4" l="1"/>
  <c r="AI375" i="4" s="1"/>
  <c r="AA375" i="4"/>
  <c r="AB375" i="4" s="1"/>
  <c r="M375" i="4"/>
  <c r="N375" i="4" s="1"/>
  <c r="T375" i="4"/>
  <c r="U375" i="4" s="1"/>
  <c r="Y375" i="4"/>
  <c r="Z375" i="4" s="1"/>
  <c r="K375" i="4"/>
  <c r="L375" i="4" s="1"/>
  <c r="AF375" i="4"/>
  <c r="AG375" i="4" s="1"/>
  <c r="R375" i="4"/>
  <c r="S375" i="4" s="1"/>
  <c r="V375" i="4" l="1"/>
  <c r="W375" i="4" s="1"/>
  <c r="X375" i="4" s="1"/>
  <c r="AJ375" i="4"/>
  <c r="AK375" i="4" s="1"/>
  <c r="AL375" i="4" s="1"/>
  <c r="O375" i="4"/>
  <c r="P375" i="4" s="1"/>
  <c r="AC375" i="4"/>
  <c r="AD375" i="4" s="1"/>
  <c r="AE375" i="4" s="1"/>
  <c r="Q375" i="4" l="1"/>
  <c r="AM375" i="4" s="1"/>
  <c r="G376" i="4"/>
  <c r="J376" i="4"/>
  <c r="D376" i="4"/>
  <c r="E376" i="4"/>
  <c r="B376" i="4"/>
  <c r="I376" i="4"/>
  <c r="C376" i="4"/>
  <c r="H376" i="4"/>
  <c r="F376" i="4"/>
  <c r="M376" i="4" l="1"/>
  <c r="N376" i="4" s="1"/>
  <c r="AH376" i="4"/>
  <c r="AI376" i="4" s="1"/>
  <c r="T376" i="4"/>
  <c r="U376" i="4" s="1"/>
  <c r="AA376" i="4"/>
  <c r="AB376" i="4" s="1"/>
  <c r="AF376" i="4"/>
  <c r="AG376" i="4" s="1"/>
  <c r="Y376" i="4"/>
  <c r="Z376" i="4" s="1"/>
  <c r="K376" i="4"/>
  <c r="L376" i="4" s="1"/>
  <c r="O376" i="4" s="1"/>
  <c r="P376" i="4" s="1"/>
  <c r="Q376" i="4" s="1"/>
  <c r="R376" i="4"/>
  <c r="S376" i="4" s="1"/>
  <c r="V376" i="4" s="1"/>
  <c r="W376" i="4" s="1"/>
  <c r="X376" i="4" s="1"/>
  <c r="AC376" i="4" l="1"/>
  <c r="AD376" i="4" s="1"/>
  <c r="AJ376" i="4"/>
  <c r="AK376" i="4" s="1"/>
  <c r="AL376" i="4" s="1"/>
  <c r="H377" i="4"/>
  <c r="B377" i="4"/>
  <c r="C377" i="4"/>
  <c r="K377" i="4" l="1"/>
  <c r="L377" i="4" s="1"/>
  <c r="AF377" i="4"/>
  <c r="AG377" i="4" s="1"/>
  <c r="Y377" i="4"/>
  <c r="Z377" i="4" s="1"/>
  <c r="AE376" i="4"/>
  <c r="AM376" i="4" s="1"/>
  <c r="D377" i="4"/>
  <c r="I377" i="4"/>
  <c r="G377" i="4"/>
  <c r="F377" i="4"/>
  <c r="E377" i="4"/>
  <c r="J377" i="4"/>
  <c r="AH377" i="4" l="1"/>
  <c r="AI377" i="4" s="1"/>
  <c r="AJ377" i="4" s="1"/>
  <c r="AK377" i="4" s="1"/>
  <c r="AL377" i="4" s="1"/>
  <c r="M377" i="4"/>
  <c r="N377" i="4" s="1"/>
  <c r="O377" i="4" s="1"/>
  <c r="P377" i="4" s="1"/>
  <c r="T377" i="4"/>
  <c r="U377" i="4" s="1"/>
  <c r="AA377" i="4"/>
  <c r="AB377" i="4" s="1"/>
  <c r="AC377" i="4" s="1"/>
  <c r="AD377" i="4" s="1"/>
  <c r="AE377" i="4" s="1"/>
  <c r="R377" i="4"/>
  <c r="S377" i="4" s="1"/>
  <c r="V377" i="4" s="1"/>
  <c r="W377" i="4" s="1"/>
  <c r="X377" i="4" s="1"/>
  <c r="Q377" i="4" l="1"/>
  <c r="AM377" i="4" s="1"/>
  <c r="B378" i="4"/>
  <c r="H378" i="4"/>
  <c r="C378" i="4"/>
  <c r="J378" i="4"/>
  <c r="G378" i="4"/>
  <c r="F378" i="4"/>
  <c r="I378" i="4"/>
  <c r="D378" i="4"/>
  <c r="E378" i="4"/>
  <c r="T378" i="4" l="1"/>
  <c r="U378" i="4" s="1"/>
  <c r="AH378" i="4"/>
  <c r="AI378" i="4" s="1"/>
  <c r="AA378" i="4"/>
  <c r="AB378" i="4" s="1"/>
  <c r="M378" i="4"/>
  <c r="N378" i="4" s="1"/>
  <c r="K378" i="4"/>
  <c r="L378" i="4" s="1"/>
  <c r="AF378" i="4"/>
  <c r="AG378" i="4" s="1"/>
  <c r="AJ378" i="4" s="1"/>
  <c r="AK378" i="4" s="1"/>
  <c r="AL378" i="4" s="1"/>
  <c r="R378" i="4"/>
  <c r="S378" i="4" s="1"/>
  <c r="V378" i="4" s="1"/>
  <c r="W378" i="4" s="1"/>
  <c r="X378" i="4" s="1"/>
  <c r="Y378" i="4"/>
  <c r="Z378" i="4" s="1"/>
  <c r="AC378" i="4" s="1"/>
  <c r="AD378" i="4" s="1"/>
  <c r="AE378" i="4" s="1"/>
  <c r="O378" i="4" l="1"/>
  <c r="P378" i="4" s="1"/>
  <c r="Q378" i="4" l="1"/>
  <c r="AM378" i="4" s="1"/>
  <c r="G379" i="4"/>
  <c r="I379" i="4"/>
  <c r="D379" i="4"/>
  <c r="F379" i="4"/>
  <c r="C379" i="4"/>
  <c r="J379" i="4"/>
  <c r="H379" i="4"/>
  <c r="E379" i="4"/>
  <c r="B379" i="4"/>
  <c r="R379" i="4" l="1"/>
  <c r="S379" i="4" s="1"/>
  <c r="AF379" i="4"/>
  <c r="AG379" i="4" s="1"/>
  <c r="AJ379" i="4" s="1"/>
  <c r="AK379" i="4" s="1"/>
  <c r="AL379" i="4" s="1"/>
  <c r="Y379" i="4"/>
  <c r="Z379" i="4" s="1"/>
  <c r="AC379" i="4" s="1"/>
  <c r="AD379" i="4" s="1"/>
  <c r="AE379" i="4" s="1"/>
  <c r="K379" i="4"/>
  <c r="L379" i="4" s="1"/>
  <c r="O379" i="4" s="1"/>
  <c r="P379" i="4" s="1"/>
  <c r="Q379" i="4" s="1"/>
  <c r="AA379" i="4"/>
  <c r="AB379" i="4" s="1"/>
  <c r="T379" i="4"/>
  <c r="U379" i="4" s="1"/>
  <c r="M379" i="4"/>
  <c r="N379" i="4" s="1"/>
  <c r="AH379" i="4"/>
  <c r="AI379" i="4" s="1"/>
  <c r="V379" i="4" l="1"/>
  <c r="W379" i="4" s="1"/>
  <c r="X379" i="4" s="1"/>
  <c r="AM379" i="4" s="1"/>
  <c r="F380" i="4"/>
  <c r="D380" i="4"/>
  <c r="I380" i="4" l="1"/>
  <c r="G380" i="4"/>
  <c r="B380" i="4"/>
  <c r="J380" i="4"/>
  <c r="E380" i="4"/>
  <c r="C380" i="4"/>
  <c r="H380" i="4"/>
  <c r="AA380" i="4" l="1"/>
  <c r="AB380" i="4" s="1"/>
  <c r="T380" i="4"/>
  <c r="U380" i="4" s="1"/>
  <c r="M380" i="4"/>
  <c r="N380" i="4" s="1"/>
  <c r="AH380" i="4"/>
  <c r="AI380" i="4" s="1"/>
  <c r="AF380" i="4"/>
  <c r="AG380" i="4" s="1"/>
  <c r="R380" i="4"/>
  <c r="S380" i="4" s="1"/>
  <c r="V380" i="4" s="1"/>
  <c r="W380" i="4" s="1"/>
  <c r="X380" i="4" s="1"/>
  <c r="Y380" i="4"/>
  <c r="Z380" i="4" s="1"/>
  <c r="AC380" i="4" s="1"/>
  <c r="AD380" i="4" s="1"/>
  <c r="AE380" i="4" s="1"/>
  <c r="K380" i="4"/>
  <c r="L380" i="4" s="1"/>
  <c r="AJ380" i="4" l="1"/>
  <c r="AK380" i="4" s="1"/>
  <c r="AL380" i="4" s="1"/>
  <c r="O380" i="4"/>
  <c r="P380" i="4" s="1"/>
  <c r="Q380" i="4" l="1"/>
  <c r="AM380" i="4" s="1"/>
  <c r="F381" i="4"/>
  <c r="D381" i="4"/>
  <c r="I381" i="4"/>
  <c r="J381" i="4"/>
  <c r="E381" i="4"/>
  <c r="C381" i="4"/>
  <c r="B381" i="4"/>
  <c r="G381" i="4"/>
  <c r="H381" i="4"/>
  <c r="AH381" i="4" l="1"/>
  <c r="AI381" i="4" s="1"/>
  <c r="AA381" i="4"/>
  <c r="AB381" i="4" s="1"/>
  <c r="M381" i="4"/>
  <c r="N381" i="4" s="1"/>
  <c r="T381" i="4"/>
  <c r="U381" i="4" s="1"/>
  <c r="R381" i="4"/>
  <c r="S381" i="4" s="1"/>
  <c r="Y381" i="4"/>
  <c r="Z381" i="4" s="1"/>
  <c r="K381" i="4"/>
  <c r="L381" i="4" s="1"/>
  <c r="O381" i="4" s="1"/>
  <c r="P381" i="4" s="1"/>
  <c r="Q381" i="4" s="1"/>
  <c r="AF381" i="4"/>
  <c r="AG381" i="4" s="1"/>
  <c r="AJ381" i="4" s="1"/>
  <c r="AK381" i="4" s="1"/>
  <c r="AL381" i="4" s="1"/>
  <c r="V381" i="4" l="1"/>
  <c r="W381" i="4" s="1"/>
  <c r="B382" i="4" s="1"/>
  <c r="AC381" i="4"/>
  <c r="AD381" i="4" s="1"/>
  <c r="AE381" i="4" s="1"/>
  <c r="E382" i="4"/>
  <c r="G382" i="4"/>
  <c r="F382" i="4"/>
  <c r="C382" i="4"/>
  <c r="R382" i="4" l="1"/>
  <c r="S382" i="4" s="1"/>
  <c r="T382" i="4"/>
  <c r="U382" i="4" s="1"/>
  <c r="AA382" i="4"/>
  <c r="AB382" i="4" s="1"/>
  <c r="M382" i="4"/>
  <c r="N382" i="4" s="1"/>
  <c r="AH382" i="4"/>
  <c r="AI382" i="4" s="1"/>
  <c r="X381" i="4"/>
  <c r="AM381" i="4" s="1"/>
  <c r="I382" i="4"/>
  <c r="H382" i="4"/>
  <c r="J382" i="4"/>
  <c r="D382" i="4"/>
  <c r="Y382" i="4" s="1"/>
  <c r="Z382" i="4" s="1"/>
  <c r="AC382" i="4" s="1"/>
  <c r="AD382" i="4" s="1"/>
  <c r="AE382" i="4" s="1"/>
  <c r="V382" i="4" l="1"/>
  <c r="W382" i="4" s="1"/>
  <c r="X382" i="4" s="1"/>
  <c r="K382" i="4"/>
  <c r="L382" i="4" s="1"/>
  <c r="O382" i="4" s="1"/>
  <c r="P382" i="4" s="1"/>
  <c r="AF382" i="4"/>
  <c r="AG382" i="4" s="1"/>
  <c r="AJ382" i="4" s="1"/>
  <c r="AK382" i="4" s="1"/>
  <c r="AL382" i="4" s="1"/>
  <c r="J383" i="4" l="1"/>
  <c r="D383" i="4"/>
  <c r="I383" i="4"/>
  <c r="Q382" i="4"/>
  <c r="AM382" i="4" s="1"/>
  <c r="AP49" i="4" s="1"/>
  <c r="B383" i="4"/>
  <c r="E383" i="4"/>
  <c r="F383" i="4"/>
  <c r="G383" i="4"/>
  <c r="C383" i="4"/>
  <c r="H383" i="4"/>
  <c r="M383" i="4" l="1"/>
  <c r="N383" i="4" s="1"/>
  <c r="AA383" i="4"/>
  <c r="AB383" i="4" s="1"/>
  <c r="AH383" i="4"/>
  <c r="AI383" i="4" s="1"/>
  <c r="T383" i="4"/>
  <c r="U383" i="4" s="1"/>
  <c r="AF383" i="4"/>
  <c r="AG383" i="4" s="1"/>
  <c r="Y383" i="4"/>
  <c r="Z383" i="4" s="1"/>
  <c r="K383" i="4"/>
  <c r="L383" i="4" s="1"/>
  <c r="O383" i="4" s="1"/>
  <c r="P383" i="4" s="1"/>
  <c r="Q383" i="4" s="1"/>
  <c r="R383" i="4"/>
  <c r="S383" i="4" s="1"/>
  <c r="AC383" i="4" l="1"/>
  <c r="AD383" i="4" s="1"/>
  <c r="AE383" i="4" s="1"/>
  <c r="V383" i="4"/>
  <c r="W383" i="4" s="1"/>
  <c r="AJ383" i="4"/>
  <c r="AK383" i="4" s="1"/>
  <c r="AL383" i="4" s="1"/>
  <c r="G384" i="4"/>
  <c r="J384" i="4" l="1"/>
  <c r="X383" i="4"/>
  <c r="AM383" i="4" s="1"/>
  <c r="H384" i="4"/>
  <c r="D384" i="4"/>
  <c r="I384" i="4"/>
  <c r="E384" i="4"/>
  <c r="C384" i="4"/>
  <c r="F384" i="4"/>
  <c r="B384" i="4"/>
  <c r="T384" i="4" l="1"/>
  <c r="U384" i="4" s="1"/>
  <c r="M384" i="4"/>
  <c r="N384" i="4" s="1"/>
  <c r="AH384" i="4"/>
  <c r="AI384" i="4" s="1"/>
  <c r="AA384" i="4"/>
  <c r="AB384" i="4" s="1"/>
  <c r="AF384" i="4"/>
  <c r="AG384" i="4" s="1"/>
  <c r="AJ384" i="4" s="1"/>
  <c r="AK384" i="4" s="1"/>
  <c r="AL384" i="4" s="1"/>
  <c r="K384" i="4"/>
  <c r="L384" i="4" s="1"/>
  <c r="Y384" i="4"/>
  <c r="Z384" i="4" s="1"/>
  <c r="R384" i="4"/>
  <c r="S384" i="4" s="1"/>
  <c r="V384" i="4" s="1"/>
  <c r="W384" i="4" s="1"/>
  <c r="X384" i="4" s="1"/>
  <c r="AC384" i="4" l="1"/>
  <c r="AD384" i="4" s="1"/>
  <c r="AE384" i="4" s="1"/>
  <c r="O384" i="4"/>
  <c r="P384" i="4" s="1"/>
  <c r="Q384" i="4" l="1"/>
  <c r="AM384" i="4" s="1"/>
  <c r="G385" i="4"/>
  <c r="E385" i="4"/>
  <c r="C385" i="4"/>
  <c r="I385" i="4"/>
  <c r="F385" i="4"/>
  <c r="D385" i="4"/>
  <c r="H385" i="4"/>
  <c r="B385" i="4"/>
  <c r="J385" i="4"/>
  <c r="AH385" i="4" l="1"/>
  <c r="AI385" i="4" s="1"/>
  <c r="T385" i="4"/>
  <c r="U385" i="4" s="1"/>
  <c r="AA385" i="4"/>
  <c r="AB385" i="4" s="1"/>
  <c r="M385" i="4"/>
  <c r="N385" i="4" s="1"/>
  <c r="R385" i="4"/>
  <c r="S385" i="4" s="1"/>
  <c r="K385" i="4"/>
  <c r="L385" i="4" s="1"/>
  <c r="O385" i="4" s="1"/>
  <c r="P385" i="4" s="1"/>
  <c r="Q385" i="4" s="1"/>
  <c r="AF385" i="4"/>
  <c r="AG385" i="4" s="1"/>
  <c r="AJ385" i="4" s="1"/>
  <c r="AK385" i="4" s="1"/>
  <c r="AL385" i="4" s="1"/>
  <c r="Y385" i="4"/>
  <c r="Z385" i="4" s="1"/>
  <c r="AC385" i="4" s="1"/>
  <c r="AD385" i="4" s="1"/>
  <c r="AE385" i="4" s="1"/>
  <c r="V385" i="4" l="1"/>
  <c r="W385" i="4" s="1"/>
  <c r="C386" i="4" s="1"/>
  <c r="G386" i="4"/>
  <c r="I386" i="4"/>
  <c r="J386" i="4"/>
  <c r="H386" i="4"/>
  <c r="F386" i="4"/>
  <c r="D386" i="4"/>
  <c r="X385" i="4" l="1"/>
  <c r="AM385" i="4" s="1"/>
  <c r="E386" i="4"/>
  <c r="B386" i="4"/>
  <c r="R386" i="4" l="1"/>
  <c r="S386" i="4" s="1"/>
  <c r="AF386" i="4"/>
  <c r="AG386" i="4" s="1"/>
  <c r="AJ386" i="4" s="1"/>
  <c r="AK386" i="4" s="1"/>
  <c r="AL386" i="4" s="1"/>
  <c r="Y386" i="4"/>
  <c r="Z386" i="4" s="1"/>
  <c r="K386" i="4"/>
  <c r="L386" i="4" s="1"/>
  <c r="T386" i="4"/>
  <c r="U386" i="4" s="1"/>
  <c r="AA386" i="4"/>
  <c r="AB386" i="4" s="1"/>
  <c r="M386" i="4"/>
  <c r="N386" i="4" s="1"/>
  <c r="AH386" i="4"/>
  <c r="AI386" i="4" s="1"/>
  <c r="O386" i="4" l="1"/>
  <c r="P386" i="4" s="1"/>
  <c r="AC386" i="4"/>
  <c r="AD386" i="4" s="1"/>
  <c r="AE386" i="4" s="1"/>
  <c r="V386" i="4"/>
  <c r="W386" i="4" s="1"/>
  <c r="X386" i="4" s="1"/>
  <c r="Q386" i="4" l="1"/>
  <c r="AM386" i="4" s="1"/>
  <c r="C387" i="4"/>
  <c r="G387" i="4"/>
  <c r="F387" i="4"/>
  <c r="J387" i="4"/>
  <c r="I387" i="4"/>
  <c r="H387" i="4"/>
  <c r="D387" i="4"/>
  <c r="E387" i="4"/>
  <c r="B387" i="4"/>
  <c r="Y387" i="4" l="1"/>
  <c r="Z387" i="4" s="1"/>
  <c r="K387" i="4"/>
  <c r="L387" i="4" s="1"/>
  <c r="O387" i="4" s="1"/>
  <c r="P387" i="4" s="1"/>
  <c r="Q387" i="4" s="1"/>
  <c r="AF387" i="4"/>
  <c r="AG387" i="4" s="1"/>
  <c r="R387" i="4"/>
  <c r="S387" i="4" s="1"/>
  <c r="AH387" i="4"/>
  <c r="AI387" i="4" s="1"/>
  <c r="T387" i="4"/>
  <c r="U387" i="4" s="1"/>
  <c r="AA387" i="4"/>
  <c r="AB387" i="4" s="1"/>
  <c r="M387" i="4"/>
  <c r="N387" i="4" s="1"/>
  <c r="AC387" i="4" l="1"/>
  <c r="AD387" i="4" s="1"/>
  <c r="AE387" i="4" s="1"/>
  <c r="V387" i="4"/>
  <c r="W387" i="4" s="1"/>
  <c r="X387" i="4" s="1"/>
  <c r="AM387" i="4" s="1"/>
  <c r="AJ387" i="4"/>
  <c r="AK387" i="4" s="1"/>
  <c r="AL387" i="4" s="1"/>
  <c r="D388" i="4" l="1"/>
  <c r="C388" i="4"/>
  <c r="H388" i="4"/>
  <c r="J388" i="4"/>
  <c r="B388" i="4"/>
  <c r="E388" i="4"/>
  <c r="I388" i="4"/>
  <c r="F388" i="4"/>
  <c r="G388" i="4"/>
  <c r="AH388" i="4" l="1"/>
  <c r="AI388" i="4" s="1"/>
  <c r="M388" i="4"/>
  <c r="N388" i="4" s="1"/>
  <c r="AA388" i="4"/>
  <c r="AB388" i="4" s="1"/>
  <c r="T388" i="4"/>
  <c r="U388" i="4" s="1"/>
  <c r="AF388" i="4"/>
  <c r="AG388" i="4" s="1"/>
  <c r="Y388" i="4"/>
  <c r="Z388" i="4" s="1"/>
  <c r="AC388" i="4" s="1"/>
  <c r="AD388" i="4" s="1"/>
  <c r="AE388" i="4" s="1"/>
  <c r="K388" i="4"/>
  <c r="L388" i="4" s="1"/>
  <c r="R388" i="4"/>
  <c r="S388" i="4" s="1"/>
  <c r="V388" i="4" s="1"/>
  <c r="W388" i="4" s="1"/>
  <c r="X388" i="4" s="1"/>
  <c r="O388" i="4" l="1"/>
  <c r="P388" i="4" s="1"/>
  <c r="AJ388" i="4"/>
  <c r="AK388" i="4" s="1"/>
  <c r="AL388" i="4" s="1"/>
  <c r="Q388" i="4" l="1"/>
  <c r="AM388" i="4" s="1"/>
  <c r="F389" i="4"/>
  <c r="D389" i="4"/>
  <c r="I389" i="4"/>
  <c r="E389" i="4"/>
  <c r="J389" i="4"/>
  <c r="H389" i="4"/>
  <c r="C389" i="4"/>
  <c r="B389" i="4"/>
  <c r="G389" i="4"/>
  <c r="AH389" i="4" l="1"/>
  <c r="AI389" i="4" s="1"/>
  <c r="M389" i="4"/>
  <c r="N389" i="4" s="1"/>
  <c r="AA389" i="4"/>
  <c r="AB389" i="4" s="1"/>
  <c r="T389" i="4"/>
  <c r="U389" i="4" s="1"/>
  <c r="R389" i="4"/>
  <c r="S389" i="4" s="1"/>
  <c r="V389" i="4" s="1"/>
  <c r="W389" i="4" s="1"/>
  <c r="X389" i="4" s="1"/>
  <c r="AF389" i="4"/>
  <c r="AG389" i="4" s="1"/>
  <c r="Y389" i="4"/>
  <c r="Z389" i="4" s="1"/>
  <c r="AC389" i="4" s="1"/>
  <c r="AD389" i="4" s="1"/>
  <c r="AE389" i="4" s="1"/>
  <c r="K389" i="4"/>
  <c r="L389" i="4" s="1"/>
  <c r="AJ389" i="4" l="1"/>
  <c r="AK389" i="4" s="1"/>
  <c r="AL389" i="4" s="1"/>
  <c r="O389" i="4"/>
  <c r="P389" i="4" s="1"/>
  <c r="Q389" i="4" l="1"/>
  <c r="AM389" i="4" s="1"/>
  <c r="C390" i="4"/>
  <c r="D390" i="4"/>
  <c r="F390" i="4"/>
  <c r="J390" i="4"/>
  <c r="H390" i="4"/>
  <c r="I390" i="4"/>
  <c r="G390" i="4"/>
  <c r="B390" i="4"/>
  <c r="E390" i="4"/>
  <c r="T390" i="4" l="1"/>
  <c r="U390" i="4" s="1"/>
  <c r="M390" i="4"/>
  <c r="N390" i="4" s="1"/>
  <c r="AH390" i="4"/>
  <c r="AI390" i="4" s="1"/>
  <c r="AA390" i="4"/>
  <c r="AB390" i="4" s="1"/>
  <c r="K390" i="4"/>
  <c r="L390" i="4" s="1"/>
  <c r="O390" i="4" s="1"/>
  <c r="P390" i="4" s="1"/>
  <c r="Q390" i="4" s="1"/>
  <c r="Y390" i="4"/>
  <c r="Z390" i="4" s="1"/>
  <c r="AC390" i="4" s="1"/>
  <c r="AD390" i="4" s="1"/>
  <c r="AE390" i="4" s="1"/>
  <c r="R390" i="4"/>
  <c r="S390" i="4" s="1"/>
  <c r="V390" i="4" s="1"/>
  <c r="W390" i="4" s="1"/>
  <c r="X390" i="4" s="1"/>
  <c r="AF390" i="4"/>
  <c r="AG390" i="4" s="1"/>
  <c r="E391" i="4" l="1"/>
  <c r="B391" i="4"/>
  <c r="D391" i="4"/>
  <c r="F391" i="4"/>
  <c r="J391" i="4"/>
  <c r="G391" i="4"/>
  <c r="I391" i="4"/>
  <c r="AJ390" i="4"/>
  <c r="AK390" i="4" s="1"/>
  <c r="AL390" i="4" s="1"/>
  <c r="AM390" i="4" s="1"/>
  <c r="C391" i="4"/>
  <c r="H391" i="4"/>
  <c r="K391" i="4" l="1"/>
  <c r="L391" i="4" s="1"/>
  <c r="O391" i="4" s="1"/>
  <c r="P391" i="4" s="1"/>
  <c r="Q391" i="4" s="1"/>
  <c r="R391" i="4"/>
  <c r="S391" i="4" s="1"/>
  <c r="AF391" i="4"/>
  <c r="AG391" i="4" s="1"/>
  <c r="AJ391" i="4" s="1"/>
  <c r="AK391" i="4" s="1"/>
  <c r="AL391" i="4" s="1"/>
  <c r="Y391" i="4"/>
  <c r="Z391" i="4" s="1"/>
  <c r="AC391" i="4" s="1"/>
  <c r="AD391" i="4" s="1"/>
  <c r="AE391" i="4" s="1"/>
  <c r="T391" i="4"/>
  <c r="U391" i="4" s="1"/>
  <c r="AH391" i="4"/>
  <c r="AI391" i="4" s="1"/>
  <c r="AA391" i="4"/>
  <c r="AB391" i="4" s="1"/>
  <c r="M391" i="4"/>
  <c r="N391" i="4" s="1"/>
  <c r="V391" i="4" l="1"/>
  <c r="W391" i="4" s="1"/>
  <c r="C392" i="4"/>
  <c r="F392" i="4"/>
  <c r="J392" i="4"/>
  <c r="I392" i="4"/>
  <c r="X391" i="4" l="1"/>
  <c r="AM391" i="4" s="1"/>
  <c r="E392" i="4"/>
  <c r="B392" i="4"/>
  <c r="D392" i="4"/>
  <c r="G392" i="4"/>
  <c r="H392" i="4"/>
  <c r="AF392" i="4" l="1"/>
  <c r="AG392" i="4" s="1"/>
  <c r="AJ392" i="4" s="1"/>
  <c r="AK392" i="4" s="1"/>
  <c r="AL392" i="4" s="1"/>
  <c r="R392" i="4"/>
  <c r="S392" i="4" s="1"/>
  <c r="V392" i="4" s="1"/>
  <c r="W392" i="4" s="1"/>
  <c r="X392" i="4" s="1"/>
  <c r="Y392" i="4"/>
  <c r="Z392" i="4" s="1"/>
  <c r="K392" i="4"/>
  <c r="L392" i="4" s="1"/>
  <c r="AA392" i="4"/>
  <c r="AB392" i="4" s="1"/>
  <c r="M392" i="4"/>
  <c r="N392" i="4" s="1"/>
  <c r="AH392" i="4"/>
  <c r="AI392" i="4" s="1"/>
  <c r="T392" i="4"/>
  <c r="U392" i="4" s="1"/>
  <c r="O392" i="4" l="1"/>
  <c r="P392" i="4" s="1"/>
  <c r="AC392" i="4"/>
  <c r="AD392" i="4" s="1"/>
  <c r="AE392" i="4" s="1"/>
  <c r="Q392" i="4" l="1"/>
  <c r="AM392" i="4" s="1"/>
  <c r="AP50" i="4" s="1"/>
  <c r="F393" i="4"/>
  <c r="C393" i="4"/>
  <c r="I393" i="4"/>
  <c r="J393" i="4"/>
  <c r="D393" i="4"/>
  <c r="B393" i="4"/>
  <c r="E393" i="4"/>
  <c r="H393" i="4"/>
  <c r="G393" i="4"/>
  <c r="AH393" i="4" l="1"/>
  <c r="AI393" i="4" s="1"/>
  <c r="AA393" i="4"/>
  <c r="AB393" i="4" s="1"/>
  <c r="M393" i="4"/>
  <c r="N393" i="4" s="1"/>
  <c r="T393" i="4"/>
  <c r="U393" i="4" s="1"/>
  <c r="R393" i="4"/>
  <c r="S393" i="4" s="1"/>
  <c r="Y393" i="4"/>
  <c r="Z393" i="4" s="1"/>
  <c r="AC393" i="4" s="1"/>
  <c r="AD393" i="4" s="1"/>
  <c r="AE393" i="4" s="1"/>
  <c r="K393" i="4"/>
  <c r="L393" i="4" s="1"/>
  <c r="O393" i="4" s="1"/>
  <c r="P393" i="4" s="1"/>
  <c r="Q393" i="4" s="1"/>
  <c r="AF393" i="4"/>
  <c r="AG393" i="4" s="1"/>
  <c r="AJ393" i="4" s="1"/>
  <c r="AK393" i="4" s="1"/>
  <c r="AL393" i="4" s="1"/>
  <c r="V393" i="4" l="1"/>
  <c r="W393" i="4" s="1"/>
  <c r="B394" i="4" s="1"/>
  <c r="H394" i="4" l="1"/>
  <c r="X393" i="4"/>
  <c r="AM393" i="4" s="1"/>
  <c r="D394" i="4"/>
  <c r="J394" i="4"/>
  <c r="C394" i="4"/>
  <c r="R394" i="4" s="1"/>
  <c r="S394" i="4" s="1"/>
  <c r="F394" i="4"/>
  <c r="G394" i="4"/>
  <c r="I394" i="4"/>
  <c r="E394" i="4"/>
  <c r="T394" i="4" l="1"/>
  <c r="U394" i="4" s="1"/>
  <c r="V394" i="4" s="1"/>
  <c r="W394" i="4" s="1"/>
  <c r="X394" i="4" s="1"/>
  <c r="AH394" i="4"/>
  <c r="AI394" i="4" s="1"/>
  <c r="AA394" i="4"/>
  <c r="AB394" i="4" s="1"/>
  <c r="M394" i="4"/>
  <c r="N394" i="4" s="1"/>
  <c r="K394" i="4"/>
  <c r="L394" i="4" s="1"/>
  <c r="AF394" i="4"/>
  <c r="AG394" i="4" s="1"/>
  <c r="AJ394" i="4" s="1"/>
  <c r="AK394" i="4" s="1"/>
  <c r="AL394" i="4" s="1"/>
  <c r="Y394" i="4"/>
  <c r="Z394" i="4" s="1"/>
  <c r="AC394" i="4" s="1"/>
  <c r="AD394" i="4" s="1"/>
  <c r="AE394" i="4" s="1"/>
  <c r="O394" i="4" l="1"/>
  <c r="P394" i="4" s="1"/>
  <c r="Q394" i="4" l="1"/>
  <c r="AM394" i="4" s="1"/>
  <c r="B395" i="4"/>
  <c r="I395" i="4"/>
  <c r="G395" i="4"/>
  <c r="C395" i="4"/>
  <c r="D395" i="4"/>
  <c r="F395" i="4"/>
  <c r="E395" i="4"/>
  <c r="J395" i="4"/>
  <c r="H395" i="4"/>
  <c r="M395" i="4" l="1"/>
  <c r="N395" i="4" s="1"/>
  <c r="AA395" i="4"/>
  <c r="AB395" i="4" s="1"/>
  <c r="T395" i="4"/>
  <c r="U395" i="4" s="1"/>
  <c r="AH395" i="4"/>
  <c r="AI395" i="4" s="1"/>
  <c r="AF395" i="4"/>
  <c r="AG395" i="4" s="1"/>
  <c r="R395" i="4"/>
  <c r="S395" i="4" s="1"/>
  <c r="V395" i="4" s="1"/>
  <c r="W395" i="4" s="1"/>
  <c r="X395" i="4" s="1"/>
  <c r="K395" i="4"/>
  <c r="L395" i="4" s="1"/>
  <c r="O395" i="4" s="1"/>
  <c r="P395" i="4" s="1"/>
  <c r="Q395" i="4" s="1"/>
  <c r="Y395" i="4"/>
  <c r="Z395" i="4" s="1"/>
  <c r="AC395" i="4" s="1"/>
  <c r="AD395" i="4" s="1"/>
  <c r="AE395" i="4" s="1"/>
  <c r="AJ395" i="4" l="1"/>
  <c r="AK395" i="4" s="1"/>
  <c r="AL395" i="4" s="1"/>
  <c r="AM395" i="4" s="1"/>
  <c r="H396" i="4"/>
  <c r="E396" i="4"/>
  <c r="AA396" i="4" l="1"/>
  <c r="AB396" i="4" s="1"/>
  <c r="T396" i="4"/>
  <c r="U396" i="4" s="1"/>
  <c r="C396" i="4"/>
  <c r="B396" i="4"/>
  <c r="G396" i="4"/>
  <c r="J396" i="4"/>
  <c r="F396" i="4"/>
  <c r="I396" i="4"/>
  <c r="D396" i="4"/>
  <c r="AH396" i="4" l="1"/>
  <c r="AI396" i="4" s="1"/>
  <c r="M396" i="4"/>
  <c r="N396" i="4" s="1"/>
  <c r="AF396" i="4"/>
  <c r="AG396" i="4" s="1"/>
  <c r="AJ396" i="4" s="1"/>
  <c r="AK396" i="4" s="1"/>
  <c r="AL396" i="4" s="1"/>
  <c r="R396" i="4"/>
  <c r="S396" i="4" s="1"/>
  <c r="V396" i="4" s="1"/>
  <c r="W396" i="4" s="1"/>
  <c r="X396" i="4" s="1"/>
  <c r="K396" i="4"/>
  <c r="L396" i="4" s="1"/>
  <c r="Y396" i="4"/>
  <c r="Z396" i="4" s="1"/>
  <c r="AC396" i="4" s="1"/>
  <c r="AD396" i="4" s="1"/>
  <c r="AE396" i="4" s="1"/>
  <c r="O396" i="4" l="1"/>
  <c r="P396" i="4" s="1"/>
  <c r="Q396" i="4" l="1"/>
  <c r="AM396" i="4" s="1"/>
  <c r="H397" i="4"/>
  <c r="E397" i="4"/>
  <c r="C397" i="4"/>
  <c r="F397" i="4"/>
  <c r="D397" i="4"/>
  <c r="J397" i="4"/>
  <c r="I397" i="4"/>
  <c r="G397" i="4"/>
  <c r="B397" i="4"/>
  <c r="AH397" i="4" l="1"/>
  <c r="AI397" i="4" s="1"/>
  <c r="T397" i="4"/>
  <c r="U397" i="4" s="1"/>
  <c r="M397" i="4"/>
  <c r="N397" i="4" s="1"/>
  <c r="AA397" i="4"/>
  <c r="AB397" i="4" s="1"/>
  <c r="R397" i="4"/>
  <c r="S397" i="4" s="1"/>
  <c r="K397" i="4"/>
  <c r="L397" i="4" s="1"/>
  <c r="Y397" i="4"/>
  <c r="Z397" i="4" s="1"/>
  <c r="AF397" i="4"/>
  <c r="AG397" i="4" s="1"/>
  <c r="AJ397" i="4" s="1"/>
  <c r="AK397" i="4" s="1"/>
  <c r="AL397" i="4" s="1"/>
  <c r="AC397" i="4" l="1"/>
  <c r="AD397" i="4" s="1"/>
  <c r="AE397" i="4" s="1"/>
  <c r="O397" i="4"/>
  <c r="P397" i="4" s="1"/>
  <c r="V397" i="4"/>
  <c r="W397" i="4" s="1"/>
  <c r="X397" i="4" s="1"/>
  <c r="Q397" i="4" l="1"/>
  <c r="AM397" i="4" s="1"/>
  <c r="D398" i="4"/>
  <c r="H398" i="4"/>
  <c r="G398" i="4"/>
  <c r="J398" i="4"/>
  <c r="I398" i="4"/>
  <c r="C398" i="4"/>
  <c r="F398" i="4"/>
  <c r="E398" i="4"/>
  <c r="B398" i="4"/>
  <c r="R398" i="4" l="1"/>
  <c r="S398" i="4" s="1"/>
  <c r="AF398" i="4"/>
  <c r="AG398" i="4" s="1"/>
  <c r="AJ398" i="4" s="1"/>
  <c r="AK398" i="4" s="1"/>
  <c r="AL398" i="4" s="1"/>
  <c r="Y398" i="4"/>
  <c r="Z398" i="4" s="1"/>
  <c r="AC398" i="4" s="1"/>
  <c r="AD398" i="4" s="1"/>
  <c r="AE398" i="4" s="1"/>
  <c r="K398" i="4"/>
  <c r="L398" i="4" s="1"/>
  <c r="T398" i="4"/>
  <c r="U398" i="4" s="1"/>
  <c r="AA398" i="4"/>
  <c r="AB398" i="4" s="1"/>
  <c r="M398" i="4"/>
  <c r="N398" i="4" s="1"/>
  <c r="AH398" i="4"/>
  <c r="AI398" i="4" s="1"/>
  <c r="V398" i="4" l="1"/>
  <c r="W398" i="4" s="1"/>
  <c r="X398" i="4" s="1"/>
  <c r="O398" i="4"/>
  <c r="P398" i="4" s="1"/>
  <c r="Q398" i="4" l="1"/>
  <c r="AM398" i="4" s="1"/>
  <c r="C399" i="4"/>
  <c r="J399" i="4"/>
  <c r="I399" i="4"/>
  <c r="F399" i="4"/>
  <c r="H399" i="4"/>
  <c r="D399" i="4"/>
  <c r="B399" i="4"/>
  <c r="E399" i="4"/>
  <c r="G399" i="4"/>
  <c r="R399" i="4" l="1"/>
  <c r="S399" i="4" s="1"/>
  <c r="AF399" i="4"/>
  <c r="AG399" i="4" s="1"/>
  <c r="Y399" i="4"/>
  <c r="Z399" i="4" s="1"/>
  <c r="K399" i="4"/>
  <c r="L399" i="4" s="1"/>
  <c r="O399" i="4" s="1"/>
  <c r="P399" i="4" s="1"/>
  <c r="Q399" i="4" s="1"/>
  <c r="AA399" i="4"/>
  <c r="AB399" i="4" s="1"/>
  <c r="AH399" i="4"/>
  <c r="AI399" i="4" s="1"/>
  <c r="T399" i="4"/>
  <c r="U399" i="4" s="1"/>
  <c r="M399" i="4"/>
  <c r="N399" i="4" s="1"/>
  <c r="AC399" i="4" l="1"/>
  <c r="AD399" i="4" s="1"/>
  <c r="AE399" i="4" s="1"/>
  <c r="AJ399" i="4"/>
  <c r="AK399" i="4" s="1"/>
  <c r="AL399" i="4" s="1"/>
  <c r="C400" i="4"/>
  <c r="B400" i="4"/>
  <c r="J400" i="4"/>
  <c r="V399" i="4"/>
  <c r="W399" i="4" s="1"/>
  <c r="I400" i="4" l="1"/>
  <c r="G400" i="4"/>
  <c r="X399" i="4"/>
  <c r="AM399" i="4" s="1"/>
  <c r="H400" i="4"/>
  <c r="E400" i="4"/>
  <c r="D400" i="4"/>
  <c r="R400" i="4" s="1"/>
  <c r="S400" i="4" s="1"/>
  <c r="F400" i="4"/>
  <c r="K400" i="4" l="1"/>
  <c r="L400" i="4" s="1"/>
  <c r="O400" i="4" s="1"/>
  <c r="P400" i="4" s="1"/>
  <c r="AH400" i="4"/>
  <c r="AI400" i="4" s="1"/>
  <c r="T400" i="4"/>
  <c r="U400" i="4" s="1"/>
  <c r="V400" i="4" s="1"/>
  <c r="W400" i="4" s="1"/>
  <c r="M400" i="4"/>
  <c r="N400" i="4" s="1"/>
  <c r="AA400" i="4"/>
  <c r="AB400" i="4" s="1"/>
  <c r="Y400" i="4"/>
  <c r="Z400" i="4" s="1"/>
  <c r="AC400" i="4" s="1"/>
  <c r="AD400" i="4" s="1"/>
  <c r="AE400" i="4" s="1"/>
  <c r="AF400" i="4"/>
  <c r="AG400" i="4" s="1"/>
  <c r="X400" i="4" l="1"/>
  <c r="AJ400" i="4"/>
  <c r="AK400" i="4" s="1"/>
  <c r="AL400" i="4" s="1"/>
  <c r="Q400" i="4"/>
  <c r="AM400" i="4" s="1"/>
  <c r="J401" i="4"/>
  <c r="B401" i="4"/>
  <c r="C401" i="4"/>
  <c r="I401" i="4"/>
  <c r="R401" i="4" l="1"/>
  <c r="S401" i="4" s="1"/>
  <c r="Y401" i="4"/>
  <c r="Z401" i="4" s="1"/>
  <c r="K401" i="4"/>
  <c r="L401" i="4" s="1"/>
  <c r="F401" i="4"/>
  <c r="G401" i="4"/>
  <c r="D401" i="4"/>
  <c r="E401" i="4"/>
  <c r="H401" i="4"/>
  <c r="AH401" i="4" l="1"/>
  <c r="AI401" i="4" s="1"/>
  <c r="T401" i="4"/>
  <c r="U401" i="4" s="1"/>
  <c r="V401" i="4" s="1"/>
  <c r="W401" i="4" s="1"/>
  <c r="X401" i="4" s="1"/>
  <c r="M401" i="4"/>
  <c r="N401" i="4" s="1"/>
  <c r="O401" i="4" s="1"/>
  <c r="P401" i="4" s="1"/>
  <c r="AA401" i="4"/>
  <c r="AB401" i="4" s="1"/>
  <c r="AC401" i="4" s="1"/>
  <c r="AD401" i="4" s="1"/>
  <c r="AE401" i="4" s="1"/>
  <c r="AF401" i="4"/>
  <c r="AG401" i="4" s="1"/>
  <c r="AJ401" i="4" s="1"/>
  <c r="AK401" i="4" s="1"/>
  <c r="AL401" i="4" s="1"/>
  <c r="Q401" i="4" l="1"/>
  <c r="AM401" i="4" s="1"/>
  <c r="C402" i="4"/>
  <c r="B402" i="4"/>
  <c r="J402" i="4"/>
  <c r="I402" i="4"/>
  <c r="H402" i="4"/>
  <c r="E402" i="4"/>
  <c r="G402" i="4"/>
  <c r="F402" i="4"/>
  <c r="D402" i="4"/>
  <c r="T402" i="4" l="1"/>
  <c r="U402" i="4" s="1"/>
  <c r="M402" i="4"/>
  <c r="N402" i="4" s="1"/>
  <c r="AH402" i="4"/>
  <c r="AI402" i="4" s="1"/>
  <c r="AA402" i="4"/>
  <c r="AB402" i="4" s="1"/>
  <c r="AF402" i="4"/>
  <c r="AG402" i="4" s="1"/>
  <c r="AJ402" i="4" s="1"/>
  <c r="AK402" i="4" s="1"/>
  <c r="AL402" i="4" s="1"/>
  <c r="Y402" i="4"/>
  <c r="Z402" i="4" s="1"/>
  <c r="R402" i="4"/>
  <c r="S402" i="4" s="1"/>
  <c r="V402" i="4" s="1"/>
  <c r="W402" i="4" s="1"/>
  <c r="X402" i="4" s="1"/>
  <c r="K402" i="4"/>
  <c r="L402" i="4" s="1"/>
  <c r="O402" i="4" s="1"/>
  <c r="P402" i="4" s="1"/>
  <c r="Q402" i="4" s="1"/>
  <c r="AC402" i="4" l="1"/>
  <c r="AD402" i="4" s="1"/>
  <c r="F403" i="4" s="1"/>
  <c r="AE402" i="4" l="1"/>
  <c r="AM402" i="4" s="1"/>
  <c r="AP51" i="4" s="1"/>
  <c r="E403" i="4"/>
  <c r="G403" i="4"/>
  <c r="I403" i="4"/>
  <c r="J403" i="4"/>
  <c r="C403" i="4"/>
  <c r="H403" i="4"/>
  <c r="D403" i="4"/>
  <c r="B403" i="4"/>
  <c r="T403" i="4" l="1"/>
  <c r="U403" i="4" s="1"/>
  <c r="AH403" i="4"/>
  <c r="AI403" i="4" s="1"/>
  <c r="AA403" i="4"/>
  <c r="AB403" i="4" s="1"/>
  <c r="M403" i="4"/>
  <c r="N403" i="4" s="1"/>
  <c r="K403" i="4"/>
  <c r="L403" i="4" s="1"/>
  <c r="Y403" i="4"/>
  <c r="Z403" i="4" s="1"/>
  <c r="AF403" i="4"/>
  <c r="AG403" i="4" s="1"/>
  <c r="AJ403" i="4" s="1"/>
  <c r="AK403" i="4" s="1"/>
  <c r="AL403" i="4" s="1"/>
  <c r="R403" i="4"/>
  <c r="S403" i="4" s="1"/>
  <c r="V403" i="4" s="1"/>
  <c r="W403" i="4" s="1"/>
  <c r="X403" i="4" s="1"/>
  <c r="AC403" i="4" l="1"/>
  <c r="AD403" i="4" s="1"/>
  <c r="AE403" i="4" s="1"/>
  <c r="O403" i="4"/>
  <c r="P403" i="4" s="1"/>
  <c r="Q403" i="4" l="1"/>
  <c r="AM403" i="4" s="1"/>
  <c r="F404" i="4"/>
  <c r="J404" i="4"/>
  <c r="B404" i="4"/>
  <c r="E404" i="4"/>
  <c r="H404" i="4"/>
  <c r="G404" i="4"/>
  <c r="D404" i="4"/>
  <c r="C404" i="4"/>
  <c r="I404" i="4"/>
  <c r="T404" i="4" l="1"/>
  <c r="U404" i="4" s="1"/>
  <c r="AH404" i="4"/>
  <c r="AI404" i="4" s="1"/>
  <c r="M404" i="4"/>
  <c r="N404" i="4" s="1"/>
  <c r="AA404" i="4"/>
  <c r="AB404" i="4" s="1"/>
  <c r="AF404" i="4"/>
  <c r="AG404" i="4" s="1"/>
  <c r="K404" i="4"/>
  <c r="L404" i="4" s="1"/>
  <c r="Y404" i="4"/>
  <c r="Z404" i="4" s="1"/>
  <c r="R404" i="4"/>
  <c r="S404" i="4" s="1"/>
  <c r="V404" i="4" s="1"/>
  <c r="W404" i="4" s="1"/>
  <c r="X404" i="4" s="1"/>
  <c r="AC404" i="4" l="1"/>
  <c r="AD404" i="4" s="1"/>
  <c r="AE404" i="4" s="1"/>
  <c r="O404" i="4"/>
  <c r="P404" i="4" s="1"/>
  <c r="AJ404" i="4"/>
  <c r="AK404" i="4" s="1"/>
  <c r="AL404" i="4" s="1"/>
  <c r="Q404" i="4" l="1"/>
  <c r="AM404" i="4" s="1"/>
  <c r="G405" i="4"/>
  <c r="C405" i="4"/>
  <c r="H405" i="4"/>
  <c r="E405" i="4"/>
  <c r="F405" i="4"/>
  <c r="D405" i="4"/>
  <c r="J405" i="4"/>
  <c r="B405" i="4"/>
  <c r="I405" i="4"/>
  <c r="AH405" i="4" l="1"/>
  <c r="AI405" i="4" s="1"/>
  <c r="AA405" i="4"/>
  <c r="AB405" i="4" s="1"/>
  <c r="T405" i="4"/>
  <c r="U405" i="4" s="1"/>
  <c r="M405" i="4"/>
  <c r="N405" i="4" s="1"/>
  <c r="R405" i="4"/>
  <c r="S405" i="4" s="1"/>
  <c r="Y405" i="4"/>
  <c r="Z405" i="4" s="1"/>
  <c r="AF405" i="4"/>
  <c r="AG405" i="4" s="1"/>
  <c r="AJ405" i="4" s="1"/>
  <c r="AK405" i="4" s="1"/>
  <c r="AL405" i="4" s="1"/>
  <c r="K405" i="4"/>
  <c r="L405" i="4" s="1"/>
  <c r="O405" i="4" s="1"/>
  <c r="P405" i="4" s="1"/>
  <c r="Q405" i="4" s="1"/>
  <c r="AC405" i="4" l="1"/>
  <c r="AD405" i="4" s="1"/>
  <c r="AE405" i="4" s="1"/>
  <c r="V405" i="4"/>
  <c r="W405" i="4" s="1"/>
  <c r="J406" i="4"/>
  <c r="X405" i="4" l="1"/>
  <c r="AM405" i="4" s="1"/>
  <c r="F406" i="4"/>
  <c r="E406" i="4"/>
  <c r="C406" i="4"/>
  <c r="H406" i="4"/>
  <c r="G406" i="4"/>
  <c r="I406" i="4"/>
  <c r="D406" i="4"/>
  <c r="B406" i="4"/>
  <c r="T406" i="4" l="1"/>
  <c r="U406" i="4" s="1"/>
  <c r="AA406" i="4"/>
  <c r="AB406" i="4" s="1"/>
  <c r="AH406" i="4"/>
  <c r="AI406" i="4" s="1"/>
  <c r="M406" i="4"/>
  <c r="N406" i="4" s="1"/>
  <c r="K406" i="4"/>
  <c r="L406" i="4" s="1"/>
  <c r="O406" i="4" s="1"/>
  <c r="P406" i="4" s="1"/>
  <c r="R406" i="4"/>
  <c r="S406" i="4" s="1"/>
  <c r="AF406" i="4"/>
  <c r="AG406" i="4" s="1"/>
  <c r="AJ406" i="4" s="1"/>
  <c r="AK406" i="4" s="1"/>
  <c r="AL406" i="4" s="1"/>
  <c r="Y406" i="4"/>
  <c r="Z406" i="4" s="1"/>
  <c r="AC406" i="4" l="1"/>
  <c r="AD406" i="4" s="1"/>
  <c r="AE406" i="4" s="1"/>
  <c r="V406" i="4"/>
  <c r="W406" i="4" s="1"/>
  <c r="Q406" i="4"/>
  <c r="J407" i="4"/>
  <c r="C407" i="4"/>
  <c r="I407" i="4"/>
  <c r="G407" i="4"/>
  <c r="X406" i="4" l="1"/>
  <c r="AM406" i="4" s="1"/>
  <c r="B407" i="4"/>
  <c r="E407" i="4"/>
  <c r="F407" i="4"/>
  <c r="D407" i="4"/>
  <c r="H407" i="4"/>
  <c r="M407" i="4" l="1"/>
  <c r="N407" i="4" s="1"/>
  <c r="AH407" i="4"/>
  <c r="AI407" i="4" s="1"/>
  <c r="AA407" i="4"/>
  <c r="AB407" i="4" s="1"/>
  <c r="T407" i="4"/>
  <c r="U407" i="4" s="1"/>
  <c r="Y407" i="4"/>
  <c r="Z407" i="4" s="1"/>
  <c r="AC407" i="4" s="1"/>
  <c r="AD407" i="4" s="1"/>
  <c r="AE407" i="4" s="1"/>
  <c r="R407" i="4"/>
  <c r="S407" i="4" s="1"/>
  <c r="K407" i="4"/>
  <c r="L407" i="4" s="1"/>
  <c r="O407" i="4" s="1"/>
  <c r="P407" i="4" s="1"/>
  <c r="AF407" i="4"/>
  <c r="AG407" i="4" s="1"/>
  <c r="AJ407" i="4" l="1"/>
  <c r="AK407" i="4" s="1"/>
  <c r="AL407" i="4" s="1"/>
  <c r="Q407" i="4"/>
  <c r="V407" i="4"/>
  <c r="W407" i="4" s="1"/>
  <c r="G408" i="4" s="1"/>
  <c r="H408" i="4"/>
  <c r="C408" i="4" l="1"/>
  <c r="J408" i="4"/>
  <c r="X407" i="4"/>
  <c r="AM407" i="4" s="1"/>
  <c r="E408" i="4"/>
  <c r="F408" i="4"/>
  <c r="D408" i="4"/>
  <c r="B408" i="4"/>
  <c r="I408" i="4"/>
  <c r="AH408" i="4" l="1"/>
  <c r="AI408" i="4" s="1"/>
  <c r="T408" i="4"/>
  <c r="U408" i="4" s="1"/>
  <c r="AA408" i="4"/>
  <c r="AB408" i="4" s="1"/>
  <c r="M408" i="4"/>
  <c r="N408" i="4" s="1"/>
  <c r="F409" i="4"/>
  <c r="AF408" i="4"/>
  <c r="AG408" i="4" s="1"/>
  <c r="AJ408" i="4" s="1"/>
  <c r="AK408" i="4" s="1"/>
  <c r="AL408" i="4" s="1"/>
  <c r="R408" i="4"/>
  <c r="S408" i="4" s="1"/>
  <c r="V408" i="4" s="1"/>
  <c r="W408" i="4" s="1"/>
  <c r="X408" i="4" s="1"/>
  <c r="Y408" i="4"/>
  <c r="Z408" i="4" s="1"/>
  <c r="AC408" i="4" s="1"/>
  <c r="AD408" i="4" s="1"/>
  <c r="AE408" i="4" s="1"/>
  <c r="K408" i="4"/>
  <c r="L408" i="4" s="1"/>
  <c r="O408" i="4" s="1"/>
  <c r="P408" i="4" s="1"/>
  <c r="Q408" i="4" l="1"/>
  <c r="AM408" i="4" s="1"/>
  <c r="G409" i="4"/>
  <c r="H409" i="4"/>
  <c r="C409" i="4"/>
  <c r="B409" i="4"/>
  <c r="D409" i="4"/>
  <c r="I409" i="4"/>
  <c r="E409" i="4"/>
  <c r="J409" i="4"/>
  <c r="R409" i="4" l="1"/>
  <c r="S409" i="4" s="1"/>
  <c r="Y409" i="4"/>
  <c r="Z409" i="4" s="1"/>
  <c r="AF409" i="4"/>
  <c r="AG409" i="4" s="1"/>
  <c r="K409" i="4"/>
  <c r="L409" i="4" s="1"/>
  <c r="O409" i="4" s="1"/>
  <c r="P409" i="4" s="1"/>
  <c r="AH409" i="4"/>
  <c r="AI409" i="4" s="1"/>
  <c r="M409" i="4"/>
  <c r="N409" i="4" s="1"/>
  <c r="T409" i="4"/>
  <c r="U409" i="4" s="1"/>
  <c r="AA409" i="4"/>
  <c r="AB409" i="4" s="1"/>
  <c r="AJ409" i="4" l="1"/>
  <c r="AK409" i="4" s="1"/>
  <c r="AL409" i="4" s="1"/>
  <c r="Q409" i="4"/>
  <c r="AM409" i="4" s="1"/>
  <c r="F410" i="4"/>
  <c r="B410" i="4"/>
  <c r="E410" i="4"/>
  <c r="G410" i="4"/>
  <c r="AC409" i="4"/>
  <c r="AD409" i="4" s="1"/>
  <c r="AE409" i="4" s="1"/>
  <c r="V409" i="4"/>
  <c r="W409" i="4" s="1"/>
  <c r="X409" i="4" s="1"/>
  <c r="H410" i="4"/>
  <c r="I410" i="4"/>
  <c r="M410" i="4" l="1"/>
  <c r="N410" i="4" s="1"/>
  <c r="AH410" i="4"/>
  <c r="AI410" i="4" s="1"/>
  <c r="T410" i="4"/>
  <c r="U410" i="4" s="1"/>
  <c r="AA410" i="4"/>
  <c r="AB410" i="4" s="1"/>
  <c r="J410" i="4"/>
  <c r="D410" i="4"/>
  <c r="C410" i="4"/>
  <c r="R410" i="4" s="1"/>
  <c r="S410" i="4" s="1"/>
  <c r="V410" i="4" s="1"/>
  <c r="W410" i="4" s="1"/>
  <c r="X410" i="4" s="1"/>
  <c r="Y410" i="4" l="1"/>
  <c r="Z410" i="4" s="1"/>
  <c r="AC410" i="4" s="1"/>
  <c r="AD410" i="4" s="1"/>
  <c r="AE410" i="4" s="1"/>
  <c r="K410" i="4"/>
  <c r="L410" i="4" s="1"/>
  <c r="O410" i="4" s="1"/>
  <c r="P410" i="4" s="1"/>
  <c r="AF410" i="4"/>
  <c r="AG410" i="4" s="1"/>
  <c r="AJ410" i="4" s="1"/>
  <c r="AK410" i="4" s="1"/>
  <c r="AL410" i="4" s="1"/>
  <c r="C411" i="4" l="1"/>
  <c r="D411" i="4"/>
  <c r="Q410" i="4"/>
  <c r="AM410" i="4" s="1"/>
  <c r="B411" i="4"/>
  <c r="E411" i="4"/>
  <c r="I411" i="4"/>
  <c r="G411" i="4"/>
  <c r="H411" i="4"/>
  <c r="F411" i="4"/>
  <c r="J411" i="4"/>
  <c r="M411" i="4" l="1"/>
  <c r="N411" i="4" s="1"/>
  <c r="T411" i="4"/>
  <c r="U411" i="4" s="1"/>
  <c r="AH411" i="4"/>
  <c r="AI411" i="4" s="1"/>
  <c r="AA411" i="4"/>
  <c r="AB411" i="4" s="1"/>
  <c r="Y411" i="4"/>
  <c r="Z411" i="4" s="1"/>
  <c r="AF411" i="4"/>
  <c r="AG411" i="4" s="1"/>
  <c r="R411" i="4"/>
  <c r="S411" i="4" s="1"/>
  <c r="V411" i="4" s="1"/>
  <c r="W411" i="4" s="1"/>
  <c r="X411" i="4" s="1"/>
  <c r="K411" i="4"/>
  <c r="L411" i="4" s="1"/>
  <c r="O411" i="4" s="1"/>
  <c r="P411" i="4" s="1"/>
  <c r="Q411" i="4" s="1"/>
  <c r="AJ411" i="4" l="1"/>
  <c r="AK411" i="4" s="1"/>
  <c r="AL411" i="4" s="1"/>
  <c r="AC411" i="4"/>
  <c r="AD411" i="4" s="1"/>
  <c r="H412" i="4"/>
  <c r="D412" i="4"/>
  <c r="I412" i="4"/>
  <c r="AE411" i="4" l="1"/>
  <c r="AM411" i="4" s="1"/>
  <c r="F412" i="4"/>
  <c r="G412" i="4"/>
  <c r="B412" i="4"/>
  <c r="E412" i="4"/>
  <c r="J412" i="4"/>
  <c r="C412" i="4"/>
  <c r="K412" i="4" l="1"/>
  <c r="L412" i="4" s="1"/>
  <c r="R412" i="4"/>
  <c r="S412" i="4" s="1"/>
  <c r="V412" i="4" s="1"/>
  <c r="W412" i="4" s="1"/>
  <c r="X412" i="4" s="1"/>
  <c r="AF412" i="4"/>
  <c r="AG412" i="4" s="1"/>
  <c r="AJ412" i="4" s="1"/>
  <c r="AK412" i="4" s="1"/>
  <c r="AL412" i="4" s="1"/>
  <c r="Y412" i="4"/>
  <c r="Z412" i="4" s="1"/>
  <c r="AA412" i="4"/>
  <c r="AB412" i="4" s="1"/>
  <c r="T412" i="4"/>
  <c r="U412" i="4" s="1"/>
  <c r="AH412" i="4"/>
  <c r="AI412" i="4" s="1"/>
  <c r="M412" i="4"/>
  <c r="N412" i="4" s="1"/>
  <c r="AC412" i="4" l="1"/>
  <c r="AD412" i="4" s="1"/>
  <c r="AE412" i="4" s="1"/>
  <c r="O412" i="4"/>
  <c r="P412" i="4" s="1"/>
  <c r="Q412" i="4" l="1"/>
  <c r="AM412" i="4" s="1"/>
  <c r="AP52" i="4" s="1"/>
  <c r="D413" i="4"/>
  <c r="I413" i="4"/>
  <c r="H413" i="4"/>
  <c r="B413" i="4"/>
  <c r="G413" i="4"/>
  <c r="F413" i="4"/>
  <c r="J413" i="4"/>
  <c r="C413" i="4"/>
  <c r="E413" i="4"/>
  <c r="R413" i="4" l="1"/>
  <c r="S413" i="4" s="1"/>
  <c r="AF413" i="4"/>
  <c r="AG413" i="4" s="1"/>
  <c r="Y413" i="4"/>
  <c r="Z413" i="4" s="1"/>
  <c r="K413" i="4"/>
  <c r="L413" i="4" s="1"/>
  <c r="O413" i="4" s="1"/>
  <c r="P413" i="4" s="1"/>
  <c r="Q413" i="4" s="1"/>
  <c r="M413" i="4"/>
  <c r="N413" i="4" s="1"/>
  <c r="AA413" i="4"/>
  <c r="AB413" i="4" s="1"/>
  <c r="T413" i="4"/>
  <c r="U413" i="4" s="1"/>
  <c r="AH413" i="4"/>
  <c r="AI413" i="4" s="1"/>
  <c r="AC413" i="4" l="1"/>
  <c r="AD413" i="4" s="1"/>
  <c r="AE413" i="4" s="1"/>
  <c r="AJ413" i="4"/>
  <c r="AK413" i="4" s="1"/>
  <c r="AL413" i="4" s="1"/>
  <c r="V413" i="4"/>
  <c r="W413" i="4" s="1"/>
  <c r="G414" i="4" s="1"/>
  <c r="E414" i="4"/>
  <c r="X413" i="4" l="1"/>
  <c r="AM413" i="4" s="1"/>
  <c r="I414" i="4"/>
  <c r="D414" i="4"/>
  <c r="H414" i="4"/>
  <c r="J414" i="4"/>
  <c r="F414" i="4"/>
  <c r="B414" i="4"/>
  <c r="C414" i="4"/>
  <c r="AH414" i="4" l="1"/>
  <c r="AI414" i="4" s="1"/>
  <c r="R414" i="4"/>
  <c r="S414" i="4" s="1"/>
  <c r="Y414" i="4"/>
  <c r="Z414" i="4" s="1"/>
  <c r="AF414" i="4"/>
  <c r="AG414" i="4" s="1"/>
  <c r="AJ414" i="4" s="1"/>
  <c r="AK414" i="4" s="1"/>
  <c r="AL414" i="4" s="1"/>
  <c r="K414" i="4"/>
  <c r="L414" i="4" s="1"/>
  <c r="M414" i="4"/>
  <c r="N414" i="4" s="1"/>
  <c r="T414" i="4"/>
  <c r="U414" i="4" s="1"/>
  <c r="AA414" i="4"/>
  <c r="AB414" i="4" s="1"/>
  <c r="AC414" i="4" l="1"/>
  <c r="AD414" i="4" s="1"/>
  <c r="AE414" i="4" s="1"/>
  <c r="V414" i="4"/>
  <c r="W414" i="4" s="1"/>
  <c r="X414" i="4" s="1"/>
  <c r="O414" i="4"/>
  <c r="P414" i="4" s="1"/>
  <c r="Q414" i="4" l="1"/>
  <c r="AM414" i="4" s="1"/>
  <c r="G415" i="4"/>
  <c r="E415" i="4"/>
  <c r="F415" i="4"/>
  <c r="J415" i="4"/>
  <c r="D415" i="4"/>
  <c r="H415" i="4"/>
  <c r="C415" i="4"/>
  <c r="B415" i="4"/>
  <c r="I415" i="4"/>
  <c r="AH415" i="4" l="1"/>
  <c r="AI415" i="4" s="1"/>
  <c r="AA415" i="4"/>
  <c r="AB415" i="4" s="1"/>
  <c r="M415" i="4"/>
  <c r="N415" i="4" s="1"/>
  <c r="T415" i="4"/>
  <c r="U415" i="4" s="1"/>
  <c r="Y415" i="4"/>
  <c r="Z415" i="4" s="1"/>
  <c r="R415" i="4"/>
  <c r="S415" i="4" s="1"/>
  <c r="V415" i="4" s="1"/>
  <c r="W415" i="4" s="1"/>
  <c r="X415" i="4" s="1"/>
  <c r="AF415" i="4"/>
  <c r="AG415" i="4" s="1"/>
  <c r="AJ415" i="4" s="1"/>
  <c r="AK415" i="4" s="1"/>
  <c r="AL415" i="4" s="1"/>
  <c r="K415" i="4"/>
  <c r="L415" i="4" s="1"/>
  <c r="AC415" i="4" l="1"/>
  <c r="AD415" i="4" s="1"/>
  <c r="AE415" i="4" s="1"/>
  <c r="O415" i="4"/>
  <c r="P415" i="4" s="1"/>
  <c r="Q415" i="4" l="1"/>
  <c r="AM415" i="4" s="1"/>
  <c r="D416" i="4"/>
  <c r="J416" i="4"/>
  <c r="I416" i="4"/>
  <c r="H416" i="4"/>
  <c r="G416" i="4"/>
  <c r="C416" i="4"/>
  <c r="F416" i="4"/>
  <c r="E416" i="4"/>
  <c r="B416" i="4"/>
  <c r="K416" i="4" l="1"/>
  <c r="L416" i="4" s="1"/>
  <c r="O416" i="4" s="1"/>
  <c r="P416" i="4" s="1"/>
  <c r="Q416" i="4" s="1"/>
  <c r="AF416" i="4"/>
  <c r="AG416" i="4" s="1"/>
  <c r="Y416" i="4"/>
  <c r="Z416" i="4" s="1"/>
  <c r="R416" i="4"/>
  <c r="S416" i="4" s="1"/>
  <c r="AA416" i="4"/>
  <c r="AB416" i="4" s="1"/>
  <c r="T416" i="4"/>
  <c r="U416" i="4" s="1"/>
  <c r="AH416" i="4"/>
  <c r="AI416" i="4" s="1"/>
  <c r="M416" i="4"/>
  <c r="N416" i="4" s="1"/>
  <c r="AJ416" i="4" l="1"/>
  <c r="AK416" i="4" s="1"/>
  <c r="AL416" i="4" s="1"/>
  <c r="V416" i="4"/>
  <c r="W416" i="4" s="1"/>
  <c r="X416" i="4" s="1"/>
  <c r="AM416" i="4" s="1"/>
  <c r="AC416" i="4"/>
  <c r="AD416" i="4" s="1"/>
  <c r="AE416" i="4" s="1"/>
  <c r="G417" i="4" l="1"/>
  <c r="D417" i="4"/>
  <c r="F417" i="4"/>
  <c r="H417" i="4"/>
  <c r="E417" i="4"/>
  <c r="C417" i="4"/>
  <c r="B417" i="4"/>
  <c r="J417" i="4"/>
  <c r="I417" i="4"/>
  <c r="AF417" i="4" l="1"/>
  <c r="AG417" i="4" s="1"/>
  <c r="AJ417" i="4" s="1"/>
  <c r="AK417" i="4" s="1"/>
  <c r="AL417" i="4" s="1"/>
  <c r="Y417" i="4"/>
  <c r="Z417" i="4" s="1"/>
  <c r="AC417" i="4" s="1"/>
  <c r="AD417" i="4" s="1"/>
  <c r="AE417" i="4" s="1"/>
  <c r="R417" i="4"/>
  <c r="S417" i="4" s="1"/>
  <c r="V417" i="4" s="1"/>
  <c r="W417" i="4" s="1"/>
  <c r="X417" i="4" s="1"/>
  <c r="K417" i="4"/>
  <c r="L417" i="4" s="1"/>
  <c r="O417" i="4" s="1"/>
  <c r="P417" i="4" s="1"/>
  <c r="Q417" i="4" s="1"/>
  <c r="M417" i="4"/>
  <c r="N417" i="4" s="1"/>
  <c r="AH417" i="4"/>
  <c r="AI417" i="4" s="1"/>
  <c r="T417" i="4"/>
  <c r="U417" i="4" s="1"/>
  <c r="AA417" i="4"/>
  <c r="AB417" i="4" s="1"/>
  <c r="I418" i="4"/>
  <c r="B418" i="4" l="1"/>
  <c r="D418" i="4"/>
  <c r="H418" i="4"/>
  <c r="C418" i="4"/>
  <c r="F418" i="4"/>
  <c r="E418" i="4"/>
  <c r="G418" i="4"/>
  <c r="AM417" i="4"/>
  <c r="J418" i="4"/>
  <c r="T418" i="4" l="1"/>
  <c r="U418" i="4" s="1"/>
  <c r="AH418" i="4"/>
  <c r="AI418" i="4" s="1"/>
  <c r="AA418" i="4"/>
  <c r="AB418" i="4" s="1"/>
  <c r="M418" i="4"/>
  <c r="N418" i="4" s="1"/>
  <c r="K418" i="4"/>
  <c r="L418" i="4" s="1"/>
  <c r="Y418" i="4"/>
  <c r="Z418" i="4" s="1"/>
  <c r="AC418" i="4" s="1"/>
  <c r="AD418" i="4" s="1"/>
  <c r="AE418" i="4" s="1"/>
  <c r="R418" i="4"/>
  <c r="S418" i="4" s="1"/>
  <c r="V418" i="4" s="1"/>
  <c r="W418" i="4" s="1"/>
  <c r="X418" i="4" s="1"/>
  <c r="AF418" i="4"/>
  <c r="AG418" i="4" s="1"/>
  <c r="AJ418" i="4" s="1"/>
  <c r="AK418" i="4" s="1"/>
  <c r="AL418" i="4" s="1"/>
  <c r="O418" i="4" l="1"/>
  <c r="P418" i="4" s="1"/>
  <c r="Q418" i="4" l="1"/>
  <c r="AM418" i="4" s="1"/>
  <c r="I419" i="4"/>
  <c r="G419" i="4"/>
  <c r="C419" i="4"/>
  <c r="F419" i="4"/>
  <c r="D419" i="4"/>
  <c r="H419" i="4"/>
  <c r="J419" i="4"/>
  <c r="B419" i="4"/>
  <c r="E419" i="4"/>
  <c r="T419" i="4" l="1"/>
  <c r="U419" i="4" s="1"/>
  <c r="M419" i="4"/>
  <c r="N419" i="4" s="1"/>
  <c r="AA419" i="4"/>
  <c r="AB419" i="4" s="1"/>
  <c r="AH419" i="4"/>
  <c r="AI419" i="4" s="1"/>
  <c r="Y419" i="4"/>
  <c r="Z419" i="4" s="1"/>
  <c r="AC419" i="4" s="1"/>
  <c r="AD419" i="4" s="1"/>
  <c r="AE419" i="4" s="1"/>
  <c r="K419" i="4"/>
  <c r="L419" i="4" s="1"/>
  <c r="O419" i="4" s="1"/>
  <c r="P419" i="4" s="1"/>
  <c r="Q419" i="4" s="1"/>
  <c r="AF419" i="4"/>
  <c r="AG419" i="4" s="1"/>
  <c r="AJ419" i="4" s="1"/>
  <c r="AK419" i="4" s="1"/>
  <c r="AL419" i="4" s="1"/>
  <c r="R419" i="4"/>
  <c r="S419" i="4" s="1"/>
  <c r="V419" i="4" s="1"/>
  <c r="W419" i="4" s="1"/>
  <c r="X419" i="4" s="1"/>
  <c r="E420" i="4" l="1"/>
  <c r="AM419" i="4"/>
  <c r="C420" i="4"/>
  <c r="H420" i="4"/>
  <c r="I420" i="4"/>
  <c r="G420" i="4"/>
  <c r="F420" i="4"/>
  <c r="J420" i="4"/>
  <c r="B420" i="4"/>
  <c r="D420" i="4"/>
  <c r="K420" i="4" l="1"/>
  <c r="L420" i="4" s="1"/>
  <c r="O420" i="4" s="1"/>
  <c r="P420" i="4" s="1"/>
  <c r="Q420" i="4" s="1"/>
  <c r="R420" i="4"/>
  <c r="S420" i="4" s="1"/>
  <c r="AF420" i="4"/>
  <c r="AG420" i="4" s="1"/>
  <c r="Y420" i="4"/>
  <c r="Z420" i="4" s="1"/>
  <c r="AA420" i="4"/>
  <c r="AB420" i="4" s="1"/>
  <c r="T420" i="4"/>
  <c r="U420" i="4" s="1"/>
  <c r="AH420" i="4"/>
  <c r="AI420" i="4" s="1"/>
  <c r="M420" i="4"/>
  <c r="N420" i="4" s="1"/>
  <c r="AC420" i="4" l="1"/>
  <c r="AD420" i="4" s="1"/>
  <c r="AE420" i="4" s="1"/>
  <c r="AJ420" i="4"/>
  <c r="AK420" i="4" s="1"/>
  <c r="AL420" i="4" s="1"/>
  <c r="V420" i="4"/>
  <c r="W420" i="4" s="1"/>
  <c r="X420" i="4" s="1"/>
  <c r="AM420" i="4" s="1"/>
  <c r="G421" i="4" l="1"/>
  <c r="D421" i="4"/>
  <c r="B421" i="4"/>
  <c r="J421" i="4"/>
  <c r="E421" i="4"/>
  <c r="F421" i="4"/>
  <c r="I421" i="4"/>
  <c r="C421" i="4"/>
  <c r="H421" i="4"/>
  <c r="M421" i="4" l="1"/>
  <c r="N421" i="4" s="1"/>
  <c r="AH421" i="4"/>
  <c r="AI421" i="4" s="1"/>
  <c r="AA421" i="4"/>
  <c r="AB421" i="4" s="1"/>
  <c r="T421" i="4"/>
  <c r="U421" i="4" s="1"/>
  <c r="Y421" i="4"/>
  <c r="Z421" i="4" s="1"/>
  <c r="R421" i="4"/>
  <c r="S421" i="4" s="1"/>
  <c r="AF421" i="4"/>
  <c r="AG421" i="4" s="1"/>
  <c r="AJ421" i="4" s="1"/>
  <c r="AK421" i="4" s="1"/>
  <c r="AL421" i="4" s="1"/>
  <c r="K421" i="4"/>
  <c r="L421" i="4" s="1"/>
  <c r="O421" i="4" s="1"/>
  <c r="P421" i="4" s="1"/>
  <c r="Q421" i="4" s="1"/>
  <c r="V421" i="4" l="1"/>
  <c r="W421" i="4" s="1"/>
  <c r="AC421" i="4"/>
  <c r="AD421" i="4" s="1"/>
  <c r="AE421" i="4" s="1"/>
  <c r="C422" i="4"/>
  <c r="F422" i="4"/>
  <c r="E422" i="4" l="1"/>
  <c r="X421" i="4"/>
  <c r="AM421" i="4" s="1"/>
  <c r="H422" i="4"/>
  <c r="I422" i="4"/>
  <c r="B422" i="4"/>
  <c r="D422" i="4"/>
  <c r="G422" i="4"/>
  <c r="J422" i="4"/>
  <c r="Y422" i="4" l="1"/>
  <c r="Z422" i="4" s="1"/>
  <c r="AF422" i="4"/>
  <c r="AG422" i="4" s="1"/>
  <c r="AJ422" i="4" s="1"/>
  <c r="AK422" i="4" s="1"/>
  <c r="AL422" i="4" s="1"/>
  <c r="K422" i="4"/>
  <c r="L422" i="4" s="1"/>
  <c r="R422" i="4"/>
  <c r="S422" i="4" s="1"/>
  <c r="AH422" i="4"/>
  <c r="AI422" i="4" s="1"/>
  <c r="AA422" i="4"/>
  <c r="AB422" i="4" s="1"/>
  <c r="M422" i="4"/>
  <c r="N422" i="4" s="1"/>
  <c r="T422" i="4"/>
  <c r="U422" i="4" s="1"/>
  <c r="V422" i="4" l="1"/>
  <c r="W422" i="4" s="1"/>
  <c r="X422" i="4" s="1"/>
  <c r="O422" i="4"/>
  <c r="P422" i="4" s="1"/>
  <c r="AC422" i="4"/>
  <c r="AD422" i="4" s="1"/>
  <c r="AE422" i="4" s="1"/>
  <c r="Q422" i="4" l="1"/>
  <c r="AM422" i="4" s="1"/>
  <c r="AP53" i="4" s="1"/>
  <c r="F423" i="4"/>
  <c r="C423" i="4"/>
  <c r="E423" i="4"/>
  <c r="B423" i="4"/>
  <c r="G423" i="4"/>
  <c r="H423" i="4"/>
  <c r="J423" i="4"/>
  <c r="D423" i="4"/>
  <c r="I423" i="4"/>
  <c r="Y423" i="4" l="1"/>
  <c r="Z423" i="4" s="1"/>
  <c r="AF423" i="4"/>
  <c r="AG423" i="4" s="1"/>
  <c r="K423" i="4"/>
  <c r="L423" i="4" s="1"/>
  <c r="O423" i="4" s="1"/>
  <c r="P423" i="4" s="1"/>
  <c r="Q423" i="4" s="1"/>
  <c r="R423" i="4"/>
  <c r="S423" i="4" s="1"/>
  <c r="M423" i="4"/>
  <c r="N423" i="4" s="1"/>
  <c r="AA423" i="4"/>
  <c r="AB423" i="4" s="1"/>
  <c r="AH423" i="4"/>
  <c r="AI423" i="4" s="1"/>
  <c r="T423" i="4"/>
  <c r="U423" i="4" s="1"/>
  <c r="V423" i="4" l="1"/>
  <c r="W423" i="4" s="1"/>
  <c r="AJ423" i="4"/>
  <c r="AK423" i="4" s="1"/>
  <c r="AL423" i="4" s="1"/>
  <c r="AC423" i="4"/>
  <c r="AD423" i="4" s="1"/>
  <c r="AE423" i="4" s="1"/>
  <c r="G424" i="4"/>
  <c r="H424" i="4"/>
  <c r="B424" i="4" l="1"/>
  <c r="J424" i="4"/>
  <c r="E424" i="4"/>
  <c r="F424" i="4"/>
  <c r="D424" i="4"/>
  <c r="X423" i="4"/>
  <c r="AM423" i="4" s="1"/>
  <c r="C424" i="4"/>
  <c r="I424" i="4"/>
  <c r="AA424" i="4" l="1"/>
  <c r="AB424" i="4" s="1"/>
  <c r="M424" i="4"/>
  <c r="N424" i="4" s="1"/>
  <c r="AH424" i="4"/>
  <c r="AI424" i="4" s="1"/>
  <c r="T424" i="4"/>
  <c r="U424" i="4" s="1"/>
  <c r="K424" i="4"/>
  <c r="L424" i="4" s="1"/>
  <c r="Y424" i="4"/>
  <c r="Z424" i="4" s="1"/>
  <c r="AC424" i="4" s="1"/>
  <c r="AD424" i="4" s="1"/>
  <c r="AE424" i="4" s="1"/>
  <c r="AF424" i="4"/>
  <c r="AG424" i="4" s="1"/>
  <c r="AJ424" i="4" s="1"/>
  <c r="AK424" i="4" s="1"/>
  <c r="AL424" i="4" s="1"/>
  <c r="R424" i="4"/>
  <c r="S424" i="4" s="1"/>
  <c r="V424" i="4" s="1"/>
  <c r="W424" i="4" s="1"/>
  <c r="X424" i="4" s="1"/>
  <c r="O424" i="4" l="1"/>
  <c r="P424" i="4" s="1"/>
  <c r="Q424" i="4" l="1"/>
  <c r="AM424" i="4" s="1"/>
  <c r="G425" i="4"/>
  <c r="H425" i="4"/>
  <c r="E425" i="4"/>
  <c r="I425" i="4"/>
  <c r="B425" i="4"/>
  <c r="D425" i="4"/>
  <c r="J425" i="4"/>
  <c r="F425" i="4"/>
  <c r="C425" i="4"/>
  <c r="K425" i="4" l="1"/>
  <c r="L425" i="4" s="1"/>
  <c r="O425" i="4" s="1"/>
  <c r="P425" i="4" s="1"/>
  <c r="Q425" i="4" s="1"/>
  <c r="AF425" i="4"/>
  <c r="AG425" i="4" s="1"/>
  <c r="Y425" i="4"/>
  <c r="Z425" i="4" s="1"/>
  <c r="AC425" i="4" s="1"/>
  <c r="AD425" i="4" s="1"/>
  <c r="AE425" i="4" s="1"/>
  <c r="R425" i="4"/>
  <c r="S425" i="4" s="1"/>
  <c r="V425" i="4" s="1"/>
  <c r="W425" i="4" s="1"/>
  <c r="X425" i="4" s="1"/>
  <c r="M425" i="4"/>
  <c r="N425" i="4" s="1"/>
  <c r="T425" i="4"/>
  <c r="U425" i="4" s="1"/>
  <c r="AH425" i="4"/>
  <c r="AI425" i="4" s="1"/>
  <c r="AA425" i="4"/>
  <c r="AB425" i="4" s="1"/>
  <c r="AJ425" i="4" l="1"/>
  <c r="AK425" i="4" s="1"/>
  <c r="F426" i="4"/>
  <c r="H426" i="4"/>
  <c r="J426" i="4"/>
  <c r="AL425" i="4" l="1"/>
  <c r="AM425" i="4" s="1"/>
  <c r="B426" i="4"/>
  <c r="E426" i="4"/>
  <c r="G426" i="4"/>
  <c r="D426" i="4"/>
  <c r="C426" i="4"/>
  <c r="I426" i="4"/>
  <c r="R426" i="4" l="1"/>
  <c r="S426" i="4" s="1"/>
  <c r="K426" i="4"/>
  <c r="L426" i="4" s="1"/>
  <c r="O426" i="4" s="1"/>
  <c r="P426" i="4" s="1"/>
  <c r="AF426" i="4"/>
  <c r="AG426" i="4" s="1"/>
  <c r="AJ426" i="4" s="1"/>
  <c r="AK426" i="4" s="1"/>
  <c r="AL426" i="4" s="1"/>
  <c r="Y426" i="4"/>
  <c r="Z426" i="4" s="1"/>
  <c r="AA426" i="4"/>
  <c r="AB426" i="4" s="1"/>
  <c r="AH426" i="4"/>
  <c r="AI426" i="4" s="1"/>
  <c r="M426" i="4"/>
  <c r="N426" i="4" s="1"/>
  <c r="T426" i="4"/>
  <c r="U426" i="4" s="1"/>
  <c r="AC426" i="4" l="1"/>
  <c r="AD426" i="4" s="1"/>
  <c r="AE426" i="4" s="1"/>
  <c r="Q426" i="4"/>
  <c r="V426" i="4"/>
  <c r="W426" i="4" s="1"/>
  <c r="E427" i="4" s="1"/>
  <c r="G427" i="4"/>
  <c r="X426" i="4" l="1"/>
  <c r="AM426" i="4" s="1"/>
  <c r="B427" i="4"/>
  <c r="I427" i="4"/>
  <c r="C427" i="4"/>
  <c r="F427" i="4"/>
  <c r="AH427" i="4" s="1"/>
  <c r="AI427" i="4" s="1"/>
  <c r="J427" i="4"/>
  <c r="H427" i="4"/>
  <c r="D427" i="4"/>
  <c r="M427" i="4" l="1"/>
  <c r="N427" i="4" s="1"/>
  <c r="T427" i="4"/>
  <c r="U427" i="4" s="1"/>
  <c r="Y427" i="4"/>
  <c r="Z427" i="4" s="1"/>
  <c r="R427" i="4"/>
  <c r="S427" i="4" s="1"/>
  <c r="AF427" i="4"/>
  <c r="AG427" i="4" s="1"/>
  <c r="AJ427" i="4" s="1"/>
  <c r="AK427" i="4" s="1"/>
  <c r="AL427" i="4" s="1"/>
  <c r="K427" i="4"/>
  <c r="L427" i="4" s="1"/>
  <c r="O427" i="4" s="1"/>
  <c r="P427" i="4" s="1"/>
  <c r="AA427" i="4"/>
  <c r="AB427" i="4" s="1"/>
  <c r="Q427" i="4" l="1"/>
  <c r="V427" i="4"/>
  <c r="W427" i="4" s="1"/>
  <c r="D428" i="4"/>
  <c r="B428" i="4"/>
  <c r="I428" i="4"/>
  <c r="F428" i="4"/>
  <c r="AC427" i="4"/>
  <c r="AD427" i="4" s="1"/>
  <c r="AE427" i="4" s="1"/>
  <c r="X427" i="4" l="1"/>
  <c r="H428" i="4"/>
  <c r="C428" i="4"/>
  <c r="R428" i="4" s="1"/>
  <c r="S428" i="4" s="1"/>
  <c r="E428" i="4"/>
  <c r="J428" i="4"/>
  <c r="G428" i="4"/>
  <c r="AM427" i="4"/>
  <c r="AA428" i="4" l="1"/>
  <c r="AB428" i="4" s="1"/>
  <c r="AH428" i="4"/>
  <c r="AI428" i="4" s="1"/>
  <c r="T428" i="4"/>
  <c r="U428" i="4" s="1"/>
  <c r="V428" i="4" s="1"/>
  <c r="W428" i="4" s="1"/>
  <c r="X428" i="4" s="1"/>
  <c r="M428" i="4"/>
  <c r="N428" i="4" s="1"/>
  <c r="AF428" i="4"/>
  <c r="AG428" i="4" s="1"/>
  <c r="AJ428" i="4" s="1"/>
  <c r="AK428" i="4" s="1"/>
  <c r="AL428" i="4" s="1"/>
  <c r="Y428" i="4"/>
  <c r="Z428" i="4" s="1"/>
  <c r="AC428" i="4" s="1"/>
  <c r="AD428" i="4" s="1"/>
  <c r="AE428" i="4" s="1"/>
  <c r="K428" i="4"/>
  <c r="L428" i="4" s="1"/>
  <c r="O428" i="4" s="1"/>
  <c r="P428" i="4" s="1"/>
  <c r="Q428" i="4" l="1"/>
  <c r="AM428" i="4" s="1"/>
  <c r="B429" i="4"/>
  <c r="F429" i="4"/>
  <c r="D429" i="4"/>
  <c r="I429" i="4"/>
  <c r="G429" i="4"/>
  <c r="H429" i="4"/>
  <c r="E429" i="4"/>
  <c r="C429" i="4"/>
  <c r="J429" i="4"/>
  <c r="AF429" i="4" l="1"/>
  <c r="AG429" i="4" s="1"/>
  <c r="R429" i="4"/>
  <c r="S429" i="4" s="1"/>
  <c r="V429" i="4" s="1"/>
  <c r="W429" i="4" s="1"/>
  <c r="X429" i="4" s="1"/>
  <c r="K429" i="4"/>
  <c r="L429" i="4" s="1"/>
  <c r="O429" i="4" s="1"/>
  <c r="P429" i="4" s="1"/>
  <c r="Q429" i="4" s="1"/>
  <c r="Y429" i="4"/>
  <c r="Z429" i="4" s="1"/>
  <c r="AC429" i="4" s="1"/>
  <c r="AD429" i="4" s="1"/>
  <c r="AE429" i="4" s="1"/>
  <c r="M429" i="4"/>
  <c r="N429" i="4" s="1"/>
  <c r="T429" i="4"/>
  <c r="U429" i="4" s="1"/>
  <c r="AH429" i="4"/>
  <c r="AI429" i="4" s="1"/>
  <c r="AA429" i="4"/>
  <c r="AB429" i="4" s="1"/>
  <c r="AJ429" i="4" l="1"/>
  <c r="AK429" i="4" s="1"/>
  <c r="AL429" i="4" s="1"/>
  <c r="AM429" i="4" s="1"/>
  <c r="F430" i="4"/>
  <c r="E430" i="4"/>
  <c r="B430" i="4" l="1"/>
  <c r="I430" i="4"/>
  <c r="H430" i="4"/>
  <c r="C430" i="4"/>
  <c r="D430" i="4"/>
  <c r="G430" i="4"/>
  <c r="AH430" i="4" s="1"/>
  <c r="AI430" i="4" s="1"/>
  <c r="J430" i="4"/>
  <c r="AF430" i="4" l="1"/>
  <c r="AG430" i="4" s="1"/>
  <c r="AJ430" i="4" s="1"/>
  <c r="AK430" i="4" s="1"/>
  <c r="AL430" i="4" s="1"/>
  <c r="R430" i="4"/>
  <c r="S430" i="4" s="1"/>
  <c r="V430" i="4" s="1"/>
  <c r="W430" i="4" s="1"/>
  <c r="X430" i="4" s="1"/>
  <c r="K430" i="4"/>
  <c r="L430" i="4" s="1"/>
  <c r="Y430" i="4"/>
  <c r="Z430" i="4" s="1"/>
  <c r="AC430" i="4" s="1"/>
  <c r="AD430" i="4" s="1"/>
  <c r="AE430" i="4" s="1"/>
  <c r="T430" i="4"/>
  <c r="U430" i="4" s="1"/>
  <c r="AA430" i="4"/>
  <c r="AB430" i="4" s="1"/>
  <c r="M430" i="4"/>
  <c r="N430" i="4" s="1"/>
  <c r="O430" i="4" l="1"/>
  <c r="P430" i="4" s="1"/>
  <c r="Q430" i="4" l="1"/>
  <c r="AM430" i="4" s="1"/>
  <c r="F431" i="4"/>
  <c r="E431" i="4"/>
  <c r="I431" i="4"/>
  <c r="G431" i="4"/>
  <c r="B431" i="4"/>
  <c r="C431" i="4"/>
  <c r="J431" i="4"/>
  <c r="D431" i="4"/>
  <c r="H431" i="4"/>
  <c r="Y431" i="4" l="1"/>
  <c r="Z431" i="4" s="1"/>
  <c r="K431" i="4"/>
  <c r="L431" i="4" s="1"/>
  <c r="AF431" i="4"/>
  <c r="AG431" i="4" s="1"/>
  <c r="R431" i="4"/>
  <c r="S431" i="4" s="1"/>
  <c r="V431" i="4" s="1"/>
  <c r="W431" i="4" s="1"/>
  <c r="X431" i="4" s="1"/>
  <c r="T431" i="4"/>
  <c r="U431" i="4" s="1"/>
  <c r="AA431" i="4"/>
  <c r="AB431" i="4" s="1"/>
  <c r="AH431" i="4"/>
  <c r="AI431" i="4" s="1"/>
  <c r="M431" i="4"/>
  <c r="N431" i="4" s="1"/>
  <c r="AJ431" i="4" l="1"/>
  <c r="AK431" i="4" s="1"/>
  <c r="AL431" i="4" s="1"/>
  <c r="O431" i="4"/>
  <c r="P431" i="4" s="1"/>
  <c r="AC431" i="4"/>
  <c r="AD431" i="4" s="1"/>
  <c r="AE431" i="4" s="1"/>
  <c r="Q431" i="4" l="1"/>
  <c r="AM431" i="4" s="1"/>
  <c r="C432" i="4"/>
  <c r="G432" i="4"/>
  <c r="D432" i="4"/>
  <c r="E432" i="4"/>
  <c r="B432" i="4"/>
  <c r="I432" i="4"/>
  <c r="H432" i="4"/>
  <c r="J432" i="4"/>
  <c r="F432" i="4"/>
  <c r="K432" i="4" l="1"/>
  <c r="L432" i="4" s="1"/>
  <c r="R432" i="4"/>
  <c r="S432" i="4" s="1"/>
  <c r="Y432" i="4"/>
  <c r="Z432" i="4" s="1"/>
  <c r="AF432" i="4"/>
  <c r="AG432" i="4" s="1"/>
  <c r="AA432" i="4"/>
  <c r="AB432" i="4" s="1"/>
  <c r="T432" i="4"/>
  <c r="U432" i="4" s="1"/>
  <c r="M432" i="4"/>
  <c r="N432" i="4" s="1"/>
  <c r="AH432" i="4"/>
  <c r="AI432" i="4" s="1"/>
  <c r="AJ432" i="4" l="1"/>
  <c r="AK432" i="4" s="1"/>
  <c r="AL432" i="4" s="1"/>
  <c r="AC432" i="4"/>
  <c r="AD432" i="4" s="1"/>
  <c r="AE432" i="4" s="1"/>
  <c r="V432" i="4"/>
  <c r="W432" i="4" s="1"/>
  <c r="X432" i="4" s="1"/>
  <c r="O432" i="4"/>
  <c r="P432" i="4" s="1"/>
  <c r="Q432" i="4" l="1"/>
  <c r="AM432" i="4" s="1"/>
  <c r="AP54" i="4" s="1"/>
  <c r="F433" i="4"/>
  <c r="J433" i="4"/>
  <c r="E433" i="4"/>
  <c r="B433" i="4"/>
  <c r="H433" i="4"/>
  <c r="G433" i="4"/>
  <c r="C433" i="4"/>
  <c r="I433" i="4"/>
  <c r="D433" i="4"/>
  <c r="M433" i="4" l="1"/>
  <c r="N433" i="4" s="1"/>
  <c r="AA433" i="4"/>
  <c r="AB433" i="4" s="1"/>
  <c r="AH433" i="4"/>
  <c r="AI433" i="4" s="1"/>
  <c r="T433" i="4"/>
  <c r="U433" i="4" s="1"/>
  <c r="R433" i="4"/>
  <c r="S433" i="4" s="1"/>
  <c r="K433" i="4"/>
  <c r="L433" i="4" s="1"/>
  <c r="Y433" i="4"/>
  <c r="Z433" i="4" s="1"/>
  <c r="AC433" i="4" s="1"/>
  <c r="AD433" i="4" s="1"/>
  <c r="AE433" i="4" s="1"/>
  <c r="AF433" i="4"/>
  <c r="AG433" i="4" s="1"/>
  <c r="AJ433" i="4" s="1"/>
  <c r="AK433" i="4" s="1"/>
  <c r="AL433" i="4" s="1"/>
  <c r="O433" i="4" l="1"/>
  <c r="P433" i="4" s="1"/>
  <c r="V433" i="4"/>
  <c r="W433" i="4" s="1"/>
  <c r="X433" i="4" s="1"/>
  <c r="Q433" i="4" l="1"/>
  <c r="AM433" i="4" s="1"/>
  <c r="H434" i="4"/>
  <c r="J434" i="4"/>
  <c r="I434" i="4"/>
  <c r="C434" i="4"/>
  <c r="F434" i="4"/>
  <c r="G434" i="4"/>
  <c r="B434" i="4"/>
  <c r="E434" i="4"/>
  <c r="D434" i="4"/>
  <c r="Y434" i="4" l="1"/>
  <c r="Z434" i="4" s="1"/>
  <c r="K434" i="4"/>
  <c r="L434" i="4" s="1"/>
  <c r="R434" i="4"/>
  <c r="S434" i="4" s="1"/>
  <c r="AF434" i="4"/>
  <c r="AG434" i="4" s="1"/>
  <c r="AH434" i="4"/>
  <c r="AI434" i="4" s="1"/>
  <c r="AA434" i="4"/>
  <c r="AB434" i="4" s="1"/>
  <c r="T434" i="4"/>
  <c r="U434" i="4" s="1"/>
  <c r="M434" i="4"/>
  <c r="N434" i="4" s="1"/>
  <c r="AJ434" i="4" l="1"/>
  <c r="AK434" i="4" s="1"/>
  <c r="AL434" i="4" s="1"/>
  <c r="V434" i="4"/>
  <c r="W434" i="4" s="1"/>
  <c r="X434" i="4" s="1"/>
  <c r="O434" i="4"/>
  <c r="P434" i="4" s="1"/>
  <c r="AC434" i="4"/>
  <c r="AD434" i="4" s="1"/>
  <c r="AE434" i="4" s="1"/>
  <c r="Q434" i="4" l="1"/>
  <c r="AM434" i="4" s="1"/>
  <c r="H435" i="4"/>
  <c r="E435" i="4"/>
  <c r="G435" i="4"/>
  <c r="F435" i="4"/>
  <c r="B435" i="4"/>
  <c r="I435" i="4"/>
  <c r="D435" i="4"/>
  <c r="C435" i="4"/>
  <c r="J435" i="4"/>
  <c r="Y435" i="4" l="1"/>
  <c r="Z435" i="4" s="1"/>
  <c r="AF435" i="4"/>
  <c r="AG435" i="4" s="1"/>
  <c r="R435" i="4"/>
  <c r="S435" i="4" s="1"/>
  <c r="K435" i="4"/>
  <c r="L435" i="4" s="1"/>
  <c r="AH435" i="4"/>
  <c r="AI435" i="4" s="1"/>
  <c r="T435" i="4"/>
  <c r="U435" i="4" s="1"/>
  <c r="AA435" i="4"/>
  <c r="AB435" i="4" s="1"/>
  <c r="M435" i="4"/>
  <c r="N435" i="4" s="1"/>
  <c r="O435" i="4" l="1"/>
  <c r="P435" i="4" s="1"/>
  <c r="V435" i="4"/>
  <c r="W435" i="4" s="1"/>
  <c r="X435" i="4" s="1"/>
  <c r="AJ435" i="4"/>
  <c r="AK435" i="4" s="1"/>
  <c r="AL435" i="4" s="1"/>
  <c r="AC435" i="4"/>
  <c r="AD435" i="4" s="1"/>
  <c r="AE435" i="4" s="1"/>
  <c r="Q435" i="4" l="1"/>
  <c r="AM435" i="4" s="1"/>
  <c r="J436" i="4"/>
  <c r="C436" i="4"/>
  <c r="F436" i="4"/>
  <c r="B436" i="4"/>
  <c r="E436" i="4"/>
  <c r="D436" i="4"/>
  <c r="H436" i="4"/>
  <c r="I436" i="4"/>
  <c r="G436" i="4"/>
  <c r="AA436" i="4" l="1"/>
  <c r="AB436" i="4" s="1"/>
  <c r="M436" i="4"/>
  <c r="N436" i="4" s="1"/>
  <c r="T436" i="4"/>
  <c r="U436" i="4" s="1"/>
  <c r="AH436" i="4"/>
  <c r="AI436" i="4" s="1"/>
  <c r="K436" i="4"/>
  <c r="L436" i="4" s="1"/>
  <c r="O436" i="4" s="1"/>
  <c r="P436" i="4" s="1"/>
  <c r="Q436" i="4" s="1"/>
  <c r="AF436" i="4"/>
  <c r="AG436" i="4" s="1"/>
  <c r="R436" i="4"/>
  <c r="S436" i="4" s="1"/>
  <c r="Y436" i="4"/>
  <c r="Z436" i="4" s="1"/>
  <c r="AC436" i="4" s="1"/>
  <c r="AD436" i="4" s="1"/>
  <c r="AE436" i="4" s="1"/>
  <c r="V436" i="4" l="1"/>
  <c r="W436" i="4" s="1"/>
  <c r="X436" i="4" s="1"/>
  <c r="AM436" i="4" s="1"/>
  <c r="AJ436" i="4"/>
  <c r="AK436" i="4" s="1"/>
  <c r="AL436" i="4" s="1"/>
  <c r="H437" i="4" l="1"/>
  <c r="J437" i="4"/>
  <c r="C437" i="4"/>
  <c r="E437" i="4"/>
  <c r="F437" i="4"/>
  <c r="D437" i="4"/>
  <c r="I437" i="4"/>
  <c r="G437" i="4"/>
  <c r="B437" i="4"/>
  <c r="M437" i="4" l="1"/>
  <c r="N437" i="4" s="1"/>
  <c r="T437" i="4"/>
  <c r="U437" i="4" s="1"/>
  <c r="AA437" i="4"/>
  <c r="AB437" i="4" s="1"/>
  <c r="AH437" i="4"/>
  <c r="AI437" i="4" s="1"/>
  <c r="K437" i="4"/>
  <c r="L437" i="4" s="1"/>
  <c r="O437" i="4" s="1"/>
  <c r="P437" i="4" s="1"/>
  <c r="Q437" i="4" s="1"/>
  <c r="AF437" i="4"/>
  <c r="AG437" i="4" s="1"/>
  <c r="R437" i="4"/>
  <c r="S437" i="4" s="1"/>
  <c r="V437" i="4" s="1"/>
  <c r="W437" i="4" s="1"/>
  <c r="X437" i="4" s="1"/>
  <c r="Y437" i="4"/>
  <c r="Z437" i="4" s="1"/>
  <c r="AC437" i="4" s="1"/>
  <c r="AD437" i="4" s="1"/>
  <c r="AE437" i="4" s="1"/>
  <c r="AJ437" i="4" l="1"/>
  <c r="AK437" i="4" s="1"/>
  <c r="AL437" i="4" s="1"/>
  <c r="E438" i="4"/>
  <c r="AM437" i="4"/>
  <c r="B438" i="4"/>
  <c r="F438" i="4"/>
  <c r="D438" i="4"/>
  <c r="J438" i="4"/>
  <c r="I438" i="4"/>
  <c r="H438" i="4"/>
  <c r="C438" i="4"/>
  <c r="G438" i="4"/>
  <c r="T438" i="4" l="1"/>
  <c r="U438" i="4" s="1"/>
  <c r="AA438" i="4"/>
  <c r="AB438" i="4" s="1"/>
  <c r="AH438" i="4"/>
  <c r="AI438" i="4" s="1"/>
  <c r="M438" i="4"/>
  <c r="N438" i="4" s="1"/>
  <c r="K438" i="4"/>
  <c r="L438" i="4" s="1"/>
  <c r="O438" i="4" s="1"/>
  <c r="P438" i="4" s="1"/>
  <c r="Q438" i="4" s="1"/>
  <c r="AF438" i="4"/>
  <c r="AG438" i="4" s="1"/>
  <c r="Y438" i="4"/>
  <c r="Z438" i="4" s="1"/>
  <c r="AC438" i="4" s="1"/>
  <c r="AD438" i="4" s="1"/>
  <c r="AE438" i="4" s="1"/>
  <c r="R438" i="4"/>
  <c r="S438" i="4" s="1"/>
  <c r="V438" i="4" s="1"/>
  <c r="W438" i="4" s="1"/>
  <c r="X438" i="4" s="1"/>
  <c r="AJ438" i="4" l="1"/>
  <c r="AK438" i="4" s="1"/>
  <c r="F439" i="4"/>
  <c r="D439" i="4"/>
  <c r="J439" i="4"/>
  <c r="H439" i="4"/>
  <c r="AL438" i="4" l="1"/>
  <c r="AM438" i="4" s="1"/>
  <c r="C439" i="4"/>
  <c r="I439" i="4"/>
  <c r="G439" i="4"/>
  <c r="E439" i="4"/>
  <c r="B439" i="4"/>
  <c r="Y439" i="4" l="1"/>
  <c r="Z439" i="4" s="1"/>
  <c r="AC439" i="4" s="1"/>
  <c r="AD439" i="4" s="1"/>
  <c r="AE439" i="4" s="1"/>
  <c r="R439" i="4"/>
  <c r="S439" i="4" s="1"/>
  <c r="V439" i="4" s="1"/>
  <c r="W439" i="4" s="1"/>
  <c r="X439" i="4" s="1"/>
  <c r="AF439" i="4"/>
  <c r="AG439" i="4" s="1"/>
  <c r="K439" i="4"/>
  <c r="L439" i="4" s="1"/>
  <c r="O439" i="4" s="1"/>
  <c r="P439" i="4" s="1"/>
  <c r="AA439" i="4"/>
  <c r="AB439" i="4" s="1"/>
  <c r="T439" i="4"/>
  <c r="U439" i="4" s="1"/>
  <c r="M439" i="4"/>
  <c r="N439" i="4" s="1"/>
  <c r="AH439" i="4"/>
  <c r="AI439" i="4" s="1"/>
  <c r="Q439" i="4" l="1"/>
  <c r="AJ439" i="4"/>
  <c r="AK439" i="4" s="1"/>
  <c r="AL439" i="4" s="1"/>
  <c r="I440" i="4"/>
  <c r="B440" i="4"/>
  <c r="F440" i="4" l="1"/>
  <c r="D440" i="4"/>
  <c r="C440" i="4"/>
  <c r="Y440" i="4" s="1"/>
  <c r="Z440" i="4" s="1"/>
  <c r="H440" i="4"/>
  <c r="G440" i="4"/>
  <c r="J440" i="4"/>
  <c r="E440" i="4"/>
  <c r="AM439" i="4"/>
  <c r="AA440" i="4" l="1"/>
  <c r="AB440" i="4" s="1"/>
  <c r="AC440" i="4" s="1"/>
  <c r="AD440" i="4" s="1"/>
  <c r="AE440" i="4" s="1"/>
  <c r="AH440" i="4"/>
  <c r="AI440" i="4" s="1"/>
  <c r="M440" i="4"/>
  <c r="N440" i="4" s="1"/>
  <c r="T440" i="4"/>
  <c r="U440" i="4" s="1"/>
  <c r="R440" i="4"/>
  <c r="S440" i="4" s="1"/>
  <c r="AF440" i="4"/>
  <c r="AG440" i="4" s="1"/>
  <c r="K440" i="4"/>
  <c r="L440" i="4" s="1"/>
  <c r="O440" i="4" s="1"/>
  <c r="P440" i="4" s="1"/>
  <c r="Q440" i="4" l="1"/>
  <c r="AJ440" i="4"/>
  <c r="AK440" i="4" s="1"/>
  <c r="AL440" i="4" s="1"/>
  <c r="V440" i="4"/>
  <c r="W440" i="4" s="1"/>
  <c r="X440" i="4" s="1"/>
  <c r="E441" i="4" l="1"/>
  <c r="F441" i="4"/>
  <c r="I441" i="4"/>
  <c r="J441" i="4"/>
  <c r="B441" i="4"/>
  <c r="H441" i="4"/>
  <c r="G441" i="4"/>
  <c r="C441" i="4"/>
  <c r="D441" i="4"/>
  <c r="AM440" i="4"/>
  <c r="Y441" i="4" l="1"/>
  <c r="Z441" i="4" s="1"/>
  <c r="AC441" i="4" s="1"/>
  <c r="AD441" i="4" s="1"/>
  <c r="AE441" i="4" s="1"/>
  <c r="K441" i="4"/>
  <c r="L441" i="4" s="1"/>
  <c r="R441" i="4"/>
  <c r="S441" i="4" s="1"/>
  <c r="AF441" i="4"/>
  <c r="AG441" i="4" s="1"/>
  <c r="M441" i="4"/>
  <c r="N441" i="4" s="1"/>
  <c r="AH441" i="4"/>
  <c r="AI441" i="4" s="1"/>
  <c r="T441" i="4"/>
  <c r="U441" i="4" s="1"/>
  <c r="AA441" i="4"/>
  <c r="AB441" i="4" s="1"/>
  <c r="V441" i="4" l="1"/>
  <c r="W441" i="4" s="1"/>
  <c r="X441" i="4" s="1"/>
  <c r="AJ441" i="4"/>
  <c r="AK441" i="4" s="1"/>
  <c r="AL441" i="4" s="1"/>
  <c r="O441" i="4"/>
  <c r="P441" i="4" s="1"/>
  <c r="Q441" i="4" l="1"/>
  <c r="AM441" i="4" s="1"/>
  <c r="C442" i="4"/>
  <c r="I442" i="4"/>
  <c r="F442" i="4"/>
  <c r="H442" i="4"/>
  <c r="B442" i="4"/>
  <c r="E442" i="4"/>
  <c r="D442" i="4"/>
  <c r="J442" i="4"/>
  <c r="G442" i="4"/>
  <c r="AF442" i="4" l="1"/>
  <c r="AG442" i="4" s="1"/>
  <c r="Y442" i="4"/>
  <c r="Z442" i="4" s="1"/>
  <c r="AC442" i="4" s="1"/>
  <c r="AD442" i="4" s="1"/>
  <c r="AE442" i="4" s="1"/>
  <c r="R442" i="4"/>
  <c r="S442" i="4" s="1"/>
  <c r="V442" i="4" s="1"/>
  <c r="W442" i="4" s="1"/>
  <c r="X442" i="4" s="1"/>
  <c r="K442" i="4"/>
  <c r="L442" i="4" s="1"/>
  <c r="M442" i="4"/>
  <c r="N442" i="4" s="1"/>
  <c r="AA442" i="4"/>
  <c r="AB442" i="4" s="1"/>
  <c r="T442" i="4"/>
  <c r="U442" i="4" s="1"/>
  <c r="AH442" i="4"/>
  <c r="AI442" i="4" s="1"/>
  <c r="O442" i="4" l="1"/>
  <c r="P442" i="4" s="1"/>
  <c r="AJ442" i="4"/>
  <c r="AK442" i="4" s="1"/>
  <c r="AL442" i="4" s="1"/>
  <c r="Q442" i="4" l="1"/>
  <c r="AM442" i="4" s="1"/>
  <c r="AP55" i="4" s="1"/>
  <c r="D443" i="4"/>
  <c r="E443" i="4"/>
  <c r="J443" i="4"/>
  <c r="B443" i="4"/>
  <c r="I443" i="4"/>
  <c r="C443" i="4"/>
  <c r="H443" i="4"/>
  <c r="G443" i="4"/>
  <c r="F443" i="4"/>
  <c r="Y443" i="4" l="1"/>
  <c r="Z443" i="4" s="1"/>
  <c r="R443" i="4"/>
  <c r="S443" i="4" s="1"/>
  <c r="V443" i="4" s="1"/>
  <c r="W443" i="4" s="1"/>
  <c r="X443" i="4" s="1"/>
  <c r="K443" i="4"/>
  <c r="L443" i="4" s="1"/>
  <c r="O443" i="4" s="1"/>
  <c r="P443" i="4" s="1"/>
  <c r="Q443" i="4" s="1"/>
  <c r="AF443" i="4"/>
  <c r="AG443" i="4" s="1"/>
  <c r="AJ443" i="4" s="1"/>
  <c r="AK443" i="4" s="1"/>
  <c r="AL443" i="4" s="1"/>
  <c r="M443" i="4"/>
  <c r="N443" i="4" s="1"/>
  <c r="AA443" i="4"/>
  <c r="AB443" i="4" s="1"/>
  <c r="T443" i="4"/>
  <c r="U443" i="4" s="1"/>
  <c r="AH443" i="4"/>
  <c r="AI443" i="4" s="1"/>
  <c r="AC443" i="4" l="1"/>
  <c r="AD443" i="4" s="1"/>
  <c r="AE443" i="4" s="1"/>
  <c r="AM443" i="4" s="1"/>
  <c r="J444" i="4"/>
  <c r="I444" i="4"/>
  <c r="D444" i="4"/>
  <c r="C444" i="4"/>
  <c r="H444" i="4" l="1"/>
  <c r="B444" i="4"/>
  <c r="F444" i="4"/>
  <c r="E444" i="4"/>
  <c r="G444" i="4"/>
  <c r="AA444" i="4" l="1"/>
  <c r="AB444" i="4" s="1"/>
  <c r="T444" i="4"/>
  <c r="U444" i="4" s="1"/>
  <c r="AH444" i="4"/>
  <c r="AI444" i="4" s="1"/>
  <c r="M444" i="4"/>
  <c r="N444" i="4" s="1"/>
  <c r="K444" i="4"/>
  <c r="L444" i="4" s="1"/>
  <c r="O444" i="4" s="1"/>
  <c r="P444" i="4" s="1"/>
  <c r="Y444" i="4"/>
  <c r="Z444" i="4" s="1"/>
  <c r="AC444" i="4" s="1"/>
  <c r="AD444" i="4" s="1"/>
  <c r="AE444" i="4" s="1"/>
  <c r="AF444" i="4"/>
  <c r="AG444" i="4" s="1"/>
  <c r="R444" i="4"/>
  <c r="S444" i="4" s="1"/>
  <c r="V444" i="4" l="1"/>
  <c r="W444" i="4" s="1"/>
  <c r="X444" i="4" s="1"/>
  <c r="Q444" i="4"/>
  <c r="AM444" i="4" s="1"/>
  <c r="C445" i="4"/>
  <c r="I445" i="4"/>
  <c r="D445" i="4"/>
  <c r="J445" i="4"/>
  <c r="H445" i="4"/>
  <c r="AJ444" i="4"/>
  <c r="AK444" i="4" s="1"/>
  <c r="AL444" i="4" s="1"/>
  <c r="E445" i="4"/>
  <c r="B445" i="4"/>
  <c r="F445" i="4"/>
  <c r="R445" i="4" l="1"/>
  <c r="S445" i="4" s="1"/>
  <c r="AF445" i="4"/>
  <c r="AG445" i="4" s="1"/>
  <c r="K445" i="4"/>
  <c r="L445" i="4" s="1"/>
  <c r="O445" i="4" s="1"/>
  <c r="P445" i="4" s="1"/>
  <c r="Q445" i="4" s="1"/>
  <c r="Y445" i="4"/>
  <c r="Z445" i="4" s="1"/>
  <c r="AC445" i="4" s="1"/>
  <c r="AD445" i="4" s="1"/>
  <c r="AE445" i="4" s="1"/>
  <c r="M445" i="4"/>
  <c r="N445" i="4" s="1"/>
  <c r="AA445" i="4"/>
  <c r="AB445" i="4" s="1"/>
  <c r="AH445" i="4"/>
  <c r="AI445" i="4" s="1"/>
  <c r="T445" i="4"/>
  <c r="U445" i="4" s="1"/>
  <c r="G445" i="4"/>
  <c r="V445" i="4" l="1"/>
  <c r="W445" i="4" s="1"/>
  <c r="X445" i="4" s="1"/>
  <c r="AM445" i="4" s="1"/>
  <c r="C446" i="4"/>
  <c r="F446" i="4"/>
  <c r="I446" i="4"/>
  <c r="J446" i="4"/>
  <c r="E446" i="4"/>
  <c r="AJ445" i="4"/>
  <c r="AK445" i="4" s="1"/>
  <c r="AL445" i="4" s="1"/>
  <c r="H446" i="4"/>
  <c r="D446" i="4"/>
  <c r="G446" i="4" l="1"/>
  <c r="AA446" i="4" s="1"/>
  <c r="AB446" i="4" s="1"/>
  <c r="B446" i="4"/>
  <c r="T446" i="4" l="1"/>
  <c r="U446" i="4" s="1"/>
  <c r="R446" i="4"/>
  <c r="S446" i="4" s="1"/>
  <c r="V446" i="4" s="1"/>
  <c r="W446" i="4" s="1"/>
  <c r="X446" i="4" s="1"/>
  <c r="AF446" i="4"/>
  <c r="AG446" i="4" s="1"/>
  <c r="Y446" i="4"/>
  <c r="Z446" i="4" s="1"/>
  <c r="AC446" i="4" s="1"/>
  <c r="AD446" i="4" s="1"/>
  <c r="AE446" i="4" s="1"/>
  <c r="K446" i="4"/>
  <c r="L446" i="4" s="1"/>
  <c r="AH446" i="4"/>
  <c r="AI446" i="4" s="1"/>
  <c r="M446" i="4"/>
  <c r="N446" i="4" s="1"/>
  <c r="O446" i="4" l="1"/>
  <c r="P446" i="4" s="1"/>
  <c r="AJ446" i="4"/>
  <c r="AK446" i="4" s="1"/>
  <c r="AL446" i="4" s="1"/>
  <c r="Q446" i="4" l="1"/>
  <c r="AM446" i="4" s="1"/>
  <c r="J447" i="4"/>
  <c r="H447" i="4"/>
  <c r="I447" i="4"/>
  <c r="F447" i="4"/>
  <c r="C447" i="4"/>
  <c r="E447" i="4"/>
  <c r="D447" i="4"/>
  <c r="G447" i="4"/>
  <c r="B447" i="4"/>
  <c r="AH447" i="4" l="1"/>
  <c r="AI447" i="4" s="1"/>
  <c r="M447" i="4"/>
  <c r="N447" i="4" s="1"/>
  <c r="AA447" i="4"/>
  <c r="AB447" i="4" s="1"/>
  <c r="T447" i="4"/>
  <c r="U447" i="4" s="1"/>
  <c r="Y447" i="4"/>
  <c r="Z447" i="4" s="1"/>
  <c r="K447" i="4"/>
  <c r="L447" i="4" s="1"/>
  <c r="AF447" i="4"/>
  <c r="AG447" i="4" s="1"/>
  <c r="AJ447" i="4" s="1"/>
  <c r="AK447" i="4" s="1"/>
  <c r="AL447" i="4" s="1"/>
  <c r="R447" i="4"/>
  <c r="S447" i="4" s="1"/>
  <c r="V447" i="4" l="1"/>
  <c r="W447" i="4" s="1"/>
  <c r="X447" i="4" s="1"/>
  <c r="O447" i="4"/>
  <c r="P447" i="4" s="1"/>
  <c r="AC447" i="4"/>
  <c r="AD447" i="4" s="1"/>
  <c r="AE447" i="4" s="1"/>
  <c r="Q447" i="4" l="1"/>
  <c r="AM447" i="4" s="1"/>
  <c r="D448" i="4"/>
  <c r="G448" i="4"/>
  <c r="E448" i="4"/>
  <c r="B448" i="4"/>
  <c r="J448" i="4"/>
  <c r="C448" i="4"/>
  <c r="F448" i="4"/>
  <c r="I448" i="4"/>
  <c r="H448" i="4"/>
  <c r="K448" i="4" l="1"/>
  <c r="L448" i="4" s="1"/>
  <c r="AF448" i="4"/>
  <c r="AG448" i="4" s="1"/>
  <c r="R448" i="4"/>
  <c r="S448" i="4" s="1"/>
  <c r="V448" i="4" s="1"/>
  <c r="W448" i="4" s="1"/>
  <c r="X448" i="4" s="1"/>
  <c r="Y448" i="4"/>
  <c r="Z448" i="4" s="1"/>
  <c r="AC448" i="4" s="1"/>
  <c r="AD448" i="4" s="1"/>
  <c r="AE448" i="4" s="1"/>
  <c r="AA448" i="4"/>
  <c r="AB448" i="4" s="1"/>
  <c r="T448" i="4"/>
  <c r="U448" i="4" s="1"/>
  <c r="AH448" i="4"/>
  <c r="AI448" i="4" s="1"/>
  <c r="M448" i="4"/>
  <c r="N448" i="4" s="1"/>
  <c r="AJ448" i="4" l="1"/>
  <c r="AK448" i="4" s="1"/>
  <c r="AL448" i="4" s="1"/>
  <c r="O448" i="4"/>
  <c r="P448" i="4" s="1"/>
  <c r="Q448" i="4" l="1"/>
  <c r="AM448" i="4" s="1"/>
  <c r="F449" i="4"/>
  <c r="D449" i="4"/>
  <c r="I449" i="4"/>
  <c r="E449" i="4"/>
  <c r="B449" i="4"/>
  <c r="C449" i="4"/>
  <c r="J449" i="4"/>
  <c r="G449" i="4"/>
  <c r="H449" i="4"/>
  <c r="M449" i="4" l="1"/>
  <c r="N449" i="4" s="1"/>
  <c r="AA449" i="4"/>
  <c r="AB449" i="4" s="1"/>
  <c r="T449" i="4"/>
  <c r="U449" i="4" s="1"/>
  <c r="AH449" i="4"/>
  <c r="AI449" i="4" s="1"/>
  <c r="AF449" i="4"/>
  <c r="AG449" i="4" s="1"/>
  <c r="R449" i="4"/>
  <c r="S449" i="4" s="1"/>
  <c r="K449" i="4"/>
  <c r="L449" i="4" s="1"/>
  <c r="O449" i="4" s="1"/>
  <c r="P449" i="4" s="1"/>
  <c r="Q449" i="4" s="1"/>
  <c r="Y449" i="4"/>
  <c r="Z449" i="4" s="1"/>
  <c r="AC449" i="4" s="1"/>
  <c r="AD449" i="4" s="1"/>
  <c r="AE449" i="4" s="1"/>
  <c r="V449" i="4" l="1"/>
  <c r="W449" i="4" s="1"/>
  <c r="AJ449" i="4"/>
  <c r="AK449" i="4" s="1"/>
  <c r="AL449" i="4" s="1"/>
  <c r="C450" i="4"/>
  <c r="G450" i="4" l="1"/>
  <c r="J450" i="4"/>
  <c r="B450" i="4"/>
  <c r="X449" i="4"/>
  <c r="AM449" i="4" s="1"/>
  <c r="E450" i="4"/>
  <c r="I450" i="4"/>
  <c r="H450" i="4"/>
  <c r="D450" i="4"/>
  <c r="F450" i="4"/>
  <c r="T450" i="4" l="1"/>
  <c r="U450" i="4" s="1"/>
  <c r="AA450" i="4"/>
  <c r="AB450" i="4" s="1"/>
  <c r="M450" i="4"/>
  <c r="N450" i="4" s="1"/>
  <c r="AH450" i="4"/>
  <c r="AI450" i="4" s="1"/>
  <c r="K450" i="4"/>
  <c r="L450" i="4" s="1"/>
  <c r="R450" i="4"/>
  <c r="S450" i="4" s="1"/>
  <c r="V450" i="4" s="1"/>
  <c r="W450" i="4" s="1"/>
  <c r="X450" i="4" s="1"/>
  <c r="AF450" i="4"/>
  <c r="AG450" i="4" s="1"/>
  <c r="AJ450" i="4" s="1"/>
  <c r="AK450" i="4" s="1"/>
  <c r="AL450" i="4" s="1"/>
  <c r="Y450" i="4"/>
  <c r="Z450" i="4" s="1"/>
  <c r="AC450" i="4" s="1"/>
  <c r="AD450" i="4" s="1"/>
  <c r="AE450" i="4" s="1"/>
  <c r="O450" i="4" l="1"/>
  <c r="P450" i="4" s="1"/>
  <c r="Q450" i="4" l="1"/>
  <c r="AM450" i="4" s="1"/>
  <c r="C451" i="4"/>
  <c r="I451" i="4"/>
  <c r="G451" i="4"/>
  <c r="B451" i="4"/>
  <c r="E451" i="4"/>
  <c r="H451" i="4"/>
  <c r="J451" i="4"/>
  <c r="F451" i="4"/>
  <c r="D451" i="4"/>
  <c r="T451" i="4" l="1"/>
  <c r="U451" i="4" s="1"/>
  <c r="AH451" i="4"/>
  <c r="AI451" i="4" s="1"/>
  <c r="AA451" i="4"/>
  <c r="AB451" i="4" s="1"/>
  <c r="M451" i="4"/>
  <c r="N451" i="4" s="1"/>
  <c r="Y451" i="4"/>
  <c r="Z451" i="4" s="1"/>
  <c r="AF451" i="4"/>
  <c r="AG451" i="4" s="1"/>
  <c r="AJ451" i="4" s="1"/>
  <c r="AK451" i="4" s="1"/>
  <c r="AL451" i="4" s="1"/>
  <c r="K451" i="4"/>
  <c r="L451" i="4" s="1"/>
  <c r="R451" i="4"/>
  <c r="S451" i="4" s="1"/>
  <c r="V451" i="4" s="1"/>
  <c r="W451" i="4" s="1"/>
  <c r="X451" i="4" s="1"/>
  <c r="O451" i="4" l="1"/>
  <c r="P451" i="4" s="1"/>
  <c r="AC451" i="4"/>
  <c r="AD451" i="4" s="1"/>
  <c r="AE451" i="4" s="1"/>
  <c r="Q451" i="4" l="1"/>
  <c r="AM451" i="4" s="1"/>
  <c r="H452" i="4"/>
  <c r="C452" i="4"/>
  <c r="F452" i="4"/>
  <c r="B452" i="4"/>
  <c r="E452" i="4"/>
  <c r="J452" i="4"/>
  <c r="I452" i="4"/>
  <c r="G452" i="4"/>
  <c r="D452" i="4"/>
  <c r="AA452" i="4" l="1"/>
  <c r="AB452" i="4" s="1"/>
  <c r="AH452" i="4"/>
  <c r="AI452" i="4" s="1"/>
  <c r="M452" i="4"/>
  <c r="N452" i="4" s="1"/>
  <c r="T452" i="4"/>
  <c r="U452" i="4" s="1"/>
  <c r="K452" i="4"/>
  <c r="L452" i="4" s="1"/>
  <c r="R452" i="4"/>
  <c r="S452" i="4" s="1"/>
  <c r="AF452" i="4"/>
  <c r="AG452" i="4" s="1"/>
  <c r="Y452" i="4"/>
  <c r="Z452" i="4" s="1"/>
  <c r="AC452" i="4" s="1"/>
  <c r="AD452" i="4" s="1"/>
  <c r="AE452" i="4" s="1"/>
  <c r="AJ452" i="4" l="1"/>
  <c r="AK452" i="4" s="1"/>
  <c r="AL452" i="4" s="1"/>
  <c r="V452" i="4"/>
  <c r="W452" i="4" s="1"/>
  <c r="X452" i="4" s="1"/>
  <c r="O452" i="4"/>
  <c r="P452" i="4" s="1"/>
  <c r="Q452" i="4" l="1"/>
  <c r="AM452" i="4" s="1"/>
  <c r="AP56" i="4" s="1"/>
  <c r="J453" i="4"/>
  <c r="G453" i="4"/>
  <c r="B453" i="4"/>
  <c r="F453" i="4"/>
  <c r="E453" i="4"/>
  <c r="H453" i="4"/>
  <c r="C453" i="4"/>
  <c r="I453" i="4"/>
  <c r="D453" i="4"/>
  <c r="M453" i="4" l="1"/>
  <c r="N453" i="4" s="1"/>
  <c r="T453" i="4"/>
  <c r="U453" i="4" s="1"/>
  <c r="AA453" i="4"/>
  <c r="AB453" i="4" s="1"/>
  <c r="AH453" i="4"/>
  <c r="AI453" i="4" s="1"/>
  <c r="K453" i="4"/>
  <c r="L453" i="4" s="1"/>
  <c r="O453" i="4" s="1"/>
  <c r="P453" i="4" s="1"/>
  <c r="Q453" i="4" s="1"/>
  <c r="AF453" i="4"/>
  <c r="AG453" i="4" s="1"/>
  <c r="AJ453" i="4" s="1"/>
  <c r="AK453" i="4" s="1"/>
  <c r="AL453" i="4" s="1"/>
  <c r="Y453" i="4"/>
  <c r="Z453" i="4" s="1"/>
  <c r="AC453" i="4" s="1"/>
  <c r="AD453" i="4" s="1"/>
  <c r="AE453" i="4" s="1"/>
  <c r="R453" i="4"/>
  <c r="S453" i="4" s="1"/>
  <c r="V453" i="4" s="1"/>
  <c r="W453" i="4" s="1"/>
  <c r="X453" i="4" s="1"/>
  <c r="D454" i="4"/>
  <c r="G454" i="4" l="1"/>
  <c r="F454" i="4"/>
  <c r="B454" i="4"/>
  <c r="E454" i="4"/>
  <c r="AM453" i="4"/>
  <c r="C454" i="4"/>
  <c r="I454" i="4"/>
  <c r="J454" i="4"/>
  <c r="H454" i="4"/>
  <c r="K454" i="4" l="1"/>
  <c r="L454" i="4" s="1"/>
  <c r="AF454" i="4"/>
  <c r="AG454" i="4" s="1"/>
  <c r="Y454" i="4"/>
  <c r="Z454" i="4" s="1"/>
  <c r="AC454" i="4" s="1"/>
  <c r="AD454" i="4" s="1"/>
  <c r="AE454" i="4" s="1"/>
  <c r="R454" i="4"/>
  <c r="S454" i="4" s="1"/>
  <c r="V454" i="4" s="1"/>
  <c r="W454" i="4" s="1"/>
  <c r="X454" i="4" s="1"/>
  <c r="T454" i="4"/>
  <c r="U454" i="4" s="1"/>
  <c r="AA454" i="4"/>
  <c r="AB454" i="4" s="1"/>
  <c r="M454" i="4"/>
  <c r="N454" i="4" s="1"/>
  <c r="AH454" i="4"/>
  <c r="AI454" i="4" s="1"/>
  <c r="AJ454" i="4" l="1"/>
  <c r="AK454" i="4" s="1"/>
  <c r="AL454" i="4" s="1"/>
  <c r="O454" i="4"/>
  <c r="P454" i="4" s="1"/>
  <c r="Q454" i="4" l="1"/>
  <c r="AM454" i="4" s="1"/>
  <c r="D455" i="4"/>
  <c r="I455" i="4"/>
  <c r="F455" i="4"/>
  <c r="J455" i="4"/>
  <c r="H455" i="4"/>
  <c r="C455" i="4"/>
  <c r="E455" i="4"/>
  <c r="G455" i="4"/>
  <c r="B455" i="4"/>
  <c r="AA455" i="4" l="1"/>
  <c r="AB455" i="4" s="1"/>
  <c r="T455" i="4"/>
  <c r="U455" i="4" s="1"/>
  <c r="AH455" i="4"/>
  <c r="AI455" i="4" s="1"/>
  <c r="M455" i="4"/>
  <c r="N455" i="4" s="1"/>
  <c r="Y455" i="4"/>
  <c r="Z455" i="4" s="1"/>
  <c r="AC455" i="4" s="1"/>
  <c r="AD455" i="4" s="1"/>
  <c r="AE455" i="4" s="1"/>
  <c r="AF455" i="4"/>
  <c r="AG455" i="4" s="1"/>
  <c r="AJ455" i="4" s="1"/>
  <c r="AK455" i="4" s="1"/>
  <c r="AL455" i="4" s="1"/>
  <c r="K455" i="4"/>
  <c r="L455" i="4" s="1"/>
  <c r="R455" i="4"/>
  <c r="S455" i="4" s="1"/>
  <c r="V455" i="4" s="1"/>
  <c r="W455" i="4" s="1"/>
  <c r="X455" i="4" s="1"/>
  <c r="O455" i="4" l="1"/>
  <c r="P455" i="4" s="1"/>
  <c r="Q455" i="4" l="1"/>
  <c r="AM455" i="4" s="1"/>
  <c r="G456" i="4"/>
  <c r="E456" i="4"/>
  <c r="B456" i="4"/>
  <c r="C456" i="4"/>
  <c r="D456" i="4"/>
  <c r="H456" i="4"/>
  <c r="J456" i="4"/>
  <c r="F456" i="4"/>
  <c r="I456" i="4"/>
  <c r="K456" i="4" l="1"/>
  <c r="L456" i="4" s="1"/>
  <c r="R456" i="4"/>
  <c r="S456" i="4" s="1"/>
  <c r="Y456" i="4"/>
  <c r="Z456" i="4" s="1"/>
  <c r="AC456" i="4" s="1"/>
  <c r="AD456" i="4" s="1"/>
  <c r="AE456" i="4" s="1"/>
  <c r="AF456" i="4"/>
  <c r="AG456" i="4" s="1"/>
  <c r="AJ456" i="4" s="1"/>
  <c r="AK456" i="4" s="1"/>
  <c r="AL456" i="4" s="1"/>
  <c r="AA456" i="4"/>
  <c r="AB456" i="4" s="1"/>
  <c r="AH456" i="4"/>
  <c r="AI456" i="4" s="1"/>
  <c r="T456" i="4"/>
  <c r="U456" i="4" s="1"/>
  <c r="M456" i="4"/>
  <c r="N456" i="4" s="1"/>
  <c r="V456" i="4" l="1"/>
  <c r="W456" i="4" s="1"/>
  <c r="X456" i="4" s="1"/>
  <c r="O456" i="4"/>
  <c r="P456" i="4" s="1"/>
  <c r="Q456" i="4" l="1"/>
  <c r="AM456" i="4" s="1"/>
  <c r="J457" i="4"/>
  <c r="I457" i="4"/>
  <c r="F457" i="4"/>
  <c r="H457" i="4"/>
  <c r="G457" i="4"/>
  <c r="D457" i="4"/>
  <c r="C457" i="4"/>
  <c r="E457" i="4"/>
  <c r="B457" i="4"/>
  <c r="Y457" i="4" l="1"/>
  <c r="Z457" i="4" s="1"/>
  <c r="AF457" i="4"/>
  <c r="AG457" i="4" s="1"/>
  <c r="K457" i="4"/>
  <c r="L457" i="4" s="1"/>
  <c r="O457" i="4" s="1"/>
  <c r="P457" i="4" s="1"/>
  <c r="Q457" i="4" s="1"/>
  <c r="R457" i="4"/>
  <c r="S457" i="4" s="1"/>
  <c r="M457" i="4"/>
  <c r="N457" i="4" s="1"/>
  <c r="T457" i="4"/>
  <c r="U457" i="4" s="1"/>
  <c r="AH457" i="4"/>
  <c r="AI457" i="4" s="1"/>
  <c r="AA457" i="4"/>
  <c r="AB457" i="4" s="1"/>
  <c r="AJ457" i="4" l="1"/>
  <c r="AK457" i="4" s="1"/>
  <c r="AL457" i="4" s="1"/>
  <c r="AC457" i="4"/>
  <c r="AD457" i="4" s="1"/>
  <c r="AE457" i="4" s="1"/>
  <c r="I458" i="4"/>
  <c r="F458" i="4"/>
  <c r="H458" i="4"/>
  <c r="V457" i="4"/>
  <c r="W457" i="4" s="1"/>
  <c r="X457" i="4" s="1"/>
  <c r="AM457" i="4" s="1"/>
  <c r="D458" i="4"/>
  <c r="G458" i="4" l="1"/>
  <c r="J458" i="4"/>
  <c r="B458" i="4"/>
  <c r="C458" i="4"/>
  <c r="E458" i="4"/>
  <c r="R458" i="4" l="1"/>
  <c r="S458" i="4" s="1"/>
  <c r="Y458" i="4"/>
  <c r="Z458" i="4" s="1"/>
  <c r="AC458" i="4" s="1"/>
  <c r="AD458" i="4" s="1"/>
  <c r="AE458" i="4" s="1"/>
  <c r="AF458" i="4"/>
  <c r="AG458" i="4" s="1"/>
  <c r="K458" i="4"/>
  <c r="L458" i="4" s="1"/>
  <c r="O458" i="4" s="1"/>
  <c r="P458" i="4" s="1"/>
  <c r="M458" i="4"/>
  <c r="N458" i="4" s="1"/>
  <c r="AA458" i="4"/>
  <c r="AB458" i="4" s="1"/>
  <c r="T458" i="4"/>
  <c r="U458" i="4" s="1"/>
  <c r="AH458" i="4"/>
  <c r="AI458" i="4" s="1"/>
  <c r="AJ458" i="4" l="1"/>
  <c r="AK458" i="4" s="1"/>
  <c r="AL458" i="4" s="1"/>
  <c r="V458" i="4"/>
  <c r="W458" i="4" s="1"/>
  <c r="X458" i="4" s="1"/>
  <c r="Q458" i="4"/>
  <c r="AM458" i="4" s="1"/>
  <c r="F459" i="4"/>
  <c r="B459" i="4" l="1"/>
  <c r="J459" i="4"/>
  <c r="D459" i="4"/>
  <c r="C459" i="4"/>
  <c r="H459" i="4"/>
  <c r="G459" i="4"/>
  <c r="I459" i="4"/>
  <c r="E459" i="4"/>
  <c r="Y459" i="4" l="1"/>
  <c r="Z459" i="4" s="1"/>
  <c r="AF459" i="4"/>
  <c r="AG459" i="4" s="1"/>
  <c r="AJ459" i="4" s="1"/>
  <c r="AK459" i="4" s="1"/>
  <c r="AL459" i="4" s="1"/>
  <c r="R459" i="4"/>
  <c r="S459" i="4" s="1"/>
  <c r="K459" i="4"/>
  <c r="L459" i="4" s="1"/>
  <c r="M459" i="4"/>
  <c r="N459" i="4" s="1"/>
  <c r="AH459" i="4"/>
  <c r="AI459" i="4" s="1"/>
  <c r="AA459" i="4"/>
  <c r="AB459" i="4" s="1"/>
  <c r="T459" i="4"/>
  <c r="U459" i="4" s="1"/>
  <c r="V459" i="4" l="1"/>
  <c r="W459" i="4" s="1"/>
  <c r="X459" i="4" s="1"/>
  <c r="AC459" i="4"/>
  <c r="AD459" i="4" s="1"/>
  <c r="AE459" i="4" s="1"/>
  <c r="O459" i="4"/>
  <c r="P459" i="4" s="1"/>
  <c r="Q459" i="4" l="1"/>
  <c r="AM459" i="4" s="1"/>
  <c r="F460" i="4"/>
  <c r="G460" i="4"/>
  <c r="H460" i="4"/>
  <c r="I460" i="4"/>
  <c r="C460" i="4"/>
  <c r="D460" i="4"/>
  <c r="J460" i="4"/>
  <c r="B460" i="4"/>
  <c r="E460" i="4"/>
  <c r="AA460" i="4" l="1"/>
  <c r="AB460" i="4" s="1"/>
  <c r="AH460" i="4"/>
  <c r="AI460" i="4" s="1"/>
  <c r="M460" i="4"/>
  <c r="N460" i="4" s="1"/>
  <c r="T460" i="4"/>
  <c r="U460" i="4" s="1"/>
  <c r="K460" i="4"/>
  <c r="L460" i="4" s="1"/>
  <c r="R460" i="4"/>
  <c r="S460" i="4" s="1"/>
  <c r="V460" i="4" s="1"/>
  <c r="W460" i="4" s="1"/>
  <c r="X460" i="4" s="1"/>
  <c r="AF460" i="4"/>
  <c r="AG460" i="4" s="1"/>
  <c r="AJ460" i="4" s="1"/>
  <c r="AK460" i="4" s="1"/>
  <c r="AL460" i="4" s="1"/>
  <c r="Y460" i="4"/>
  <c r="Z460" i="4" s="1"/>
  <c r="O460" i="4" l="1"/>
  <c r="P460" i="4" s="1"/>
  <c r="AC460" i="4"/>
  <c r="AD460" i="4" s="1"/>
  <c r="AE460" i="4" s="1"/>
  <c r="Q460" i="4" l="1"/>
  <c r="AM460" i="4" s="1"/>
  <c r="J461" i="4"/>
  <c r="D461" i="4"/>
  <c r="I461" i="4"/>
  <c r="C461" i="4"/>
  <c r="G461" i="4"/>
  <c r="H461" i="4"/>
  <c r="F461" i="4"/>
  <c r="E461" i="4"/>
  <c r="B461" i="4"/>
  <c r="K461" i="4" l="1"/>
  <c r="L461" i="4" s="1"/>
  <c r="AF461" i="4"/>
  <c r="AG461" i="4" s="1"/>
  <c r="AJ461" i="4" s="1"/>
  <c r="AK461" i="4" s="1"/>
  <c r="AL461" i="4" s="1"/>
  <c r="R461" i="4"/>
  <c r="S461" i="4" s="1"/>
  <c r="V461" i="4" s="1"/>
  <c r="W461" i="4" s="1"/>
  <c r="X461" i="4" s="1"/>
  <c r="Y461" i="4"/>
  <c r="Z461" i="4" s="1"/>
  <c r="M461" i="4"/>
  <c r="N461" i="4" s="1"/>
  <c r="T461" i="4"/>
  <c r="U461" i="4" s="1"/>
  <c r="AA461" i="4"/>
  <c r="AB461" i="4" s="1"/>
  <c r="AH461" i="4"/>
  <c r="AI461" i="4" s="1"/>
  <c r="AC461" i="4" l="1"/>
  <c r="AD461" i="4" s="1"/>
  <c r="AE461" i="4" s="1"/>
  <c r="O461" i="4"/>
  <c r="P461" i="4" s="1"/>
  <c r="Q461" i="4" l="1"/>
  <c r="AM461" i="4" s="1"/>
  <c r="F462" i="4"/>
  <c r="B462" i="4"/>
  <c r="G462" i="4"/>
  <c r="C462" i="4"/>
  <c r="H462" i="4"/>
  <c r="D462" i="4"/>
  <c r="I462" i="4"/>
  <c r="J462" i="4"/>
  <c r="E462" i="4"/>
  <c r="AA462" i="4" l="1"/>
  <c r="AB462" i="4" s="1"/>
  <c r="M462" i="4"/>
  <c r="N462" i="4" s="1"/>
  <c r="T462" i="4"/>
  <c r="U462" i="4" s="1"/>
  <c r="AH462" i="4"/>
  <c r="AI462" i="4" s="1"/>
  <c r="K462" i="4"/>
  <c r="L462" i="4" s="1"/>
  <c r="AF462" i="4"/>
  <c r="AG462" i="4" s="1"/>
  <c r="AJ462" i="4" s="1"/>
  <c r="AK462" i="4" s="1"/>
  <c r="AL462" i="4" s="1"/>
  <c r="Y462" i="4"/>
  <c r="Z462" i="4" s="1"/>
  <c r="AC462" i="4" s="1"/>
  <c r="AD462" i="4" s="1"/>
  <c r="AE462" i="4" s="1"/>
  <c r="R462" i="4"/>
  <c r="S462" i="4" s="1"/>
  <c r="V462" i="4" s="1"/>
  <c r="W462" i="4" s="1"/>
  <c r="X462" i="4" s="1"/>
  <c r="O462" i="4" l="1"/>
  <c r="P462" i="4" s="1"/>
  <c r="Q462" i="4" l="1"/>
  <c r="AM462" i="4" s="1"/>
  <c r="AP57" i="4" s="1"/>
  <c r="I463" i="4"/>
  <c r="J463" i="4"/>
  <c r="D463" i="4"/>
  <c r="F463" i="4"/>
  <c r="H463" i="4"/>
  <c r="C463" i="4"/>
  <c r="G463" i="4"/>
  <c r="B463" i="4"/>
  <c r="E463" i="4"/>
  <c r="T463" i="4" l="1"/>
  <c r="U463" i="4" s="1"/>
  <c r="AA463" i="4"/>
  <c r="AB463" i="4" s="1"/>
  <c r="M463" i="4"/>
  <c r="N463" i="4" s="1"/>
  <c r="AH463" i="4"/>
  <c r="AI463" i="4" s="1"/>
  <c r="Y463" i="4"/>
  <c r="Z463" i="4" s="1"/>
  <c r="AF463" i="4"/>
  <c r="AG463" i="4" s="1"/>
  <c r="AJ463" i="4" s="1"/>
  <c r="AK463" i="4" s="1"/>
  <c r="AL463" i="4" s="1"/>
  <c r="K463" i="4"/>
  <c r="L463" i="4" s="1"/>
  <c r="O463" i="4" s="1"/>
  <c r="P463" i="4" s="1"/>
  <c r="Q463" i="4" s="1"/>
  <c r="R463" i="4"/>
  <c r="S463" i="4" s="1"/>
  <c r="AC463" i="4" l="1"/>
  <c r="AD463" i="4" s="1"/>
  <c r="AE463" i="4" s="1"/>
  <c r="J464" i="4"/>
  <c r="D464" i="4"/>
  <c r="F464" i="4"/>
  <c r="H464" i="4"/>
  <c r="I464" i="4"/>
  <c r="V463" i="4"/>
  <c r="W463" i="4" s="1"/>
  <c r="X463" i="4" s="1"/>
  <c r="AM463" i="4" s="1"/>
  <c r="G464" i="4"/>
  <c r="E464" i="4" l="1"/>
  <c r="B464" i="4"/>
  <c r="C464" i="4"/>
  <c r="AA464" i="4" l="1"/>
  <c r="AB464" i="4" s="1"/>
  <c r="AH464" i="4"/>
  <c r="AI464" i="4" s="1"/>
  <c r="T464" i="4"/>
  <c r="U464" i="4" s="1"/>
  <c r="M464" i="4"/>
  <c r="N464" i="4" s="1"/>
  <c r="K464" i="4"/>
  <c r="L464" i="4" s="1"/>
  <c r="R464" i="4"/>
  <c r="S464" i="4" s="1"/>
  <c r="V464" i="4" s="1"/>
  <c r="W464" i="4" s="1"/>
  <c r="X464" i="4" s="1"/>
  <c r="Y464" i="4"/>
  <c r="Z464" i="4" s="1"/>
  <c r="AC464" i="4" s="1"/>
  <c r="AD464" i="4" s="1"/>
  <c r="AE464" i="4" s="1"/>
  <c r="AF464" i="4"/>
  <c r="AG464" i="4" s="1"/>
  <c r="O464" i="4" l="1"/>
  <c r="P464" i="4" s="1"/>
  <c r="AJ464" i="4"/>
  <c r="AK464" i="4" s="1"/>
  <c r="AL464" i="4" s="1"/>
  <c r="Q464" i="4" l="1"/>
  <c r="AM464" i="4" s="1"/>
  <c r="I465" i="4"/>
  <c r="F465" i="4"/>
  <c r="G465" i="4"/>
  <c r="H465" i="4"/>
  <c r="D465" i="4"/>
  <c r="J465" i="4"/>
  <c r="E465" i="4"/>
  <c r="C465" i="4"/>
  <c r="B465" i="4"/>
  <c r="M465" i="4" l="1"/>
  <c r="N465" i="4" s="1"/>
  <c r="T465" i="4"/>
  <c r="U465" i="4" s="1"/>
  <c r="AA465" i="4"/>
  <c r="AB465" i="4" s="1"/>
  <c r="AH465" i="4"/>
  <c r="AI465" i="4" s="1"/>
  <c r="Y465" i="4"/>
  <c r="Z465" i="4" s="1"/>
  <c r="AC465" i="4" s="1"/>
  <c r="AD465" i="4" s="1"/>
  <c r="AE465" i="4" s="1"/>
  <c r="R465" i="4"/>
  <c r="S465" i="4" s="1"/>
  <c r="V465" i="4" s="1"/>
  <c r="W465" i="4" s="1"/>
  <c r="X465" i="4" s="1"/>
  <c r="AF465" i="4"/>
  <c r="AG465" i="4" s="1"/>
  <c r="AJ465" i="4" s="1"/>
  <c r="AK465" i="4" s="1"/>
  <c r="AL465" i="4" s="1"/>
  <c r="K465" i="4"/>
  <c r="L465" i="4" s="1"/>
  <c r="O465" i="4" s="1"/>
  <c r="P465" i="4" s="1"/>
  <c r="Q465" i="4" s="1"/>
  <c r="AM465" i="4" s="1"/>
  <c r="F466" i="4" l="1"/>
  <c r="G466" i="4"/>
  <c r="H466" i="4"/>
  <c r="D466" i="4"/>
  <c r="I466" i="4"/>
  <c r="J466" i="4"/>
  <c r="E466" i="4"/>
  <c r="B466" i="4"/>
  <c r="C466" i="4"/>
  <c r="K466" i="4" l="1"/>
  <c r="L466" i="4" s="1"/>
  <c r="Y466" i="4"/>
  <c r="Z466" i="4" s="1"/>
  <c r="R466" i="4"/>
  <c r="S466" i="4" s="1"/>
  <c r="V466" i="4" s="1"/>
  <c r="W466" i="4" s="1"/>
  <c r="X466" i="4" s="1"/>
  <c r="AF466" i="4"/>
  <c r="AG466" i="4" s="1"/>
  <c r="AJ466" i="4" s="1"/>
  <c r="AK466" i="4" s="1"/>
  <c r="AL466" i="4" s="1"/>
  <c r="AA466" i="4"/>
  <c r="AB466" i="4" s="1"/>
  <c r="M466" i="4"/>
  <c r="N466" i="4" s="1"/>
  <c r="AH466" i="4"/>
  <c r="AI466" i="4" s="1"/>
  <c r="T466" i="4"/>
  <c r="U466" i="4" s="1"/>
  <c r="AC466" i="4" l="1"/>
  <c r="AD466" i="4" s="1"/>
  <c r="AE466" i="4" s="1"/>
  <c r="O466" i="4"/>
  <c r="P466" i="4" s="1"/>
  <c r="Q466" i="4" l="1"/>
  <c r="AM466" i="4" s="1"/>
  <c r="F467" i="4"/>
  <c r="B467" i="4"/>
  <c r="J467" i="4"/>
  <c r="I467" i="4"/>
  <c r="D467" i="4"/>
  <c r="G467" i="4"/>
  <c r="C467" i="4"/>
  <c r="H467" i="4"/>
  <c r="E467" i="4"/>
  <c r="Y467" i="4" l="1"/>
  <c r="Z467" i="4" s="1"/>
  <c r="AF467" i="4"/>
  <c r="AG467" i="4" s="1"/>
  <c r="K467" i="4"/>
  <c r="L467" i="4" s="1"/>
  <c r="O467" i="4" s="1"/>
  <c r="P467" i="4" s="1"/>
  <c r="Q467" i="4" s="1"/>
  <c r="R467" i="4"/>
  <c r="S467" i="4" s="1"/>
  <c r="M467" i="4"/>
  <c r="N467" i="4" s="1"/>
  <c r="AA467" i="4"/>
  <c r="AB467" i="4" s="1"/>
  <c r="T467" i="4"/>
  <c r="U467" i="4" s="1"/>
  <c r="AH467" i="4"/>
  <c r="AI467" i="4" s="1"/>
  <c r="V467" i="4" l="1"/>
  <c r="W467" i="4" s="1"/>
  <c r="AC467" i="4"/>
  <c r="AD467" i="4" s="1"/>
  <c r="AE467" i="4" s="1"/>
  <c r="J468" i="4"/>
  <c r="D468" i="4"/>
  <c r="C468" i="4"/>
  <c r="E468" i="4"/>
  <c r="AJ467" i="4"/>
  <c r="AK467" i="4" s="1"/>
  <c r="AL467" i="4" s="1"/>
  <c r="G468" i="4"/>
  <c r="I468" i="4" l="1"/>
  <c r="B468" i="4"/>
  <c r="H468" i="4"/>
  <c r="X467" i="4"/>
  <c r="AM467" i="4" s="1"/>
  <c r="F468" i="4"/>
  <c r="M468" i="4" l="1"/>
  <c r="N468" i="4" s="1"/>
  <c r="AH468" i="4"/>
  <c r="AI468" i="4" s="1"/>
  <c r="T468" i="4"/>
  <c r="U468" i="4" s="1"/>
  <c r="K468" i="4"/>
  <c r="L468" i="4" s="1"/>
  <c r="O468" i="4" s="1"/>
  <c r="P468" i="4" s="1"/>
  <c r="R468" i="4"/>
  <c r="S468" i="4" s="1"/>
  <c r="V468" i="4" s="1"/>
  <c r="W468" i="4" s="1"/>
  <c r="X468" i="4" s="1"/>
  <c r="Y468" i="4"/>
  <c r="Z468" i="4" s="1"/>
  <c r="AF468" i="4"/>
  <c r="AG468" i="4" s="1"/>
  <c r="AA468" i="4"/>
  <c r="AB468" i="4" s="1"/>
  <c r="Q468" i="4" l="1"/>
  <c r="E469" i="4"/>
  <c r="AJ468" i="4"/>
  <c r="AK468" i="4" s="1"/>
  <c r="AL468" i="4" s="1"/>
  <c r="AC468" i="4"/>
  <c r="AD468" i="4" s="1"/>
  <c r="AE468" i="4" s="1"/>
  <c r="D469" i="4" l="1"/>
  <c r="J469" i="4"/>
  <c r="G469" i="4"/>
  <c r="C469" i="4"/>
  <c r="F469" i="4"/>
  <c r="AH469" i="4" s="1"/>
  <c r="AI469" i="4" s="1"/>
  <c r="B469" i="4"/>
  <c r="AM468" i="4"/>
  <c r="H469" i="4"/>
  <c r="I469" i="4"/>
  <c r="AA469" i="4" l="1"/>
  <c r="AB469" i="4" s="1"/>
  <c r="T469" i="4"/>
  <c r="U469" i="4" s="1"/>
  <c r="Y469" i="4"/>
  <c r="Z469" i="4" s="1"/>
  <c r="K469" i="4"/>
  <c r="L469" i="4" s="1"/>
  <c r="R469" i="4"/>
  <c r="S469" i="4" s="1"/>
  <c r="AF469" i="4"/>
  <c r="AG469" i="4" s="1"/>
  <c r="AJ469" i="4" s="1"/>
  <c r="AK469" i="4" s="1"/>
  <c r="AL469" i="4" s="1"/>
  <c r="M469" i="4"/>
  <c r="N469" i="4" s="1"/>
  <c r="AC469" i="4" l="1"/>
  <c r="AD469" i="4" s="1"/>
  <c r="AE469" i="4" s="1"/>
  <c r="V469" i="4"/>
  <c r="W469" i="4" s="1"/>
  <c r="X469" i="4" s="1"/>
  <c r="O469" i="4"/>
  <c r="P469" i="4" s="1"/>
  <c r="Q469" i="4" l="1"/>
  <c r="AM469" i="4" s="1"/>
  <c r="E470" i="4"/>
  <c r="G470" i="4"/>
  <c r="B470" i="4"/>
  <c r="I470" i="4"/>
  <c r="H470" i="4"/>
  <c r="J470" i="4"/>
  <c r="D470" i="4"/>
  <c r="F470" i="4"/>
  <c r="C470" i="4"/>
  <c r="AA470" i="4" l="1"/>
  <c r="AB470" i="4" s="1"/>
  <c r="M470" i="4"/>
  <c r="N470" i="4" s="1"/>
  <c r="AH470" i="4"/>
  <c r="AI470" i="4" s="1"/>
  <c r="T470" i="4"/>
  <c r="U470" i="4" s="1"/>
  <c r="K470" i="4"/>
  <c r="L470" i="4" s="1"/>
  <c r="Y470" i="4"/>
  <c r="Z470" i="4" s="1"/>
  <c r="AF470" i="4"/>
  <c r="AG470" i="4" s="1"/>
  <c r="AJ470" i="4" s="1"/>
  <c r="AK470" i="4" s="1"/>
  <c r="AL470" i="4" s="1"/>
  <c r="R470" i="4"/>
  <c r="S470" i="4" s="1"/>
  <c r="V470" i="4" s="1"/>
  <c r="W470" i="4" s="1"/>
  <c r="X470" i="4" s="1"/>
  <c r="O470" i="4" l="1"/>
  <c r="P470" i="4" s="1"/>
  <c r="AC470" i="4"/>
  <c r="AD470" i="4" s="1"/>
  <c r="AE470" i="4" s="1"/>
  <c r="Q470" i="4" l="1"/>
  <c r="AM470" i="4" s="1"/>
  <c r="H471" i="4"/>
  <c r="F471" i="4"/>
  <c r="D471" i="4"/>
  <c r="J471" i="4"/>
  <c r="I471" i="4"/>
  <c r="B471" i="4"/>
  <c r="G471" i="4"/>
  <c r="C471" i="4"/>
  <c r="E471" i="4"/>
  <c r="Y471" i="4" l="1"/>
  <c r="Z471" i="4" s="1"/>
  <c r="AF471" i="4"/>
  <c r="AG471" i="4" s="1"/>
  <c r="AJ471" i="4" s="1"/>
  <c r="AK471" i="4" s="1"/>
  <c r="AL471" i="4" s="1"/>
  <c r="R471" i="4"/>
  <c r="S471" i="4" s="1"/>
  <c r="V471" i="4" s="1"/>
  <c r="W471" i="4" s="1"/>
  <c r="X471" i="4" s="1"/>
  <c r="K471" i="4"/>
  <c r="L471" i="4" s="1"/>
  <c r="O471" i="4" s="1"/>
  <c r="P471" i="4" s="1"/>
  <c r="Q471" i="4" s="1"/>
  <c r="M471" i="4"/>
  <c r="N471" i="4" s="1"/>
  <c r="AA471" i="4"/>
  <c r="AB471" i="4" s="1"/>
  <c r="AH471" i="4"/>
  <c r="AI471" i="4" s="1"/>
  <c r="T471" i="4"/>
  <c r="U471" i="4" s="1"/>
  <c r="AC471" i="4" l="1"/>
  <c r="AD471" i="4" s="1"/>
  <c r="E472" i="4" s="1"/>
  <c r="G472" i="4"/>
  <c r="AE471" i="4" l="1"/>
  <c r="AM471" i="4" s="1"/>
  <c r="F472" i="4"/>
  <c r="H472" i="4"/>
  <c r="D472" i="4"/>
  <c r="I472" i="4"/>
  <c r="J472" i="4"/>
  <c r="B472" i="4"/>
  <c r="C472" i="4"/>
  <c r="K472" i="4" l="1"/>
  <c r="L472" i="4" s="1"/>
  <c r="O472" i="4" s="1"/>
  <c r="P472" i="4" s="1"/>
  <c r="R472" i="4"/>
  <c r="S472" i="4" s="1"/>
  <c r="Y472" i="4"/>
  <c r="Z472" i="4" s="1"/>
  <c r="AF472" i="4"/>
  <c r="AG472" i="4" s="1"/>
  <c r="AJ472" i="4" s="1"/>
  <c r="AK472" i="4" s="1"/>
  <c r="AL472" i="4" s="1"/>
  <c r="T472" i="4"/>
  <c r="U472" i="4" s="1"/>
  <c r="M472" i="4"/>
  <c r="N472" i="4" s="1"/>
  <c r="AH472" i="4"/>
  <c r="AI472" i="4" s="1"/>
  <c r="AA472" i="4"/>
  <c r="AB472" i="4" s="1"/>
  <c r="AC472" i="4" l="1"/>
  <c r="AD472" i="4" s="1"/>
  <c r="AE472" i="4" s="1"/>
  <c r="V472" i="4"/>
  <c r="W472" i="4" s="1"/>
  <c r="Q472" i="4"/>
  <c r="E473" i="4"/>
  <c r="G473" i="4"/>
  <c r="H473" i="4"/>
  <c r="F473" i="4"/>
  <c r="M473" i="4" l="1"/>
  <c r="N473" i="4" s="1"/>
  <c r="T473" i="4"/>
  <c r="U473" i="4" s="1"/>
  <c r="AA473" i="4"/>
  <c r="AB473" i="4" s="1"/>
  <c r="AH473" i="4"/>
  <c r="AI473" i="4" s="1"/>
  <c r="X472" i="4"/>
  <c r="AM472" i="4" s="1"/>
  <c r="AP58" i="4" s="1"/>
  <c r="C473" i="4"/>
  <c r="J473" i="4"/>
  <c r="B473" i="4"/>
  <c r="I473" i="4"/>
  <c r="D473" i="4"/>
  <c r="Y473" i="4" l="1"/>
  <c r="Z473" i="4" s="1"/>
  <c r="AC473" i="4" s="1"/>
  <c r="AD473" i="4" s="1"/>
  <c r="AE473" i="4" s="1"/>
  <c r="R473" i="4"/>
  <c r="S473" i="4" s="1"/>
  <c r="V473" i="4" s="1"/>
  <c r="W473" i="4" s="1"/>
  <c r="X473" i="4" s="1"/>
  <c r="K473" i="4"/>
  <c r="L473" i="4" s="1"/>
  <c r="O473" i="4" s="1"/>
  <c r="P473" i="4" s="1"/>
  <c r="AF473" i="4"/>
  <c r="AG473" i="4" s="1"/>
  <c r="AJ473" i="4" s="1"/>
  <c r="AK473" i="4" s="1"/>
  <c r="AL473" i="4" s="1"/>
  <c r="J474" i="4"/>
  <c r="Q473" i="4" l="1"/>
  <c r="AM473" i="4" s="1"/>
  <c r="F474" i="4"/>
  <c r="E474" i="4"/>
  <c r="H474" i="4"/>
  <c r="G474" i="4"/>
  <c r="B474" i="4"/>
  <c r="D474" i="4"/>
  <c r="C474" i="4"/>
  <c r="I474" i="4"/>
  <c r="K474" i="4" l="1"/>
  <c r="L474" i="4" s="1"/>
  <c r="AF474" i="4"/>
  <c r="AG474" i="4" s="1"/>
  <c r="R474" i="4"/>
  <c r="S474" i="4" s="1"/>
  <c r="V474" i="4" s="1"/>
  <c r="W474" i="4" s="1"/>
  <c r="X474" i="4" s="1"/>
  <c r="Y474" i="4"/>
  <c r="Z474" i="4" s="1"/>
  <c r="AC474" i="4" s="1"/>
  <c r="AD474" i="4" s="1"/>
  <c r="AE474" i="4" s="1"/>
  <c r="AA474" i="4"/>
  <c r="AB474" i="4" s="1"/>
  <c r="M474" i="4"/>
  <c r="N474" i="4" s="1"/>
  <c r="T474" i="4"/>
  <c r="U474" i="4" s="1"/>
  <c r="AH474" i="4"/>
  <c r="AI474" i="4" s="1"/>
  <c r="O474" i="4" l="1"/>
  <c r="P474" i="4" s="1"/>
  <c r="AJ474" i="4"/>
  <c r="AK474" i="4" s="1"/>
  <c r="AL474" i="4" s="1"/>
  <c r="Q474" i="4" l="1"/>
  <c r="AM474" i="4" s="1"/>
  <c r="J475" i="4"/>
  <c r="D475" i="4"/>
  <c r="I475" i="4"/>
  <c r="B475" i="4"/>
  <c r="G475" i="4"/>
  <c r="H475" i="4"/>
  <c r="E475" i="4"/>
  <c r="F475" i="4"/>
  <c r="C475" i="4"/>
  <c r="M475" i="4" l="1"/>
  <c r="N475" i="4" s="1"/>
  <c r="AA475" i="4"/>
  <c r="AB475" i="4" s="1"/>
  <c r="AH475" i="4"/>
  <c r="AI475" i="4" s="1"/>
  <c r="T475" i="4"/>
  <c r="U475" i="4" s="1"/>
  <c r="Y475" i="4"/>
  <c r="Z475" i="4" s="1"/>
  <c r="AC475" i="4" s="1"/>
  <c r="AD475" i="4" s="1"/>
  <c r="AE475" i="4" s="1"/>
  <c r="AF475" i="4"/>
  <c r="AG475" i="4" s="1"/>
  <c r="R475" i="4"/>
  <c r="S475" i="4" s="1"/>
  <c r="K475" i="4"/>
  <c r="L475" i="4" s="1"/>
  <c r="O475" i="4" s="1"/>
  <c r="P475" i="4" s="1"/>
  <c r="Q475" i="4" s="1"/>
  <c r="V475" i="4" l="1"/>
  <c r="W475" i="4" s="1"/>
  <c r="AJ475" i="4"/>
  <c r="AK475" i="4" s="1"/>
  <c r="AL475" i="4" s="1"/>
  <c r="F476" i="4"/>
  <c r="B476" i="4"/>
  <c r="AF476" i="4" l="1"/>
  <c r="AG476" i="4" s="1"/>
  <c r="Y476" i="4"/>
  <c r="Z476" i="4" s="1"/>
  <c r="E476" i="4"/>
  <c r="X475" i="4"/>
  <c r="AM475" i="4" s="1"/>
  <c r="C476" i="4"/>
  <c r="D476" i="4"/>
  <c r="J476" i="4"/>
  <c r="I476" i="4"/>
  <c r="G476" i="4"/>
  <c r="H476" i="4"/>
  <c r="AA476" i="4" l="1"/>
  <c r="AB476" i="4" s="1"/>
  <c r="AH476" i="4"/>
  <c r="AI476" i="4" s="1"/>
  <c r="AJ476" i="4" s="1"/>
  <c r="AK476" i="4" s="1"/>
  <c r="AL476" i="4" s="1"/>
  <c r="T476" i="4"/>
  <c r="U476" i="4" s="1"/>
  <c r="M476" i="4"/>
  <c r="N476" i="4" s="1"/>
  <c r="AC476" i="4"/>
  <c r="AD476" i="4" s="1"/>
  <c r="AE476" i="4" s="1"/>
  <c r="R476" i="4"/>
  <c r="S476" i="4" s="1"/>
  <c r="V476" i="4" s="1"/>
  <c r="W476" i="4" s="1"/>
  <c r="X476" i="4" s="1"/>
  <c r="K476" i="4"/>
  <c r="L476" i="4" s="1"/>
  <c r="O476" i="4" s="1"/>
  <c r="P476" i="4" s="1"/>
  <c r="Q476" i="4" l="1"/>
  <c r="AM476" i="4" s="1"/>
  <c r="B477" i="4"/>
  <c r="F477" i="4"/>
  <c r="H477" i="4"/>
  <c r="C477" i="4"/>
  <c r="G477" i="4"/>
  <c r="D477" i="4"/>
  <c r="J477" i="4"/>
  <c r="I477" i="4"/>
  <c r="E477" i="4"/>
  <c r="M477" i="4" l="1"/>
  <c r="N477" i="4" s="1"/>
  <c r="T477" i="4"/>
  <c r="U477" i="4" s="1"/>
  <c r="AA477" i="4"/>
  <c r="AB477" i="4" s="1"/>
  <c r="AH477" i="4"/>
  <c r="AI477" i="4" s="1"/>
  <c r="Y477" i="4"/>
  <c r="Z477" i="4" s="1"/>
  <c r="AF477" i="4"/>
  <c r="AG477" i="4" s="1"/>
  <c r="AJ477" i="4" s="1"/>
  <c r="AK477" i="4" s="1"/>
  <c r="AL477" i="4" s="1"/>
  <c r="R477" i="4"/>
  <c r="S477" i="4" s="1"/>
  <c r="K477" i="4"/>
  <c r="L477" i="4" s="1"/>
  <c r="O477" i="4" s="1"/>
  <c r="P477" i="4" s="1"/>
  <c r="Q477" i="4" s="1"/>
  <c r="AC477" i="4" l="1"/>
  <c r="AD477" i="4" s="1"/>
  <c r="AE477" i="4" s="1"/>
  <c r="AM477" i="4" s="1"/>
  <c r="J478" i="4"/>
  <c r="B478" i="4"/>
  <c r="V477" i="4"/>
  <c r="W477" i="4" s="1"/>
  <c r="X477" i="4" s="1"/>
  <c r="D478" i="4" l="1"/>
  <c r="I478" i="4"/>
  <c r="G478" i="4"/>
  <c r="E478" i="4"/>
  <c r="H478" i="4"/>
  <c r="C478" i="4"/>
  <c r="Y478" i="4" s="1"/>
  <c r="Z478" i="4" s="1"/>
  <c r="F478" i="4"/>
  <c r="K478" i="4" l="1"/>
  <c r="L478" i="4" s="1"/>
  <c r="O478" i="4" s="1"/>
  <c r="P478" i="4" s="1"/>
  <c r="R478" i="4"/>
  <c r="S478" i="4" s="1"/>
  <c r="V478" i="4" s="1"/>
  <c r="W478" i="4" s="1"/>
  <c r="X478" i="4" s="1"/>
  <c r="AF478" i="4"/>
  <c r="AG478" i="4" s="1"/>
  <c r="AA478" i="4"/>
  <c r="AB478" i="4" s="1"/>
  <c r="AC478" i="4" s="1"/>
  <c r="AD478" i="4" s="1"/>
  <c r="AE478" i="4" s="1"/>
  <c r="T478" i="4"/>
  <c r="U478" i="4" s="1"/>
  <c r="M478" i="4"/>
  <c r="N478" i="4" s="1"/>
  <c r="AH478" i="4"/>
  <c r="AI478" i="4" s="1"/>
  <c r="AJ478" i="4" l="1"/>
  <c r="AK478" i="4" s="1"/>
  <c r="AL478" i="4" s="1"/>
  <c r="D479" i="4"/>
  <c r="I479" i="4"/>
  <c r="C479" i="4"/>
  <c r="Q478" i="4"/>
  <c r="AM478" i="4" s="1"/>
  <c r="E479" i="4" l="1"/>
  <c r="G479" i="4"/>
  <c r="B479" i="4"/>
  <c r="H479" i="4"/>
  <c r="J479" i="4"/>
  <c r="F479" i="4"/>
  <c r="Y479" i="4" l="1"/>
  <c r="Z479" i="4" s="1"/>
  <c r="AF479" i="4"/>
  <c r="AG479" i="4" s="1"/>
  <c r="AJ479" i="4" s="1"/>
  <c r="AK479" i="4" s="1"/>
  <c r="AL479" i="4" s="1"/>
  <c r="R479" i="4"/>
  <c r="S479" i="4" s="1"/>
  <c r="K479" i="4"/>
  <c r="L479" i="4" s="1"/>
  <c r="O479" i="4" s="1"/>
  <c r="P479" i="4" s="1"/>
  <c r="M479" i="4"/>
  <c r="N479" i="4" s="1"/>
  <c r="AH479" i="4"/>
  <c r="AI479" i="4" s="1"/>
  <c r="T479" i="4"/>
  <c r="U479" i="4" s="1"/>
  <c r="AA479" i="4"/>
  <c r="AB479" i="4" s="1"/>
  <c r="Q479" i="4" l="1"/>
  <c r="V479" i="4"/>
  <c r="W479" i="4" s="1"/>
  <c r="C480" i="4" s="1"/>
  <c r="AC479" i="4"/>
  <c r="AD479" i="4" s="1"/>
  <c r="AE479" i="4" s="1"/>
  <c r="G480" i="4"/>
  <c r="H480" i="4"/>
  <c r="I480" i="4" l="1"/>
  <c r="D480" i="4"/>
  <c r="J480" i="4"/>
  <c r="X479" i="4"/>
  <c r="B480" i="4"/>
  <c r="F480" i="4"/>
  <c r="E480" i="4"/>
  <c r="AM479" i="4"/>
  <c r="K480" i="4" l="1"/>
  <c r="L480" i="4" s="1"/>
  <c r="R480" i="4"/>
  <c r="S480" i="4" s="1"/>
  <c r="AF480" i="4"/>
  <c r="AG480" i="4" s="1"/>
  <c r="AJ480" i="4" s="1"/>
  <c r="AK480" i="4" s="1"/>
  <c r="AL480" i="4" s="1"/>
  <c r="Y480" i="4"/>
  <c r="Z480" i="4" s="1"/>
  <c r="AC480" i="4" s="1"/>
  <c r="AD480" i="4" s="1"/>
  <c r="AE480" i="4" s="1"/>
  <c r="AA480" i="4"/>
  <c r="AB480" i="4" s="1"/>
  <c r="AH480" i="4"/>
  <c r="AI480" i="4" s="1"/>
  <c r="T480" i="4"/>
  <c r="U480" i="4" s="1"/>
  <c r="M480" i="4"/>
  <c r="N480" i="4" s="1"/>
  <c r="V480" i="4" l="1"/>
  <c r="W480" i="4" s="1"/>
  <c r="X480" i="4" s="1"/>
  <c r="O480" i="4"/>
  <c r="P480" i="4" s="1"/>
  <c r="Q480" i="4" l="1"/>
  <c r="AM480" i="4" s="1"/>
  <c r="C481" i="4"/>
  <c r="G481" i="4"/>
  <c r="H481" i="4"/>
  <c r="D481" i="4"/>
  <c r="J481" i="4"/>
  <c r="F481" i="4"/>
  <c r="I481" i="4"/>
  <c r="B481" i="4"/>
  <c r="E481" i="4"/>
  <c r="M481" i="4" l="1"/>
  <c r="N481" i="4" s="1"/>
  <c r="T481" i="4"/>
  <c r="U481" i="4" s="1"/>
  <c r="AH481" i="4"/>
  <c r="AI481" i="4" s="1"/>
  <c r="AA481" i="4"/>
  <c r="AB481" i="4" s="1"/>
  <c r="Y481" i="4"/>
  <c r="Z481" i="4" s="1"/>
  <c r="AC481" i="4" s="1"/>
  <c r="AD481" i="4" s="1"/>
  <c r="AE481" i="4" s="1"/>
  <c r="AF481" i="4"/>
  <c r="AG481" i="4" s="1"/>
  <c r="AJ481" i="4" s="1"/>
  <c r="AK481" i="4" s="1"/>
  <c r="AL481" i="4" s="1"/>
  <c r="R481" i="4"/>
  <c r="S481" i="4" s="1"/>
  <c r="K481" i="4"/>
  <c r="L481" i="4" s="1"/>
  <c r="O481" i="4" s="1"/>
  <c r="P481" i="4" s="1"/>
  <c r="Q481" i="4" s="1"/>
  <c r="V481" i="4" l="1"/>
  <c r="W481" i="4" s="1"/>
  <c r="G482" i="4" s="1"/>
  <c r="H482" i="4"/>
  <c r="D482" i="4"/>
  <c r="F482" i="4"/>
  <c r="C482" i="4"/>
  <c r="I482" i="4"/>
  <c r="J482" i="4"/>
  <c r="X481" i="4" l="1"/>
  <c r="AM481" i="4" s="1"/>
  <c r="B482" i="4"/>
  <c r="E482" i="4"/>
  <c r="AA482" i="4" l="1"/>
  <c r="AB482" i="4" s="1"/>
  <c r="AH482" i="4"/>
  <c r="AI482" i="4" s="1"/>
  <c r="T482" i="4"/>
  <c r="U482" i="4" s="1"/>
  <c r="M482" i="4"/>
  <c r="N482" i="4" s="1"/>
  <c r="K482" i="4"/>
  <c r="L482" i="4" s="1"/>
  <c r="O482" i="4" s="1"/>
  <c r="P482" i="4" s="1"/>
  <c r="AF482" i="4"/>
  <c r="AG482" i="4" s="1"/>
  <c r="AJ482" i="4" s="1"/>
  <c r="AK482" i="4" s="1"/>
  <c r="AL482" i="4" s="1"/>
  <c r="R482" i="4"/>
  <c r="S482" i="4" s="1"/>
  <c r="V482" i="4" s="1"/>
  <c r="W482" i="4" s="1"/>
  <c r="X482" i="4" s="1"/>
  <c r="Y482" i="4"/>
  <c r="Z482" i="4" s="1"/>
  <c r="AC482" i="4" s="1"/>
  <c r="AD482" i="4" s="1"/>
  <c r="AE482" i="4" s="1"/>
  <c r="Q482" i="4" l="1"/>
  <c r="AM482" i="4" s="1"/>
  <c r="AP59" i="4" s="1"/>
  <c r="G483" i="4"/>
  <c r="C483" i="4"/>
  <c r="I483" i="4"/>
  <c r="D483" i="4"/>
  <c r="F483" i="4"/>
  <c r="J483" i="4"/>
  <c r="H483" i="4"/>
  <c r="B483" i="4"/>
  <c r="E483" i="4"/>
  <c r="M483" i="4" l="1"/>
  <c r="N483" i="4" s="1"/>
  <c r="AH483" i="4"/>
  <c r="AI483" i="4" s="1"/>
  <c r="T483" i="4"/>
  <c r="U483" i="4" s="1"/>
  <c r="AA483" i="4"/>
  <c r="AB483" i="4" s="1"/>
  <c r="Y483" i="4"/>
  <c r="Z483" i="4" s="1"/>
  <c r="AC483" i="4" s="1"/>
  <c r="AD483" i="4" s="1"/>
  <c r="AE483" i="4" s="1"/>
  <c r="AF483" i="4"/>
  <c r="AG483" i="4" s="1"/>
  <c r="R483" i="4"/>
  <c r="S483" i="4" s="1"/>
  <c r="V483" i="4" s="1"/>
  <c r="W483" i="4" s="1"/>
  <c r="X483" i="4" s="1"/>
  <c r="K483" i="4"/>
  <c r="L483" i="4" s="1"/>
  <c r="AJ483" i="4" l="1"/>
  <c r="AK483" i="4" s="1"/>
  <c r="AL483" i="4" s="1"/>
  <c r="O483" i="4"/>
  <c r="P483" i="4" s="1"/>
  <c r="Q483" i="4" l="1"/>
  <c r="AM483" i="4" s="1"/>
  <c r="F484" i="4"/>
  <c r="H484" i="4"/>
  <c r="D484" i="4"/>
  <c r="J484" i="4"/>
  <c r="C484" i="4"/>
  <c r="I484" i="4"/>
  <c r="G484" i="4"/>
  <c r="B484" i="4"/>
  <c r="E484" i="4"/>
  <c r="AA484" i="4" l="1"/>
  <c r="AB484" i="4" s="1"/>
  <c r="AH484" i="4"/>
  <c r="AI484" i="4" s="1"/>
  <c r="T484" i="4"/>
  <c r="U484" i="4" s="1"/>
  <c r="M484" i="4"/>
  <c r="N484" i="4" s="1"/>
  <c r="K484" i="4"/>
  <c r="L484" i="4" s="1"/>
  <c r="O484" i="4" s="1"/>
  <c r="P484" i="4" s="1"/>
  <c r="Q484" i="4" s="1"/>
  <c r="R484" i="4"/>
  <c r="S484" i="4" s="1"/>
  <c r="V484" i="4" s="1"/>
  <c r="W484" i="4" s="1"/>
  <c r="X484" i="4" s="1"/>
  <c r="AF484" i="4"/>
  <c r="AG484" i="4" s="1"/>
  <c r="AJ484" i="4" s="1"/>
  <c r="AK484" i="4" s="1"/>
  <c r="AL484" i="4" s="1"/>
  <c r="Y484" i="4"/>
  <c r="Z484" i="4" s="1"/>
  <c r="J485" i="4" l="1"/>
  <c r="F485" i="4"/>
  <c r="C485" i="4"/>
  <c r="D485" i="4"/>
  <c r="G485" i="4"/>
  <c r="AC484" i="4"/>
  <c r="AD484" i="4" s="1"/>
  <c r="H485" i="4" s="1"/>
  <c r="I485" i="4" l="1"/>
  <c r="AE484" i="4"/>
  <c r="AM484" i="4" s="1"/>
  <c r="B485" i="4"/>
  <c r="E485" i="4"/>
  <c r="M485" i="4" l="1"/>
  <c r="N485" i="4" s="1"/>
  <c r="T485" i="4"/>
  <c r="U485" i="4" s="1"/>
  <c r="AH485" i="4"/>
  <c r="AI485" i="4" s="1"/>
  <c r="AA485" i="4"/>
  <c r="AB485" i="4" s="1"/>
  <c r="Y485" i="4"/>
  <c r="Z485" i="4" s="1"/>
  <c r="AF485" i="4"/>
  <c r="AG485" i="4" s="1"/>
  <c r="AJ485" i="4" s="1"/>
  <c r="AK485" i="4" s="1"/>
  <c r="AL485" i="4" s="1"/>
  <c r="R485" i="4"/>
  <c r="S485" i="4" s="1"/>
  <c r="K485" i="4"/>
  <c r="L485" i="4" s="1"/>
  <c r="O485" i="4" s="1"/>
  <c r="P485" i="4" s="1"/>
  <c r="AC485" i="4" l="1"/>
  <c r="AD485" i="4" s="1"/>
  <c r="AE485" i="4" s="1"/>
  <c r="Q485" i="4"/>
  <c r="H486" i="4"/>
  <c r="G486" i="4"/>
  <c r="D486" i="4"/>
  <c r="C486" i="4"/>
  <c r="J486" i="4"/>
  <c r="V485" i="4"/>
  <c r="W485" i="4" s="1"/>
  <c r="I486" i="4"/>
  <c r="X485" i="4" l="1"/>
  <c r="AM485" i="4" s="1"/>
  <c r="E486" i="4"/>
  <c r="F486" i="4"/>
  <c r="B486" i="4"/>
  <c r="AA486" i="4" l="1"/>
  <c r="AB486" i="4" s="1"/>
  <c r="AH486" i="4"/>
  <c r="AI486" i="4" s="1"/>
  <c r="T486" i="4"/>
  <c r="U486" i="4" s="1"/>
  <c r="M486" i="4"/>
  <c r="N486" i="4" s="1"/>
  <c r="K486" i="4"/>
  <c r="L486" i="4" s="1"/>
  <c r="O486" i="4" s="1"/>
  <c r="P486" i="4" s="1"/>
  <c r="AF486" i="4"/>
  <c r="AG486" i="4" s="1"/>
  <c r="AJ486" i="4" s="1"/>
  <c r="AK486" i="4" s="1"/>
  <c r="AL486" i="4" s="1"/>
  <c r="R486" i="4"/>
  <c r="S486" i="4" s="1"/>
  <c r="Y486" i="4"/>
  <c r="Z486" i="4" s="1"/>
  <c r="AC486" i="4" s="1"/>
  <c r="AD486" i="4" s="1"/>
  <c r="AE486" i="4" s="1"/>
  <c r="Q486" i="4" l="1"/>
  <c r="G487" i="4"/>
  <c r="C487" i="4"/>
  <c r="I487" i="4"/>
  <c r="D487" i="4"/>
  <c r="H487" i="4"/>
  <c r="F487" i="4"/>
  <c r="V486" i="4"/>
  <c r="W486" i="4" s="1"/>
  <c r="X486" i="4" s="1"/>
  <c r="E487" i="4"/>
  <c r="M487" i="4" l="1"/>
  <c r="N487" i="4" s="1"/>
  <c r="AH487" i="4"/>
  <c r="AI487" i="4" s="1"/>
  <c r="T487" i="4"/>
  <c r="U487" i="4" s="1"/>
  <c r="AA487" i="4"/>
  <c r="AB487" i="4" s="1"/>
  <c r="J487" i="4"/>
  <c r="B487" i="4"/>
  <c r="AM486" i="4"/>
  <c r="Y487" i="4" l="1"/>
  <c r="Z487" i="4" s="1"/>
  <c r="AC487" i="4" s="1"/>
  <c r="AD487" i="4" s="1"/>
  <c r="AE487" i="4" s="1"/>
  <c r="AF487" i="4"/>
  <c r="AG487" i="4" s="1"/>
  <c r="AJ487" i="4" s="1"/>
  <c r="AK487" i="4" s="1"/>
  <c r="AL487" i="4" s="1"/>
  <c r="K487" i="4"/>
  <c r="L487" i="4" s="1"/>
  <c r="O487" i="4" s="1"/>
  <c r="P487" i="4" s="1"/>
  <c r="R487" i="4"/>
  <c r="S487" i="4" s="1"/>
  <c r="V487" i="4" s="1"/>
  <c r="W487" i="4" s="1"/>
  <c r="X487" i="4" s="1"/>
  <c r="J488" i="4" l="1"/>
  <c r="Q487" i="4"/>
  <c r="AM487" i="4" s="1"/>
  <c r="F488" i="4"/>
  <c r="D488" i="4"/>
  <c r="H488" i="4"/>
  <c r="C488" i="4"/>
  <c r="I488" i="4"/>
  <c r="G488" i="4"/>
  <c r="E488" i="4"/>
  <c r="B488" i="4"/>
  <c r="K488" i="4" l="1"/>
  <c r="L488" i="4" s="1"/>
  <c r="R488" i="4"/>
  <c r="S488" i="4" s="1"/>
  <c r="V488" i="4" s="1"/>
  <c r="W488" i="4" s="1"/>
  <c r="X488" i="4" s="1"/>
  <c r="AF488" i="4"/>
  <c r="AG488" i="4" s="1"/>
  <c r="Y488" i="4"/>
  <c r="Z488" i="4" s="1"/>
  <c r="AA488" i="4"/>
  <c r="AB488" i="4" s="1"/>
  <c r="AH488" i="4"/>
  <c r="AI488" i="4" s="1"/>
  <c r="T488" i="4"/>
  <c r="U488" i="4" s="1"/>
  <c r="M488" i="4"/>
  <c r="N488" i="4" s="1"/>
  <c r="O488" i="4" l="1"/>
  <c r="P488" i="4" s="1"/>
  <c r="AC488" i="4"/>
  <c r="AD488" i="4" s="1"/>
  <c r="AE488" i="4" s="1"/>
  <c r="AJ488" i="4"/>
  <c r="AK488" i="4" s="1"/>
  <c r="AL488" i="4" s="1"/>
  <c r="Q488" i="4" l="1"/>
  <c r="AM488" i="4" s="1"/>
  <c r="G489" i="4"/>
  <c r="J489" i="4"/>
  <c r="D489" i="4"/>
  <c r="I489" i="4"/>
  <c r="B489" i="4"/>
  <c r="H489" i="4"/>
  <c r="F489" i="4"/>
  <c r="E489" i="4"/>
  <c r="C489" i="4"/>
  <c r="Y489" i="4" l="1"/>
  <c r="Z489" i="4" s="1"/>
  <c r="AC489" i="4" s="1"/>
  <c r="AD489" i="4" s="1"/>
  <c r="AE489" i="4" s="1"/>
  <c r="K489" i="4"/>
  <c r="L489" i="4" s="1"/>
  <c r="O489" i="4" s="1"/>
  <c r="P489" i="4" s="1"/>
  <c r="Q489" i="4" s="1"/>
  <c r="AF489" i="4"/>
  <c r="AG489" i="4" s="1"/>
  <c r="AJ489" i="4" s="1"/>
  <c r="AK489" i="4" s="1"/>
  <c r="AL489" i="4" s="1"/>
  <c r="R489" i="4"/>
  <c r="S489" i="4" s="1"/>
  <c r="V489" i="4" s="1"/>
  <c r="W489" i="4" s="1"/>
  <c r="X489" i="4" s="1"/>
  <c r="M489" i="4"/>
  <c r="N489" i="4" s="1"/>
  <c r="T489" i="4"/>
  <c r="U489" i="4" s="1"/>
  <c r="AH489" i="4"/>
  <c r="AI489" i="4" s="1"/>
  <c r="AA489" i="4"/>
  <c r="AB489" i="4" s="1"/>
  <c r="D490" i="4" l="1"/>
  <c r="I490" i="4"/>
  <c r="E490" i="4"/>
  <c r="AM489" i="4"/>
  <c r="G490" i="4"/>
  <c r="C490" i="4"/>
  <c r="F490" i="4"/>
  <c r="J490" i="4"/>
  <c r="B490" i="4"/>
  <c r="H490" i="4"/>
  <c r="AA490" i="4" l="1"/>
  <c r="AB490" i="4" s="1"/>
  <c r="AH490" i="4"/>
  <c r="AI490" i="4" s="1"/>
  <c r="T490" i="4"/>
  <c r="U490" i="4" s="1"/>
  <c r="M490" i="4"/>
  <c r="N490" i="4" s="1"/>
  <c r="K490" i="4"/>
  <c r="L490" i="4" s="1"/>
  <c r="Y490" i="4"/>
  <c r="Z490" i="4" s="1"/>
  <c r="AC490" i="4" s="1"/>
  <c r="AD490" i="4" s="1"/>
  <c r="AE490" i="4" s="1"/>
  <c r="AF490" i="4"/>
  <c r="AG490" i="4" s="1"/>
  <c r="AJ490" i="4" s="1"/>
  <c r="AK490" i="4" s="1"/>
  <c r="AL490" i="4" s="1"/>
  <c r="R490" i="4"/>
  <c r="S490" i="4" s="1"/>
  <c r="V490" i="4" l="1"/>
  <c r="W490" i="4" s="1"/>
  <c r="X490" i="4" s="1"/>
  <c r="O490" i="4"/>
  <c r="P490" i="4" s="1"/>
  <c r="Q490" i="4" l="1"/>
  <c r="AM490" i="4" s="1"/>
  <c r="F491" i="4"/>
  <c r="I491" i="4"/>
  <c r="D491" i="4"/>
  <c r="G491" i="4"/>
  <c r="C491" i="4"/>
  <c r="J491" i="4"/>
  <c r="H491" i="4"/>
  <c r="E491" i="4"/>
  <c r="B491" i="4"/>
  <c r="Y491" i="4" l="1"/>
  <c r="Z491" i="4" s="1"/>
  <c r="AC491" i="4" s="1"/>
  <c r="AD491" i="4" s="1"/>
  <c r="AE491" i="4" s="1"/>
  <c r="AF491" i="4"/>
  <c r="AG491" i="4" s="1"/>
  <c r="K491" i="4"/>
  <c r="L491" i="4" s="1"/>
  <c r="R491" i="4"/>
  <c r="S491" i="4" s="1"/>
  <c r="V491" i="4" s="1"/>
  <c r="W491" i="4" s="1"/>
  <c r="X491" i="4" s="1"/>
  <c r="M491" i="4"/>
  <c r="N491" i="4" s="1"/>
  <c r="AH491" i="4"/>
  <c r="AI491" i="4" s="1"/>
  <c r="T491" i="4"/>
  <c r="U491" i="4" s="1"/>
  <c r="AA491" i="4"/>
  <c r="AB491" i="4" s="1"/>
  <c r="O491" i="4" l="1"/>
  <c r="P491" i="4" s="1"/>
  <c r="AJ491" i="4"/>
  <c r="AK491" i="4" s="1"/>
  <c r="AL491" i="4" s="1"/>
  <c r="Q491" i="4" l="1"/>
  <c r="AM491" i="4" s="1"/>
  <c r="H492" i="4"/>
  <c r="C492" i="4"/>
  <c r="D492" i="4"/>
  <c r="G492" i="4"/>
  <c r="J492" i="4"/>
  <c r="I492" i="4"/>
  <c r="F492" i="4"/>
  <c r="B492" i="4"/>
  <c r="E492" i="4"/>
  <c r="AA492" i="4" l="1"/>
  <c r="AB492" i="4" s="1"/>
  <c r="AH492" i="4"/>
  <c r="AI492" i="4" s="1"/>
  <c r="M492" i="4"/>
  <c r="N492" i="4" s="1"/>
  <c r="T492" i="4"/>
  <c r="U492" i="4" s="1"/>
  <c r="K492" i="4"/>
  <c r="L492" i="4" s="1"/>
  <c r="R492" i="4"/>
  <c r="S492" i="4" s="1"/>
  <c r="V492" i="4" s="1"/>
  <c r="W492" i="4" s="1"/>
  <c r="X492" i="4" s="1"/>
  <c r="Y492" i="4"/>
  <c r="Z492" i="4" s="1"/>
  <c r="AC492" i="4" s="1"/>
  <c r="AD492" i="4" s="1"/>
  <c r="AE492" i="4" s="1"/>
  <c r="AF492" i="4"/>
  <c r="AG492" i="4" s="1"/>
  <c r="AJ492" i="4" s="1"/>
  <c r="AK492" i="4" s="1"/>
  <c r="AL492" i="4" s="1"/>
  <c r="O492" i="4" l="1"/>
  <c r="P492" i="4" s="1"/>
  <c r="Q492" i="4" l="1"/>
  <c r="AM492" i="4" s="1"/>
  <c r="AP60" i="4" s="1"/>
  <c r="J493" i="4"/>
  <c r="B493" i="4"/>
  <c r="F493" i="4"/>
  <c r="G493" i="4"/>
  <c r="I493" i="4"/>
  <c r="C493" i="4"/>
  <c r="D493" i="4"/>
  <c r="H493" i="4"/>
  <c r="E493" i="4"/>
  <c r="Y493" i="4" l="1"/>
  <c r="Z493" i="4" s="1"/>
  <c r="K493" i="4"/>
  <c r="L493" i="4" s="1"/>
  <c r="O493" i="4" s="1"/>
  <c r="P493" i="4" s="1"/>
  <c r="Q493" i="4" s="1"/>
  <c r="AF493" i="4"/>
  <c r="AG493" i="4" s="1"/>
  <c r="AJ493" i="4" s="1"/>
  <c r="AK493" i="4" s="1"/>
  <c r="AL493" i="4" s="1"/>
  <c r="R493" i="4"/>
  <c r="S493" i="4" s="1"/>
  <c r="M493" i="4"/>
  <c r="N493" i="4" s="1"/>
  <c r="T493" i="4"/>
  <c r="U493" i="4" s="1"/>
  <c r="AH493" i="4"/>
  <c r="AI493" i="4" s="1"/>
  <c r="AA493" i="4"/>
  <c r="AB493" i="4" s="1"/>
  <c r="AC493" i="4" l="1"/>
  <c r="AD493" i="4" s="1"/>
  <c r="AE493" i="4" s="1"/>
  <c r="D494" i="4"/>
  <c r="I494" i="4"/>
  <c r="G494" i="4"/>
  <c r="F494" i="4"/>
  <c r="B494" i="4"/>
  <c r="H494" i="4"/>
  <c r="V493" i="4"/>
  <c r="W493" i="4" s="1"/>
  <c r="C494" i="4"/>
  <c r="K494" i="4" l="1"/>
  <c r="L494" i="4" s="1"/>
  <c r="Y494" i="4"/>
  <c r="Z494" i="4" s="1"/>
  <c r="AF494" i="4"/>
  <c r="AG494" i="4" s="1"/>
  <c r="R494" i="4"/>
  <c r="S494" i="4" s="1"/>
  <c r="X493" i="4"/>
  <c r="AM493" i="4" s="1"/>
  <c r="E494" i="4"/>
  <c r="J494" i="4"/>
  <c r="AA494" i="4" l="1"/>
  <c r="AB494" i="4" s="1"/>
  <c r="AC494" i="4" s="1"/>
  <c r="AD494" i="4" s="1"/>
  <c r="AE494" i="4" s="1"/>
  <c r="M494" i="4"/>
  <c r="N494" i="4" s="1"/>
  <c r="O494" i="4" s="1"/>
  <c r="P494" i="4" s="1"/>
  <c r="AH494" i="4"/>
  <c r="AI494" i="4" s="1"/>
  <c r="T494" i="4"/>
  <c r="U494" i="4" s="1"/>
  <c r="V494" i="4"/>
  <c r="W494" i="4" s="1"/>
  <c r="X494" i="4" s="1"/>
  <c r="AJ494" i="4"/>
  <c r="AK494" i="4" s="1"/>
  <c r="AL494" i="4" s="1"/>
  <c r="Q494" i="4" l="1"/>
  <c r="AM494" i="4" s="1"/>
  <c r="G495" i="4"/>
  <c r="B495" i="4"/>
  <c r="D495" i="4"/>
  <c r="C495" i="4"/>
  <c r="F495" i="4"/>
  <c r="I495" i="4"/>
  <c r="H495" i="4"/>
  <c r="J495" i="4"/>
  <c r="E495" i="4"/>
  <c r="Y495" i="4" l="1"/>
  <c r="Z495" i="4" s="1"/>
  <c r="AC495" i="4" s="1"/>
  <c r="AD495" i="4" s="1"/>
  <c r="AE495" i="4" s="1"/>
  <c r="AF495" i="4"/>
  <c r="AG495" i="4" s="1"/>
  <c r="K495" i="4"/>
  <c r="L495" i="4" s="1"/>
  <c r="R495" i="4"/>
  <c r="S495" i="4" s="1"/>
  <c r="M495" i="4"/>
  <c r="N495" i="4" s="1"/>
  <c r="AA495" i="4"/>
  <c r="AB495" i="4" s="1"/>
  <c r="AH495" i="4"/>
  <c r="AI495" i="4" s="1"/>
  <c r="T495" i="4"/>
  <c r="U495" i="4" s="1"/>
  <c r="V495" i="4" l="1"/>
  <c r="W495" i="4" s="1"/>
  <c r="X495" i="4" s="1"/>
  <c r="O495" i="4"/>
  <c r="P495" i="4" s="1"/>
  <c r="AJ495" i="4"/>
  <c r="AK495" i="4" s="1"/>
  <c r="AL495" i="4" s="1"/>
  <c r="Q495" i="4" l="1"/>
  <c r="AM495" i="4" s="1"/>
  <c r="H496" i="4"/>
  <c r="J496" i="4"/>
  <c r="I496" i="4"/>
  <c r="F496" i="4"/>
  <c r="D496" i="4"/>
  <c r="G496" i="4"/>
  <c r="C496" i="4"/>
  <c r="B496" i="4"/>
  <c r="E496" i="4"/>
  <c r="AA496" i="4" l="1"/>
  <c r="AB496" i="4" s="1"/>
  <c r="AH496" i="4"/>
  <c r="AI496" i="4" s="1"/>
  <c r="M496" i="4"/>
  <c r="N496" i="4" s="1"/>
  <c r="T496" i="4"/>
  <c r="U496" i="4" s="1"/>
  <c r="K496" i="4"/>
  <c r="L496" i="4" s="1"/>
  <c r="O496" i="4" s="1"/>
  <c r="P496" i="4" s="1"/>
  <c r="Q496" i="4" s="1"/>
  <c r="R496" i="4"/>
  <c r="S496" i="4" s="1"/>
  <c r="V496" i="4" s="1"/>
  <c r="W496" i="4" s="1"/>
  <c r="X496" i="4" s="1"/>
  <c r="Y496" i="4"/>
  <c r="Z496" i="4" s="1"/>
  <c r="AC496" i="4" s="1"/>
  <c r="AD496" i="4" s="1"/>
  <c r="AE496" i="4" s="1"/>
  <c r="AF496" i="4"/>
  <c r="AG496" i="4" s="1"/>
  <c r="AJ496" i="4" s="1"/>
  <c r="AK496" i="4" s="1"/>
  <c r="AL496" i="4" s="1"/>
  <c r="E497" i="4" l="1"/>
  <c r="B497" i="4"/>
  <c r="I497" i="4"/>
  <c r="D497" i="4"/>
  <c r="H497" i="4"/>
  <c r="J497" i="4"/>
  <c r="F497" i="4"/>
  <c r="G497" i="4"/>
  <c r="AM496" i="4"/>
  <c r="C497" i="4"/>
  <c r="Y497" i="4" l="1"/>
  <c r="Z497" i="4" s="1"/>
  <c r="K497" i="4"/>
  <c r="L497" i="4" s="1"/>
  <c r="O497" i="4" s="1"/>
  <c r="P497" i="4" s="1"/>
  <c r="Q497" i="4" s="1"/>
  <c r="AF497" i="4"/>
  <c r="AG497" i="4" s="1"/>
  <c r="R497" i="4"/>
  <c r="S497" i="4" s="1"/>
  <c r="M497" i="4"/>
  <c r="N497" i="4" s="1"/>
  <c r="T497" i="4"/>
  <c r="U497" i="4" s="1"/>
  <c r="AA497" i="4"/>
  <c r="AB497" i="4" s="1"/>
  <c r="AH497" i="4"/>
  <c r="AI497" i="4" s="1"/>
  <c r="AC497" i="4" l="1"/>
  <c r="AD497" i="4" s="1"/>
  <c r="AE497" i="4" s="1"/>
  <c r="I498" i="4"/>
  <c r="H498" i="4"/>
  <c r="D498" i="4"/>
  <c r="J498" i="4"/>
  <c r="V497" i="4"/>
  <c r="W497" i="4" s="1"/>
  <c r="X497" i="4" s="1"/>
  <c r="AM497" i="4" s="1"/>
  <c r="AJ497" i="4"/>
  <c r="AK497" i="4" s="1"/>
  <c r="AL497" i="4" s="1"/>
  <c r="G498" i="4"/>
  <c r="C498" i="4" l="1"/>
  <c r="F498" i="4"/>
  <c r="E498" i="4"/>
  <c r="B498" i="4"/>
  <c r="AA498" i="4" l="1"/>
  <c r="AB498" i="4" s="1"/>
  <c r="M498" i="4"/>
  <c r="N498" i="4" s="1"/>
  <c r="AH498" i="4"/>
  <c r="AI498" i="4" s="1"/>
  <c r="T498" i="4"/>
  <c r="U498" i="4" s="1"/>
  <c r="K498" i="4"/>
  <c r="L498" i="4" s="1"/>
  <c r="O498" i="4" s="1"/>
  <c r="P498" i="4" s="1"/>
  <c r="Y498" i="4"/>
  <c r="Z498" i="4" s="1"/>
  <c r="AC498" i="4" s="1"/>
  <c r="AD498" i="4" s="1"/>
  <c r="AE498" i="4" s="1"/>
  <c r="AF498" i="4"/>
  <c r="AG498" i="4" s="1"/>
  <c r="AJ498" i="4" s="1"/>
  <c r="AK498" i="4" s="1"/>
  <c r="AL498" i="4" s="1"/>
  <c r="R498" i="4"/>
  <c r="S498" i="4" s="1"/>
  <c r="Q498" i="4" l="1"/>
  <c r="V498" i="4"/>
  <c r="W498" i="4" s="1"/>
  <c r="H499" i="4" s="1"/>
  <c r="F499" i="4" l="1"/>
  <c r="G499" i="4"/>
  <c r="I499" i="4"/>
  <c r="D499" i="4"/>
  <c r="E499" i="4"/>
  <c r="X498" i="4"/>
  <c r="AM498" i="4" s="1"/>
  <c r="C499" i="4"/>
  <c r="J499" i="4"/>
  <c r="B499" i="4"/>
  <c r="M499" i="4" l="1"/>
  <c r="N499" i="4" s="1"/>
  <c r="AA499" i="4"/>
  <c r="AB499" i="4" s="1"/>
  <c r="AH499" i="4"/>
  <c r="AI499" i="4" s="1"/>
  <c r="T499" i="4"/>
  <c r="U499" i="4" s="1"/>
  <c r="Y499" i="4"/>
  <c r="Z499" i="4" s="1"/>
  <c r="AF499" i="4"/>
  <c r="AG499" i="4" s="1"/>
  <c r="AJ499" i="4" s="1"/>
  <c r="AK499" i="4" s="1"/>
  <c r="AL499" i="4" s="1"/>
  <c r="K499" i="4"/>
  <c r="L499" i="4" s="1"/>
  <c r="O499" i="4" s="1"/>
  <c r="P499" i="4" s="1"/>
  <c r="R499" i="4"/>
  <c r="S499" i="4" s="1"/>
  <c r="V499" i="4" s="1"/>
  <c r="W499" i="4" s="1"/>
  <c r="X499" i="4" s="1"/>
  <c r="Q499" i="4" l="1"/>
  <c r="AC499" i="4"/>
  <c r="AD499" i="4" s="1"/>
  <c r="G500" i="4"/>
  <c r="AE499" i="4" l="1"/>
  <c r="D500" i="4"/>
  <c r="J500" i="4"/>
  <c r="B500" i="4"/>
  <c r="H500" i="4"/>
  <c r="AM499" i="4"/>
  <c r="E500" i="4"/>
  <c r="I500" i="4"/>
  <c r="C500" i="4"/>
  <c r="F500" i="4"/>
  <c r="AA500" i="4" l="1"/>
  <c r="AB500" i="4" s="1"/>
  <c r="AH500" i="4"/>
  <c r="AI500" i="4" s="1"/>
  <c r="M500" i="4"/>
  <c r="N500" i="4" s="1"/>
  <c r="T500" i="4"/>
  <c r="U500" i="4" s="1"/>
  <c r="K500" i="4"/>
  <c r="L500" i="4" s="1"/>
  <c r="O500" i="4" s="1"/>
  <c r="P500" i="4" s="1"/>
  <c r="R500" i="4"/>
  <c r="S500" i="4" s="1"/>
  <c r="V500" i="4" s="1"/>
  <c r="W500" i="4" s="1"/>
  <c r="X500" i="4" s="1"/>
  <c r="Y500" i="4"/>
  <c r="Z500" i="4" s="1"/>
  <c r="AF500" i="4"/>
  <c r="AG500" i="4" s="1"/>
  <c r="Q500" i="4" l="1"/>
  <c r="H501" i="4"/>
  <c r="AJ500" i="4"/>
  <c r="AK500" i="4" s="1"/>
  <c r="AL500" i="4" s="1"/>
  <c r="AC500" i="4"/>
  <c r="AD500" i="4" s="1"/>
  <c r="D501" i="4" s="1"/>
  <c r="J501" i="4" l="1"/>
  <c r="G501" i="4"/>
  <c r="AM500" i="4"/>
  <c r="E501" i="4"/>
  <c r="F501" i="4"/>
  <c r="AE500" i="4"/>
  <c r="B501" i="4"/>
  <c r="I501" i="4"/>
  <c r="C501" i="4"/>
  <c r="M501" i="4" l="1"/>
  <c r="N501" i="4" s="1"/>
  <c r="T501" i="4"/>
  <c r="U501" i="4" s="1"/>
  <c r="AA501" i="4"/>
  <c r="AB501" i="4" s="1"/>
  <c r="AH501" i="4"/>
  <c r="AI501" i="4" s="1"/>
  <c r="I502" i="4"/>
  <c r="Y501" i="4"/>
  <c r="Z501" i="4" s="1"/>
  <c r="AC501" i="4" s="1"/>
  <c r="AD501" i="4" s="1"/>
  <c r="AE501" i="4" s="1"/>
  <c r="K501" i="4"/>
  <c r="L501" i="4" s="1"/>
  <c r="O501" i="4" s="1"/>
  <c r="P501" i="4" s="1"/>
  <c r="R501" i="4"/>
  <c r="S501" i="4" s="1"/>
  <c r="V501" i="4" s="1"/>
  <c r="W501" i="4" s="1"/>
  <c r="X501" i="4" s="1"/>
  <c r="AF501" i="4"/>
  <c r="AG501" i="4" s="1"/>
  <c r="AJ501" i="4" s="1"/>
  <c r="AK501" i="4" s="1"/>
  <c r="AL501" i="4" s="1"/>
  <c r="C502" i="4" l="1"/>
  <c r="F502" i="4"/>
  <c r="Q501" i="4"/>
  <c r="AM501" i="4" s="1"/>
  <c r="D502" i="4"/>
  <c r="H502" i="4"/>
  <c r="E502" i="4"/>
  <c r="B502" i="4"/>
  <c r="G502" i="4"/>
  <c r="J502" i="4"/>
  <c r="K502" i="4" l="1"/>
  <c r="L502" i="4" s="1"/>
  <c r="Y502" i="4"/>
  <c r="Z502" i="4" s="1"/>
  <c r="AF502" i="4"/>
  <c r="AG502" i="4" s="1"/>
  <c r="AJ502" i="4" s="1"/>
  <c r="AK502" i="4" s="1"/>
  <c r="AL502" i="4" s="1"/>
  <c r="R502" i="4"/>
  <c r="S502" i="4" s="1"/>
  <c r="V502" i="4" s="1"/>
  <c r="W502" i="4" s="1"/>
  <c r="X502" i="4" s="1"/>
  <c r="AA502" i="4"/>
  <c r="AB502" i="4" s="1"/>
  <c r="M502" i="4"/>
  <c r="N502" i="4" s="1"/>
  <c r="AH502" i="4"/>
  <c r="AI502" i="4" s="1"/>
  <c r="T502" i="4"/>
  <c r="U502" i="4" s="1"/>
  <c r="AC502" i="4" l="1"/>
  <c r="AD502" i="4" s="1"/>
  <c r="AE502" i="4" s="1"/>
  <c r="O502" i="4"/>
  <c r="P502" i="4" s="1"/>
  <c r="Q502" i="4" l="1"/>
  <c r="AM502" i="4" s="1"/>
  <c r="AP61" i="4" s="1"/>
  <c r="I503" i="4"/>
  <c r="B503" i="4"/>
  <c r="D503" i="4"/>
  <c r="F503" i="4"/>
  <c r="E503" i="4"/>
  <c r="C503" i="4"/>
  <c r="J503" i="4"/>
  <c r="H503" i="4"/>
  <c r="G503" i="4"/>
  <c r="Y503" i="4" l="1"/>
  <c r="Z503" i="4" s="1"/>
  <c r="AC503" i="4" s="1"/>
  <c r="AD503" i="4" s="1"/>
  <c r="AE503" i="4" s="1"/>
  <c r="AF503" i="4"/>
  <c r="AG503" i="4" s="1"/>
  <c r="AJ503" i="4" s="1"/>
  <c r="AK503" i="4" s="1"/>
  <c r="AL503" i="4" s="1"/>
  <c r="R503" i="4"/>
  <c r="S503" i="4" s="1"/>
  <c r="V503" i="4" s="1"/>
  <c r="W503" i="4" s="1"/>
  <c r="X503" i="4" s="1"/>
  <c r="K503" i="4"/>
  <c r="L503" i="4" s="1"/>
  <c r="O503" i="4" s="1"/>
  <c r="P503" i="4" s="1"/>
  <c r="Q503" i="4" s="1"/>
  <c r="M503" i="4"/>
  <c r="N503" i="4" s="1"/>
  <c r="AA503" i="4"/>
  <c r="AB503" i="4" s="1"/>
  <c r="AH503" i="4"/>
  <c r="AI503" i="4" s="1"/>
  <c r="T503" i="4"/>
  <c r="U503" i="4" s="1"/>
  <c r="F504" i="4" l="1"/>
  <c r="I504" i="4"/>
  <c r="B504" i="4"/>
  <c r="C504" i="4"/>
  <c r="AM503" i="4"/>
  <c r="G504" i="4"/>
  <c r="D504" i="4"/>
  <c r="E504" i="4"/>
  <c r="H504" i="4"/>
  <c r="J504" i="4"/>
  <c r="AA504" i="4" l="1"/>
  <c r="AB504" i="4" s="1"/>
  <c r="AH504" i="4"/>
  <c r="AI504" i="4" s="1"/>
  <c r="M504" i="4"/>
  <c r="N504" i="4" s="1"/>
  <c r="T504" i="4"/>
  <c r="U504" i="4" s="1"/>
  <c r="K504" i="4"/>
  <c r="L504" i="4" s="1"/>
  <c r="O504" i="4" s="1"/>
  <c r="P504" i="4" s="1"/>
  <c r="Q504" i="4" s="1"/>
  <c r="R504" i="4"/>
  <c r="S504" i="4" s="1"/>
  <c r="V504" i="4" s="1"/>
  <c r="W504" i="4" s="1"/>
  <c r="X504" i="4" s="1"/>
  <c r="Y504" i="4"/>
  <c r="Z504" i="4" s="1"/>
  <c r="AF504" i="4"/>
  <c r="AG504" i="4" s="1"/>
  <c r="AC504" i="4" l="1"/>
  <c r="AD504" i="4" s="1"/>
  <c r="AE504" i="4" s="1"/>
  <c r="AM504" i="4" s="1"/>
  <c r="J505" i="4"/>
  <c r="AJ504" i="4"/>
  <c r="AK504" i="4" s="1"/>
  <c r="AL504" i="4" s="1"/>
  <c r="E505" i="4" l="1"/>
  <c r="G505" i="4"/>
  <c r="C505" i="4"/>
  <c r="I505" i="4"/>
  <c r="H505" i="4"/>
  <c r="D505" i="4"/>
  <c r="B505" i="4"/>
  <c r="F505" i="4"/>
  <c r="Y505" i="4" l="1"/>
  <c r="Z505" i="4" s="1"/>
  <c r="R505" i="4"/>
  <c r="S505" i="4" s="1"/>
  <c r="V505" i="4" s="1"/>
  <c r="W505" i="4" s="1"/>
  <c r="X505" i="4" s="1"/>
  <c r="K505" i="4"/>
  <c r="L505" i="4" s="1"/>
  <c r="O505" i="4" s="1"/>
  <c r="P505" i="4" s="1"/>
  <c r="AF505" i="4"/>
  <c r="AG505" i="4" s="1"/>
  <c r="AJ505" i="4" s="1"/>
  <c r="AK505" i="4" s="1"/>
  <c r="AL505" i="4" s="1"/>
  <c r="M505" i="4"/>
  <c r="N505" i="4" s="1"/>
  <c r="T505" i="4"/>
  <c r="U505" i="4" s="1"/>
  <c r="AA505" i="4"/>
  <c r="AB505" i="4" s="1"/>
  <c r="AH505" i="4"/>
  <c r="AI505" i="4" s="1"/>
  <c r="Q505" i="4" l="1"/>
  <c r="AC505" i="4"/>
  <c r="AD505" i="4" s="1"/>
  <c r="C506" i="4"/>
  <c r="G506" i="4"/>
  <c r="H506" i="4"/>
  <c r="I506" i="4"/>
  <c r="D506" i="4"/>
  <c r="AE505" i="4" l="1"/>
  <c r="AM505" i="4" s="1"/>
  <c r="B506" i="4"/>
  <c r="E506" i="4"/>
  <c r="F506" i="4"/>
  <c r="J506" i="4"/>
  <c r="AA506" i="4" l="1"/>
  <c r="AB506" i="4" s="1"/>
  <c r="M506" i="4"/>
  <c r="N506" i="4" s="1"/>
  <c r="AH506" i="4"/>
  <c r="AI506" i="4" s="1"/>
  <c r="T506" i="4"/>
  <c r="U506" i="4" s="1"/>
  <c r="AF506" i="4"/>
  <c r="AG506" i="4" s="1"/>
  <c r="K506" i="4"/>
  <c r="L506" i="4" s="1"/>
  <c r="R506" i="4"/>
  <c r="S506" i="4" s="1"/>
  <c r="Y506" i="4"/>
  <c r="Z506" i="4" s="1"/>
  <c r="AC506" i="4" s="1"/>
  <c r="AD506" i="4" s="1"/>
  <c r="AE506" i="4" s="1"/>
  <c r="V506" i="4" l="1"/>
  <c r="W506" i="4" s="1"/>
  <c r="X506" i="4" s="1"/>
  <c r="O506" i="4"/>
  <c r="P506" i="4" s="1"/>
  <c r="AJ506" i="4"/>
  <c r="AK506" i="4" s="1"/>
  <c r="AL506" i="4" s="1"/>
  <c r="Q506" i="4" l="1"/>
  <c r="AM506" i="4" s="1"/>
  <c r="H507" i="4"/>
  <c r="D507" i="4"/>
  <c r="I507" i="4"/>
  <c r="G507" i="4"/>
  <c r="C507" i="4"/>
  <c r="F507" i="4"/>
  <c r="E507" i="4"/>
  <c r="J507" i="4"/>
  <c r="B507" i="4"/>
  <c r="AH507" i="4" l="1"/>
  <c r="AI507" i="4" s="1"/>
  <c r="T507" i="4"/>
  <c r="U507" i="4" s="1"/>
  <c r="AA507" i="4"/>
  <c r="AB507" i="4" s="1"/>
  <c r="M507" i="4"/>
  <c r="N507" i="4" s="1"/>
  <c r="R507" i="4"/>
  <c r="S507" i="4" s="1"/>
  <c r="V507" i="4" s="1"/>
  <c r="W507" i="4" s="1"/>
  <c r="X507" i="4" s="1"/>
  <c r="K507" i="4"/>
  <c r="L507" i="4" s="1"/>
  <c r="Y507" i="4"/>
  <c r="Z507" i="4" s="1"/>
  <c r="AC507" i="4" s="1"/>
  <c r="AD507" i="4" s="1"/>
  <c r="AE507" i="4" s="1"/>
  <c r="AF507" i="4"/>
  <c r="AG507" i="4" s="1"/>
  <c r="AJ507" i="4" s="1"/>
  <c r="AK507" i="4" s="1"/>
  <c r="AL507" i="4" s="1"/>
  <c r="O507" i="4" l="1"/>
  <c r="P507" i="4" s="1"/>
  <c r="Q507" i="4" l="1"/>
  <c r="AM507" i="4" s="1"/>
  <c r="C508" i="4"/>
  <c r="D508" i="4"/>
  <c r="J508" i="4"/>
  <c r="H508" i="4"/>
  <c r="I508" i="4"/>
  <c r="E508" i="4"/>
  <c r="G508" i="4"/>
  <c r="B508" i="4"/>
  <c r="F508" i="4"/>
  <c r="T508" i="4" l="1"/>
  <c r="U508" i="4" s="1"/>
  <c r="AA508" i="4"/>
  <c r="AB508" i="4" s="1"/>
  <c r="M508" i="4"/>
  <c r="N508" i="4" s="1"/>
  <c r="AH508" i="4"/>
  <c r="AI508" i="4" s="1"/>
  <c r="R508" i="4"/>
  <c r="S508" i="4" s="1"/>
  <c r="V508" i="4" s="1"/>
  <c r="W508" i="4" s="1"/>
  <c r="X508" i="4" s="1"/>
  <c r="Y508" i="4"/>
  <c r="Z508" i="4" s="1"/>
  <c r="AC508" i="4" s="1"/>
  <c r="AD508" i="4" s="1"/>
  <c r="AE508" i="4" s="1"/>
  <c r="K508" i="4"/>
  <c r="L508" i="4" s="1"/>
  <c r="O508" i="4" s="1"/>
  <c r="P508" i="4" s="1"/>
  <c r="Q508" i="4" s="1"/>
  <c r="AF508" i="4"/>
  <c r="AG508" i="4" s="1"/>
  <c r="AM508" i="4" l="1"/>
  <c r="F509" i="4"/>
  <c r="J509" i="4"/>
  <c r="D509" i="4"/>
  <c r="B509" i="4"/>
  <c r="E509" i="4"/>
  <c r="H509" i="4"/>
  <c r="AJ508" i="4"/>
  <c r="AK508" i="4" s="1"/>
  <c r="AL508" i="4" s="1"/>
  <c r="C509" i="4"/>
  <c r="G509" i="4"/>
  <c r="R509" i="4" l="1"/>
  <c r="S509" i="4" s="1"/>
  <c r="AF509" i="4"/>
  <c r="AG509" i="4" s="1"/>
  <c r="AJ509" i="4" s="1"/>
  <c r="AK509" i="4" s="1"/>
  <c r="AL509" i="4" s="1"/>
  <c r="Y509" i="4"/>
  <c r="Z509" i="4" s="1"/>
  <c r="AC509" i="4" s="1"/>
  <c r="AD509" i="4" s="1"/>
  <c r="AE509" i="4" s="1"/>
  <c r="K509" i="4"/>
  <c r="L509" i="4" s="1"/>
  <c r="AA509" i="4"/>
  <c r="AB509" i="4" s="1"/>
  <c r="M509" i="4"/>
  <c r="N509" i="4" s="1"/>
  <c r="AH509" i="4"/>
  <c r="AI509" i="4" s="1"/>
  <c r="T509" i="4"/>
  <c r="U509" i="4" s="1"/>
  <c r="I509" i="4"/>
  <c r="O509" i="4" l="1"/>
  <c r="P509" i="4" s="1"/>
  <c r="V509" i="4"/>
  <c r="W509" i="4" s="1"/>
  <c r="X509" i="4" s="1"/>
  <c r="I510" i="4" l="1"/>
  <c r="Q509" i="4"/>
  <c r="AM509" i="4" s="1"/>
  <c r="B510" i="4"/>
  <c r="E510" i="4"/>
  <c r="D510" i="4"/>
  <c r="G510" i="4"/>
  <c r="H510" i="4"/>
  <c r="J510" i="4"/>
  <c r="F510" i="4"/>
  <c r="C510" i="4"/>
  <c r="AF510" i="4" l="1"/>
  <c r="AG510" i="4" s="1"/>
  <c r="AJ510" i="4" s="1"/>
  <c r="AK510" i="4" s="1"/>
  <c r="AL510" i="4" s="1"/>
  <c r="Y510" i="4"/>
  <c r="Z510" i="4" s="1"/>
  <c r="AC510" i="4" s="1"/>
  <c r="AD510" i="4" s="1"/>
  <c r="AE510" i="4" s="1"/>
  <c r="K510" i="4"/>
  <c r="L510" i="4" s="1"/>
  <c r="O510" i="4" s="1"/>
  <c r="P510" i="4" s="1"/>
  <c r="Q510" i="4" s="1"/>
  <c r="R510" i="4"/>
  <c r="S510" i="4" s="1"/>
  <c r="V510" i="4" s="1"/>
  <c r="W510" i="4" s="1"/>
  <c r="X510" i="4" s="1"/>
  <c r="AH510" i="4"/>
  <c r="AI510" i="4" s="1"/>
  <c r="AA510" i="4"/>
  <c r="AB510" i="4" s="1"/>
  <c r="T510" i="4"/>
  <c r="U510" i="4" s="1"/>
  <c r="M510" i="4"/>
  <c r="N510" i="4" s="1"/>
  <c r="C511" i="4" l="1"/>
  <c r="F511" i="4"/>
  <c r="AM510" i="4"/>
  <c r="B511" i="4"/>
  <c r="D511" i="4"/>
  <c r="E511" i="4"/>
  <c r="H511" i="4"/>
  <c r="I511" i="4"/>
  <c r="G511" i="4"/>
  <c r="J511" i="4"/>
  <c r="AH511" i="4" l="1"/>
  <c r="AI511" i="4" s="1"/>
  <c r="T511" i="4"/>
  <c r="U511" i="4" s="1"/>
  <c r="M511" i="4"/>
  <c r="N511" i="4" s="1"/>
  <c r="AA511" i="4"/>
  <c r="AB511" i="4" s="1"/>
  <c r="R511" i="4"/>
  <c r="S511" i="4" s="1"/>
  <c r="V511" i="4" s="1"/>
  <c r="W511" i="4" s="1"/>
  <c r="X511" i="4" s="1"/>
  <c r="AF511" i="4"/>
  <c r="AG511" i="4" s="1"/>
  <c r="AJ511" i="4" s="1"/>
  <c r="AK511" i="4" s="1"/>
  <c r="AL511" i="4" s="1"/>
  <c r="K511" i="4"/>
  <c r="L511" i="4" s="1"/>
  <c r="Y511" i="4"/>
  <c r="Z511" i="4" s="1"/>
  <c r="AC511" i="4" s="1"/>
  <c r="AD511" i="4" s="1"/>
  <c r="AE511" i="4" s="1"/>
  <c r="O511" i="4" l="1"/>
  <c r="P511" i="4" s="1"/>
  <c r="Q511" i="4" l="1"/>
  <c r="AM511" i="4" s="1"/>
  <c r="C512" i="4"/>
  <c r="B512" i="4"/>
  <c r="F512" i="4"/>
  <c r="H512" i="4"/>
  <c r="D512" i="4"/>
  <c r="G512" i="4"/>
  <c r="E512" i="4"/>
  <c r="J512" i="4"/>
  <c r="I512" i="4"/>
  <c r="T512" i="4" l="1"/>
  <c r="U512" i="4" s="1"/>
  <c r="M512" i="4"/>
  <c r="N512" i="4" s="1"/>
  <c r="AA512" i="4"/>
  <c r="AB512" i="4" s="1"/>
  <c r="AH512" i="4"/>
  <c r="AI512" i="4" s="1"/>
  <c r="AF512" i="4"/>
  <c r="AG512" i="4" s="1"/>
  <c r="AJ512" i="4" s="1"/>
  <c r="AK512" i="4" s="1"/>
  <c r="AL512" i="4" s="1"/>
  <c r="R512" i="4"/>
  <c r="S512" i="4" s="1"/>
  <c r="V512" i="4" s="1"/>
  <c r="W512" i="4" s="1"/>
  <c r="X512" i="4" s="1"/>
  <c r="Y512" i="4"/>
  <c r="Z512" i="4" s="1"/>
  <c r="AC512" i="4" s="1"/>
  <c r="AD512" i="4" s="1"/>
  <c r="AE512" i="4" s="1"/>
  <c r="K512" i="4"/>
  <c r="L512" i="4" s="1"/>
  <c r="O512" i="4" s="1"/>
  <c r="P512" i="4" s="1"/>
  <c r="Q512" i="4" s="1"/>
  <c r="F513" i="4" l="1"/>
  <c r="I513" i="4"/>
  <c r="D513" i="4"/>
  <c r="H513" i="4"/>
  <c r="G513" i="4"/>
  <c r="C513" i="4"/>
  <c r="E513" i="4"/>
  <c r="AM512" i="4"/>
  <c r="AP62" i="4" s="1"/>
  <c r="J513" i="4"/>
  <c r="B513" i="4"/>
  <c r="T513" i="4" l="1"/>
  <c r="U513" i="4" s="1"/>
  <c r="AA513" i="4"/>
  <c r="AB513" i="4" s="1"/>
  <c r="M513" i="4"/>
  <c r="N513" i="4" s="1"/>
  <c r="AH513" i="4"/>
  <c r="AI513" i="4" s="1"/>
  <c r="K513" i="4"/>
  <c r="L513" i="4" s="1"/>
  <c r="Y513" i="4"/>
  <c r="Z513" i="4" s="1"/>
  <c r="R513" i="4"/>
  <c r="S513" i="4" s="1"/>
  <c r="V513" i="4" s="1"/>
  <c r="W513" i="4" s="1"/>
  <c r="X513" i="4" s="1"/>
  <c r="AF513" i="4"/>
  <c r="AG513" i="4" s="1"/>
  <c r="AJ513" i="4" l="1"/>
  <c r="AK513" i="4" s="1"/>
  <c r="AL513" i="4" s="1"/>
  <c r="AC513" i="4"/>
  <c r="AD513" i="4" s="1"/>
  <c r="AE513" i="4" s="1"/>
  <c r="O513" i="4"/>
  <c r="P513" i="4" s="1"/>
  <c r="Q513" i="4" l="1"/>
  <c r="AM513" i="4" s="1"/>
  <c r="G514" i="4"/>
  <c r="B514" i="4"/>
  <c r="F514" i="4"/>
  <c r="E514" i="4"/>
  <c r="I514" i="4"/>
  <c r="C514" i="4"/>
  <c r="D514" i="4"/>
  <c r="H514" i="4"/>
  <c r="J514" i="4"/>
  <c r="T514" i="4" l="1"/>
  <c r="U514" i="4" s="1"/>
  <c r="AH514" i="4"/>
  <c r="AI514" i="4" s="1"/>
  <c r="AA514" i="4"/>
  <c r="AB514" i="4" s="1"/>
  <c r="M514" i="4"/>
  <c r="N514" i="4" s="1"/>
  <c r="AF514" i="4"/>
  <c r="AG514" i="4" s="1"/>
  <c r="K514" i="4"/>
  <c r="L514" i="4" s="1"/>
  <c r="O514" i="4" s="1"/>
  <c r="P514" i="4" s="1"/>
  <c r="Q514" i="4" s="1"/>
  <c r="Y514" i="4"/>
  <c r="Z514" i="4" s="1"/>
  <c r="AC514" i="4" s="1"/>
  <c r="AD514" i="4" s="1"/>
  <c r="AE514" i="4" s="1"/>
  <c r="R514" i="4"/>
  <c r="S514" i="4" s="1"/>
  <c r="V514" i="4" s="1"/>
  <c r="W514" i="4" s="1"/>
  <c r="X514" i="4" s="1"/>
  <c r="AJ514" i="4" l="1"/>
  <c r="AK514" i="4" s="1"/>
  <c r="AL514" i="4" s="1"/>
  <c r="AM514" i="4" s="1"/>
  <c r="F515" i="4"/>
  <c r="I515" i="4"/>
  <c r="B515" i="4" l="1"/>
  <c r="D515" i="4"/>
  <c r="H515" i="4"/>
  <c r="G515" i="4"/>
  <c r="J515" i="4"/>
  <c r="C515" i="4"/>
  <c r="E515" i="4"/>
  <c r="R515" i="4" l="1"/>
  <c r="S515" i="4" s="1"/>
  <c r="AF515" i="4"/>
  <c r="AG515" i="4" s="1"/>
  <c r="AJ515" i="4" s="1"/>
  <c r="AK515" i="4" s="1"/>
  <c r="AL515" i="4" s="1"/>
  <c r="Y515" i="4"/>
  <c r="Z515" i="4" s="1"/>
  <c r="AC515" i="4" s="1"/>
  <c r="AD515" i="4" s="1"/>
  <c r="AE515" i="4" s="1"/>
  <c r="K515" i="4"/>
  <c r="L515" i="4" s="1"/>
  <c r="AH515" i="4"/>
  <c r="AI515" i="4" s="1"/>
  <c r="AA515" i="4"/>
  <c r="AB515" i="4" s="1"/>
  <c r="T515" i="4"/>
  <c r="U515" i="4" s="1"/>
  <c r="M515" i="4"/>
  <c r="N515" i="4" s="1"/>
  <c r="V515" i="4" l="1"/>
  <c r="W515" i="4" s="1"/>
  <c r="X515" i="4" s="1"/>
  <c r="O515" i="4"/>
  <c r="P515" i="4" s="1"/>
  <c r="Q515" i="4" l="1"/>
  <c r="AM515" i="4" s="1"/>
  <c r="I516" i="4"/>
  <c r="F516" i="4"/>
  <c r="C516" i="4"/>
  <c r="J516" i="4"/>
  <c r="H516" i="4"/>
  <c r="G516" i="4"/>
  <c r="D516" i="4"/>
  <c r="E516" i="4"/>
  <c r="B516" i="4"/>
  <c r="Y516" i="4" l="1"/>
  <c r="Z516" i="4" s="1"/>
  <c r="AC516" i="4" s="1"/>
  <c r="AD516" i="4" s="1"/>
  <c r="AE516" i="4" s="1"/>
  <c r="AF516" i="4"/>
  <c r="AG516" i="4" s="1"/>
  <c r="AJ516" i="4" s="1"/>
  <c r="AK516" i="4" s="1"/>
  <c r="AL516" i="4" s="1"/>
  <c r="R516" i="4"/>
  <c r="S516" i="4" s="1"/>
  <c r="V516" i="4" s="1"/>
  <c r="W516" i="4" s="1"/>
  <c r="X516" i="4" s="1"/>
  <c r="K516" i="4"/>
  <c r="L516" i="4" s="1"/>
  <c r="T516" i="4"/>
  <c r="U516" i="4" s="1"/>
  <c r="AH516" i="4"/>
  <c r="AI516" i="4" s="1"/>
  <c r="M516" i="4"/>
  <c r="N516" i="4" s="1"/>
  <c r="AA516" i="4"/>
  <c r="AB516" i="4" s="1"/>
  <c r="O516" i="4" l="1"/>
  <c r="P516" i="4" s="1"/>
  <c r="Q516" i="4" l="1"/>
  <c r="AM516" i="4" s="1"/>
  <c r="D517" i="4"/>
  <c r="G517" i="4"/>
  <c r="I517" i="4"/>
  <c r="H517" i="4"/>
  <c r="J517" i="4"/>
  <c r="C517" i="4"/>
  <c r="F517" i="4"/>
  <c r="E517" i="4"/>
  <c r="B517" i="4"/>
  <c r="Y517" i="4" l="1"/>
  <c r="Z517" i="4" s="1"/>
  <c r="AC517" i="4" s="1"/>
  <c r="AD517" i="4" s="1"/>
  <c r="AE517" i="4" s="1"/>
  <c r="K517" i="4"/>
  <c r="L517" i="4" s="1"/>
  <c r="AF517" i="4"/>
  <c r="AG517" i="4" s="1"/>
  <c r="R517" i="4"/>
  <c r="S517" i="4" s="1"/>
  <c r="AH517" i="4"/>
  <c r="AI517" i="4" s="1"/>
  <c r="T517" i="4"/>
  <c r="U517" i="4" s="1"/>
  <c r="M517" i="4"/>
  <c r="N517" i="4" s="1"/>
  <c r="AA517" i="4"/>
  <c r="AB517" i="4" s="1"/>
  <c r="V517" i="4" l="1"/>
  <c r="W517" i="4" s="1"/>
  <c r="X517" i="4" s="1"/>
  <c r="AJ517" i="4"/>
  <c r="AK517" i="4" s="1"/>
  <c r="AL517" i="4" s="1"/>
  <c r="O517" i="4"/>
  <c r="P517" i="4" s="1"/>
  <c r="Q517" i="4" l="1"/>
  <c r="AM517" i="4" s="1"/>
  <c r="J518" i="4"/>
  <c r="C518" i="4"/>
  <c r="G518" i="4"/>
  <c r="D518" i="4"/>
  <c r="B518" i="4"/>
  <c r="F518" i="4"/>
  <c r="E518" i="4"/>
  <c r="H518" i="4"/>
  <c r="I518" i="4"/>
  <c r="M518" i="4" l="1"/>
  <c r="N518" i="4" s="1"/>
  <c r="AA518" i="4"/>
  <c r="AB518" i="4" s="1"/>
  <c r="T518" i="4"/>
  <c r="U518" i="4" s="1"/>
  <c r="AH518" i="4"/>
  <c r="AI518" i="4" s="1"/>
  <c r="AF518" i="4"/>
  <c r="AG518" i="4" s="1"/>
  <c r="AJ518" i="4" s="1"/>
  <c r="AK518" i="4" s="1"/>
  <c r="AL518" i="4" s="1"/>
  <c r="K518" i="4"/>
  <c r="L518" i="4" s="1"/>
  <c r="O518" i="4" s="1"/>
  <c r="P518" i="4" s="1"/>
  <c r="Q518" i="4" s="1"/>
  <c r="Y518" i="4"/>
  <c r="Z518" i="4" s="1"/>
  <c r="R518" i="4"/>
  <c r="S518" i="4" s="1"/>
  <c r="V518" i="4" l="1"/>
  <c r="W518" i="4" s="1"/>
  <c r="AC518" i="4"/>
  <c r="AD518" i="4" s="1"/>
  <c r="AE518" i="4" s="1"/>
  <c r="X518" i="4" l="1"/>
  <c r="AM518" i="4" s="1"/>
  <c r="H519" i="4"/>
  <c r="E519" i="4"/>
  <c r="C519" i="4"/>
  <c r="J519" i="4"/>
  <c r="D519" i="4"/>
  <c r="B519" i="4"/>
  <c r="F519" i="4"/>
  <c r="G519" i="4"/>
  <c r="I519" i="4"/>
  <c r="R519" i="4" l="1"/>
  <c r="S519" i="4" s="1"/>
  <c r="AF519" i="4"/>
  <c r="AG519" i="4" s="1"/>
  <c r="Y519" i="4"/>
  <c r="Z519" i="4" s="1"/>
  <c r="AC519" i="4" s="1"/>
  <c r="AD519" i="4" s="1"/>
  <c r="AE519" i="4" s="1"/>
  <c r="K519" i="4"/>
  <c r="L519" i="4" s="1"/>
  <c r="O519" i="4" s="1"/>
  <c r="P519" i="4" s="1"/>
  <c r="Q519" i="4" s="1"/>
  <c r="AH519" i="4"/>
  <c r="AI519" i="4" s="1"/>
  <c r="M519" i="4"/>
  <c r="N519" i="4" s="1"/>
  <c r="AA519" i="4"/>
  <c r="AB519" i="4" s="1"/>
  <c r="T519" i="4"/>
  <c r="U519" i="4" s="1"/>
  <c r="AJ519" i="4" l="1"/>
  <c r="AK519" i="4" s="1"/>
  <c r="AL519" i="4" s="1"/>
  <c r="B520" i="4"/>
  <c r="G520" i="4"/>
  <c r="V519" i="4"/>
  <c r="W519" i="4" s="1"/>
  <c r="E520" i="4" l="1"/>
  <c r="D520" i="4"/>
  <c r="F520" i="4"/>
  <c r="X519" i="4"/>
  <c r="AM519" i="4" s="1"/>
  <c r="J520" i="4"/>
  <c r="I520" i="4"/>
  <c r="H520" i="4"/>
  <c r="C520" i="4"/>
  <c r="K520" i="4" s="1"/>
  <c r="L520" i="4" s="1"/>
  <c r="T520" i="4" l="1"/>
  <c r="U520" i="4" s="1"/>
  <c r="AH520" i="4"/>
  <c r="AI520" i="4" s="1"/>
  <c r="M520" i="4"/>
  <c r="N520" i="4" s="1"/>
  <c r="O520" i="4" s="1"/>
  <c r="P520" i="4" s="1"/>
  <c r="AA520" i="4"/>
  <c r="AB520" i="4" s="1"/>
  <c r="AF520" i="4"/>
  <c r="AG520" i="4" s="1"/>
  <c r="AJ520" i="4" s="1"/>
  <c r="AK520" i="4" s="1"/>
  <c r="AL520" i="4" s="1"/>
  <c r="Y520" i="4"/>
  <c r="Z520" i="4" s="1"/>
  <c r="R520" i="4"/>
  <c r="S520" i="4" s="1"/>
  <c r="V520" i="4" s="1"/>
  <c r="W520" i="4" s="1"/>
  <c r="X520" i="4" s="1"/>
  <c r="Q520" i="4" l="1"/>
  <c r="I521" i="4"/>
  <c r="H521" i="4"/>
  <c r="D521" i="4"/>
  <c r="J521" i="4"/>
  <c r="E521" i="4"/>
  <c r="AC520" i="4"/>
  <c r="AD520" i="4" s="1"/>
  <c r="AE520" i="4" s="1"/>
  <c r="AH521" i="4" l="1"/>
  <c r="AI521" i="4" s="1"/>
  <c r="B521" i="4"/>
  <c r="F521" i="4"/>
  <c r="AA521" i="4" s="1"/>
  <c r="AB521" i="4" s="1"/>
  <c r="G521" i="4"/>
  <c r="C521" i="4"/>
  <c r="AM520" i="4"/>
  <c r="M521" i="4" l="1"/>
  <c r="N521" i="4" s="1"/>
  <c r="T521" i="4"/>
  <c r="U521" i="4" s="1"/>
  <c r="R521" i="4"/>
  <c r="S521" i="4" s="1"/>
  <c r="V521" i="4" s="1"/>
  <c r="W521" i="4" s="1"/>
  <c r="X521" i="4" s="1"/>
  <c r="AF521" i="4"/>
  <c r="AG521" i="4" s="1"/>
  <c r="AJ521" i="4" s="1"/>
  <c r="AK521" i="4" s="1"/>
  <c r="AL521" i="4" s="1"/>
  <c r="B522" i="4"/>
  <c r="Y521" i="4"/>
  <c r="Z521" i="4" s="1"/>
  <c r="AC521" i="4" s="1"/>
  <c r="AD521" i="4" s="1"/>
  <c r="AE521" i="4" s="1"/>
  <c r="K521" i="4"/>
  <c r="L521" i="4" s="1"/>
  <c r="O521" i="4" s="1"/>
  <c r="P521" i="4" s="1"/>
  <c r="F522" i="4" l="1"/>
  <c r="G522" i="4"/>
  <c r="Q521" i="4"/>
  <c r="AM521" i="4" s="1"/>
  <c r="J522" i="4"/>
  <c r="I522" i="4"/>
  <c r="D522" i="4"/>
  <c r="E522" i="4"/>
  <c r="H522" i="4"/>
  <c r="C522" i="4"/>
  <c r="AA522" i="4" l="1"/>
  <c r="AB522" i="4" s="1"/>
  <c r="M522" i="4"/>
  <c r="N522" i="4" s="1"/>
  <c r="AH522" i="4"/>
  <c r="AI522" i="4" s="1"/>
  <c r="T522" i="4"/>
  <c r="U522" i="4" s="1"/>
  <c r="Y522" i="4"/>
  <c r="Z522" i="4" s="1"/>
  <c r="K522" i="4"/>
  <c r="L522" i="4" s="1"/>
  <c r="R522" i="4"/>
  <c r="S522" i="4" s="1"/>
  <c r="V522" i="4" s="1"/>
  <c r="W522" i="4" s="1"/>
  <c r="X522" i="4" s="1"/>
  <c r="AF522" i="4"/>
  <c r="AG522" i="4" s="1"/>
  <c r="AJ522" i="4" l="1"/>
  <c r="AK522" i="4" s="1"/>
  <c r="AL522" i="4" s="1"/>
  <c r="O522" i="4"/>
  <c r="P522" i="4" s="1"/>
  <c r="AC522" i="4"/>
  <c r="AD522" i="4" s="1"/>
  <c r="AE522" i="4" s="1"/>
  <c r="Q522" i="4" l="1"/>
  <c r="AM522" i="4" s="1"/>
  <c r="AP63" i="4" s="1"/>
  <c r="B523" i="4"/>
  <c r="F523" i="4"/>
  <c r="D523" i="4"/>
  <c r="G523" i="4"/>
  <c r="H523" i="4"/>
  <c r="C523" i="4"/>
  <c r="I523" i="4"/>
  <c r="E523" i="4"/>
  <c r="J523" i="4"/>
  <c r="R523" i="4" l="1"/>
  <c r="S523" i="4" s="1"/>
  <c r="V523" i="4" s="1"/>
  <c r="W523" i="4" s="1"/>
  <c r="X523" i="4" s="1"/>
  <c r="Y523" i="4"/>
  <c r="Z523" i="4" s="1"/>
  <c r="K523" i="4"/>
  <c r="L523" i="4" s="1"/>
  <c r="AF523" i="4"/>
  <c r="AG523" i="4" s="1"/>
  <c r="AH523" i="4"/>
  <c r="AI523" i="4" s="1"/>
  <c r="M523" i="4"/>
  <c r="N523" i="4" s="1"/>
  <c r="AA523" i="4"/>
  <c r="AB523" i="4" s="1"/>
  <c r="T523" i="4"/>
  <c r="U523" i="4" s="1"/>
  <c r="AJ523" i="4" l="1"/>
  <c r="AK523" i="4" s="1"/>
  <c r="AL523" i="4" s="1"/>
  <c r="O523" i="4"/>
  <c r="P523" i="4" s="1"/>
  <c r="AC523" i="4"/>
  <c r="AD523" i="4" s="1"/>
  <c r="AE523" i="4" s="1"/>
  <c r="Q523" i="4" l="1"/>
  <c r="AM523" i="4" s="1"/>
  <c r="I524" i="4"/>
  <c r="J524" i="4"/>
  <c r="G524" i="4"/>
  <c r="E524" i="4"/>
  <c r="C524" i="4"/>
  <c r="B524" i="4"/>
  <c r="H524" i="4"/>
  <c r="D524" i="4"/>
  <c r="F524" i="4"/>
  <c r="AF524" i="4" l="1"/>
  <c r="AG524" i="4" s="1"/>
  <c r="R524" i="4"/>
  <c r="S524" i="4" s="1"/>
  <c r="K524" i="4"/>
  <c r="L524" i="4" s="1"/>
  <c r="O524" i="4" s="1"/>
  <c r="P524" i="4" s="1"/>
  <c r="Q524" i="4" s="1"/>
  <c r="Y524" i="4"/>
  <c r="Z524" i="4" s="1"/>
  <c r="AC524" i="4" s="1"/>
  <c r="AD524" i="4" s="1"/>
  <c r="AE524" i="4" s="1"/>
  <c r="T524" i="4"/>
  <c r="U524" i="4" s="1"/>
  <c r="AH524" i="4"/>
  <c r="AI524" i="4" s="1"/>
  <c r="AA524" i="4"/>
  <c r="AB524" i="4" s="1"/>
  <c r="M524" i="4"/>
  <c r="N524" i="4" s="1"/>
  <c r="V524" i="4" l="1"/>
  <c r="W524" i="4" s="1"/>
  <c r="AJ524" i="4"/>
  <c r="AK524" i="4" s="1"/>
  <c r="AL524" i="4" s="1"/>
  <c r="D525" i="4"/>
  <c r="E525" i="4"/>
  <c r="H525" i="4"/>
  <c r="AH525" i="4" l="1"/>
  <c r="AI525" i="4" s="1"/>
  <c r="X524" i="4"/>
  <c r="AM524" i="4" s="1"/>
  <c r="I525" i="4"/>
  <c r="C525" i="4"/>
  <c r="F525" i="4"/>
  <c r="AA525" i="4" s="1"/>
  <c r="AB525" i="4" s="1"/>
  <c r="G525" i="4"/>
  <c r="B525" i="4"/>
  <c r="J525" i="4"/>
  <c r="AF525" i="4" l="1"/>
  <c r="AG525" i="4" s="1"/>
  <c r="AJ525" i="4" s="1"/>
  <c r="AK525" i="4" s="1"/>
  <c r="AL525" i="4" s="1"/>
  <c r="R525" i="4"/>
  <c r="S525" i="4" s="1"/>
  <c r="K525" i="4"/>
  <c r="L525" i="4" s="1"/>
  <c r="O525" i="4" s="1"/>
  <c r="P525" i="4" s="1"/>
  <c r="Y525" i="4"/>
  <c r="Z525" i="4" s="1"/>
  <c r="AC525" i="4" s="1"/>
  <c r="AD525" i="4" s="1"/>
  <c r="AE525" i="4" s="1"/>
  <c r="T525" i="4"/>
  <c r="U525" i="4" s="1"/>
  <c r="M525" i="4"/>
  <c r="N525" i="4" s="1"/>
  <c r="Q525" i="4" l="1"/>
  <c r="V525" i="4"/>
  <c r="W525" i="4" s="1"/>
  <c r="C526" i="4"/>
  <c r="B526" i="4"/>
  <c r="F526" i="4"/>
  <c r="Y526" i="4" l="1"/>
  <c r="Z526" i="4" s="1"/>
  <c r="X525" i="4"/>
  <c r="AM525" i="4" s="1"/>
  <c r="I526" i="4"/>
  <c r="G526" i="4"/>
  <c r="J526" i="4"/>
  <c r="D526" i="4"/>
  <c r="R526" i="4" s="1"/>
  <c r="S526" i="4" s="1"/>
  <c r="E526" i="4"/>
  <c r="H526" i="4"/>
  <c r="T526" i="4" l="1"/>
  <c r="U526" i="4" s="1"/>
  <c r="V526" i="4" s="1"/>
  <c r="W526" i="4" s="1"/>
  <c r="X526" i="4" s="1"/>
  <c r="AA526" i="4"/>
  <c r="AB526" i="4" s="1"/>
  <c r="M526" i="4"/>
  <c r="N526" i="4" s="1"/>
  <c r="AH526" i="4"/>
  <c r="AI526" i="4" s="1"/>
  <c r="AC526" i="4"/>
  <c r="AD526" i="4" s="1"/>
  <c r="AE526" i="4" s="1"/>
  <c r="K526" i="4"/>
  <c r="L526" i="4" s="1"/>
  <c r="AF526" i="4"/>
  <c r="AG526" i="4" s="1"/>
  <c r="AJ526" i="4" l="1"/>
  <c r="AK526" i="4" s="1"/>
  <c r="AL526" i="4" s="1"/>
  <c r="O526" i="4"/>
  <c r="P526" i="4" s="1"/>
  <c r="Q526" i="4" l="1"/>
  <c r="AM526" i="4" s="1"/>
  <c r="F527" i="4"/>
  <c r="B527" i="4"/>
  <c r="C527" i="4"/>
  <c r="D527" i="4"/>
  <c r="H527" i="4"/>
  <c r="J527" i="4"/>
  <c r="E527" i="4"/>
  <c r="G527" i="4"/>
  <c r="I527" i="4"/>
  <c r="R527" i="4" l="1"/>
  <c r="S527" i="4" s="1"/>
  <c r="K527" i="4"/>
  <c r="L527" i="4" s="1"/>
  <c r="AF527" i="4"/>
  <c r="AG527" i="4" s="1"/>
  <c r="Y527" i="4"/>
  <c r="Z527" i="4" s="1"/>
  <c r="AC527" i="4" s="1"/>
  <c r="AD527" i="4" s="1"/>
  <c r="AE527" i="4" s="1"/>
  <c r="AH527" i="4"/>
  <c r="AI527" i="4" s="1"/>
  <c r="T527" i="4"/>
  <c r="U527" i="4" s="1"/>
  <c r="AA527" i="4"/>
  <c r="AB527" i="4" s="1"/>
  <c r="M527" i="4"/>
  <c r="N527" i="4" s="1"/>
  <c r="AJ527" i="4" l="1"/>
  <c r="AK527" i="4" s="1"/>
  <c r="AL527" i="4" s="1"/>
  <c r="O527" i="4"/>
  <c r="P527" i="4" s="1"/>
  <c r="V527" i="4"/>
  <c r="W527" i="4" s="1"/>
  <c r="X527" i="4" s="1"/>
  <c r="Q527" i="4" l="1"/>
  <c r="AM527" i="4" s="1"/>
  <c r="H528" i="4"/>
  <c r="E528" i="4"/>
  <c r="G528" i="4"/>
  <c r="D528" i="4"/>
  <c r="B528" i="4"/>
  <c r="I528" i="4"/>
  <c r="F528" i="4"/>
  <c r="J528" i="4"/>
  <c r="C528" i="4"/>
  <c r="R528" i="4" l="1"/>
  <c r="S528" i="4" s="1"/>
  <c r="AF528" i="4"/>
  <c r="AG528" i="4" s="1"/>
  <c r="Y528" i="4"/>
  <c r="Z528" i="4" s="1"/>
  <c r="K528" i="4"/>
  <c r="L528" i="4" s="1"/>
  <c r="O528" i="4" s="1"/>
  <c r="P528" i="4" s="1"/>
  <c r="Q528" i="4" s="1"/>
  <c r="T528" i="4"/>
  <c r="U528" i="4" s="1"/>
  <c r="AA528" i="4"/>
  <c r="AB528" i="4" s="1"/>
  <c r="M528" i="4"/>
  <c r="N528" i="4" s="1"/>
  <c r="AH528" i="4"/>
  <c r="AI528" i="4" s="1"/>
  <c r="AC528" i="4" l="1"/>
  <c r="AD528" i="4" s="1"/>
  <c r="AE528" i="4" s="1"/>
  <c r="AJ528" i="4"/>
  <c r="AK528" i="4" s="1"/>
  <c r="AL528" i="4" s="1"/>
  <c r="V528" i="4"/>
  <c r="W528" i="4" s="1"/>
  <c r="H529" i="4" l="1"/>
  <c r="B529" i="4"/>
  <c r="X528" i="4"/>
  <c r="AM528" i="4" s="1"/>
  <c r="E529" i="4"/>
  <c r="D529" i="4"/>
  <c r="C529" i="4"/>
  <c r="J529" i="4"/>
  <c r="I529" i="4"/>
  <c r="F529" i="4"/>
  <c r="G529" i="4"/>
  <c r="Y529" i="4" l="1"/>
  <c r="Z529" i="4" s="1"/>
  <c r="AF529" i="4"/>
  <c r="AG529" i="4" s="1"/>
  <c r="AJ529" i="4" s="1"/>
  <c r="AK529" i="4" s="1"/>
  <c r="AL529" i="4" s="1"/>
  <c r="R529" i="4"/>
  <c r="S529" i="4" s="1"/>
  <c r="K529" i="4"/>
  <c r="L529" i="4" s="1"/>
  <c r="AH529" i="4"/>
  <c r="AI529" i="4" s="1"/>
  <c r="T529" i="4"/>
  <c r="U529" i="4" s="1"/>
  <c r="M529" i="4"/>
  <c r="N529" i="4" s="1"/>
  <c r="AA529" i="4"/>
  <c r="AB529" i="4" s="1"/>
  <c r="AC529" i="4" l="1"/>
  <c r="AD529" i="4" s="1"/>
  <c r="AE529" i="4" s="1"/>
  <c r="O529" i="4"/>
  <c r="P529" i="4" s="1"/>
  <c r="V529" i="4"/>
  <c r="W529" i="4" s="1"/>
  <c r="X529" i="4" s="1"/>
  <c r="Q529" i="4" l="1"/>
  <c r="AM529" i="4" s="1"/>
  <c r="C530" i="4"/>
  <c r="H530" i="4"/>
  <c r="I530" i="4"/>
  <c r="J530" i="4"/>
  <c r="E530" i="4"/>
  <c r="D530" i="4"/>
  <c r="G530" i="4"/>
  <c r="B530" i="4"/>
  <c r="F530" i="4"/>
  <c r="AH530" i="4" l="1"/>
  <c r="AI530" i="4" s="1"/>
  <c r="T530" i="4"/>
  <c r="U530" i="4" s="1"/>
  <c r="AA530" i="4"/>
  <c r="AB530" i="4" s="1"/>
  <c r="M530" i="4"/>
  <c r="N530" i="4" s="1"/>
  <c r="AF530" i="4"/>
  <c r="AG530" i="4" s="1"/>
  <c r="AJ530" i="4" s="1"/>
  <c r="AK530" i="4" s="1"/>
  <c r="AL530" i="4" s="1"/>
  <c r="Y530" i="4"/>
  <c r="Z530" i="4" s="1"/>
  <c r="AC530" i="4" s="1"/>
  <c r="AD530" i="4" s="1"/>
  <c r="AE530" i="4" s="1"/>
  <c r="K530" i="4"/>
  <c r="L530" i="4" s="1"/>
  <c r="O530" i="4" s="1"/>
  <c r="P530" i="4" s="1"/>
  <c r="Q530" i="4" s="1"/>
  <c r="R530" i="4"/>
  <c r="S530" i="4" s="1"/>
  <c r="B531" i="4" l="1"/>
  <c r="F531" i="4"/>
  <c r="I531" i="4"/>
  <c r="E531" i="4"/>
  <c r="C531" i="4"/>
  <c r="D531" i="4"/>
  <c r="V530" i="4"/>
  <c r="W530" i="4" s="1"/>
  <c r="X530" i="4" s="1"/>
  <c r="AM530" i="4" s="1"/>
  <c r="H531" i="4"/>
  <c r="G531" i="4"/>
  <c r="AH531" i="4" l="1"/>
  <c r="AI531" i="4" s="1"/>
  <c r="M531" i="4"/>
  <c r="N531" i="4" s="1"/>
  <c r="AA531" i="4"/>
  <c r="AB531" i="4" s="1"/>
  <c r="T531" i="4"/>
  <c r="U531" i="4" s="1"/>
  <c r="J531" i="4"/>
  <c r="R531" i="4"/>
  <c r="S531" i="4" s="1"/>
  <c r="V531" i="4" s="1"/>
  <c r="W531" i="4" s="1"/>
  <c r="X531" i="4" s="1"/>
  <c r="AF531" i="4"/>
  <c r="AG531" i="4" s="1"/>
  <c r="AJ531" i="4" s="1"/>
  <c r="AK531" i="4" s="1"/>
  <c r="AL531" i="4" s="1"/>
  <c r="Y531" i="4"/>
  <c r="Z531" i="4" s="1"/>
  <c r="AC531" i="4" s="1"/>
  <c r="AD531" i="4" s="1"/>
  <c r="AE531" i="4" s="1"/>
  <c r="K531" i="4"/>
  <c r="L531" i="4" s="1"/>
  <c r="O531" i="4" l="1"/>
  <c r="P531" i="4" s="1"/>
  <c r="Q531" i="4" l="1"/>
  <c r="AM531" i="4" s="1"/>
  <c r="G532" i="4"/>
  <c r="E532" i="4"/>
  <c r="H532" i="4"/>
  <c r="F532" i="4"/>
  <c r="D532" i="4"/>
  <c r="C532" i="4"/>
  <c r="B532" i="4"/>
  <c r="I532" i="4"/>
  <c r="J532" i="4"/>
  <c r="K532" i="4" l="1"/>
  <c r="L532" i="4" s="1"/>
  <c r="R532" i="4"/>
  <c r="S532" i="4" s="1"/>
  <c r="AF532" i="4"/>
  <c r="AG532" i="4" s="1"/>
  <c r="Y532" i="4"/>
  <c r="Z532" i="4" s="1"/>
  <c r="AC532" i="4" s="1"/>
  <c r="AD532" i="4" s="1"/>
  <c r="AE532" i="4" s="1"/>
  <c r="T532" i="4"/>
  <c r="U532" i="4" s="1"/>
  <c r="M532" i="4"/>
  <c r="N532" i="4" s="1"/>
  <c r="AH532" i="4"/>
  <c r="AI532" i="4" s="1"/>
  <c r="AA532" i="4"/>
  <c r="AB532" i="4" s="1"/>
  <c r="AJ532" i="4" l="1"/>
  <c r="AK532" i="4" s="1"/>
  <c r="AL532" i="4" s="1"/>
  <c r="V532" i="4"/>
  <c r="W532" i="4" s="1"/>
  <c r="X532" i="4" s="1"/>
  <c r="O532" i="4"/>
  <c r="P532" i="4" s="1"/>
  <c r="Q532" i="4" l="1"/>
  <c r="AM532" i="4" s="1"/>
  <c r="AP64" i="4" s="1"/>
  <c r="B533" i="4"/>
  <c r="J533" i="4"/>
  <c r="I533" i="4"/>
  <c r="C533" i="4"/>
  <c r="E533" i="4"/>
  <c r="F533" i="4"/>
  <c r="D533" i="4"/>
  <c r="H533" i="4"/>
  <c r="G533" i="4"/>
  <c r="T533" i="4" l="1"/>
  <c r="U533" i="4" s="1"/>
  <c r="AH533" i="4"/>
  <c r="AI533" i="4" s="1"/>
  <c r="AA533" i="4"/>
  <c r="AB533" i="4" s="1"/>
  <c r="M533" i="4"/>
  <c r="N533" i="4" s="1"/>
  <c r="K533" i="4"/>
  <c r="L533" i="4" s="1"/>
  <c r="O533" i="4" s="1"/>
  <c r="P533" i="4" s="1"/>
  <c r="Q533" i="4" s="1"/>
  <c r="Y533" i="4"/>
  <c r="Z533" i="4" s="1"/>
  <c r="AF533" i="4"/>
  <c r="AG533" i="4" s="1"/>
  <c r="AJ533" i="4" s="1"/>
  <c r="AK533" i="4" s="1"/>
  <c r="AL533" i="4" s="1"/>
  <c r="R533" i="4"/>
  <c r="S533" i="4" s="1"/>
  <c r="V533" i="4" s="1"/>
  <c r="W533" i="4" s="1"/>
  <c r="X533" i="4" s="1"/>
  <c r="AC533" i="4" l="1"/>
  <c r="AD533" i="4" s="1"/>
  <c r="AE533" i="4" s="1"/>
  <c r="AM533" i="4"/>
  <c r="D534" i="4"/>
  <c r="G534" i="4"/>
  <c r="J534" i="4"/>
  <c r="I534" i="4"/>
  <c r="F534" i="4"/>
  <c r="E534" i="4"/>
  <c r="H534" i="4"/>
  <c r="C534" i="4"/>
  <c r="B534" i="4" l="1"/>
  <c r="AA534" i="4"/>
  <c r="AB534" i="4" s="1"/>
  <c r="AH534" i="4"/>
  <c r="AI534" i="4" s="1"/>
  <c r="T534" i="4"/>
  <c r="U534" i="4" s="1"/>
  <c r="M534" i="4"/>
  <c r="N534" i="4" s="1"/>
  <c r="AF534" i="4" l="1"/>
  <c r="AG534" i="4" s="1"/>
  <c r="AJ534" i="4" s="1"/>
  <c r="AK534" i="4" s="1"/>
  <c r="AL534" i="4" s="1"/>
  <c r="R534" i="4"/>
  <c r="S534" i="4" s="1"/>
  <c r="V534" i="4" s="1"/>
  <c r="W534" i="4" s="1"/>
  <c r="X534" i="4" s="1"/>
  <c r="Y534" i="4"/>
  <c r="Z534" i="4" s="1"/>
  <c r="AC534" i="4" s="1"/>
  <c r="AD534" i="4" s="1"/>
  <c r="AE534" i="4" s="1"/>
  <c r="K534" i="4"/>
  <c r="L534" i="4" s="1"/>
  <c r="O534" i="4" s="1"/>
  <c r="P534" i="4" s="1"/>
  <c r="Q534" i="4" l="1"/>
  <c r="AM534" i="4" s="1"/>
  <c r="F535" i="4"/>
  <c r="I535" i="4"/>
  <c r="J535" i="4"/>
  <c r="G535" i="4"/>
  <c r="E535" i="4"/>
  <c r="C535" i="4"/>
  <c r="H535" i="4"/>
  <c r="D535" i="4"/>
  <c r="B535" i="4"/>
  <c r="AH535" i="4" l="1"/>
  <c r="AI535" i="4" s="1"/>
  <c r="AA535" i="4"/>
  <c r="AB535" i="4" s="1"/>
  <c r="M535" i="4"/>
  <c r="N535" i="4" s="1"/>
  <c r="T535" i="4"/>
  <c r="U535" i="4" s="1"/>
  <c r="R535" i="4"/>
  <c r="S535" i="4" s="1"/>
  <c r="Y535" i="4"/>
  <c r="Z535" i="4" s="1"/>
  <c r="AC535" i="4" s="1"/>
  <c r="AD535" i="4" s="1"/>
  <c r="AE535" i="4" s="1"/>
  <c r="K535" i="4"/>
  <c r="L535" i="4" s="1"/>
  <c r="O535" i="4" s="1"/>
  <c r="P535" i="4" s="1"/>
  <c r="Q535" i="4" s="1"/>
  <c r="AF535" i="4"/>
  <c r="AG535" i="4" s="1"/>
  <c r="AJ535" i="4" s="1"/>
  <c r="AK535" i="4" s="1"/>
  <c r="AL535" i="4" s="1"/>
  <c r="V535" i="4" l="1"/>
  <c r="W535" i="4" s="1"/>
  <c r="X535" i="4" s="1"/>
  <c r="AM535" i="4" s="1"/>
  <c r="H536" i="4" l="1"/>
  <c r="J536" i="4"/>
  <c r="E536" i="4"/>
  <c r="C536" i="4"/>
  <c r="B536" i="4"/>
  <c r="F536" i="4"/>
  <c r="G536" i="4"/>
  <c r="D536" i="4"/>
  <c r="I536" i="4"/>
  <c r="Y536" i="4" l="1"/>
  <c r="Z536" i="4" s="1"/>
  <c r="AC536" i="4" s="1"/>
  <c r="AD536" i="4" s="1"/>
  <c r="AE536" i="4" s="1"/>
  <c r="K536" i="4"/>
  <c r="L536" i="4" s="1"/>
  <c r="AF536" i="4"/>
  <c r="AG536" i="4" s="1"/>
  <c r="AJ536" i="4" s="1"/>
  <c r="AK536" i="4" s="1"/>
  <c r="AL536" i="4" s="1"/>
  <c r="R536" i="4"/>
  <c r="S536" i="4" s="1"/>
  <c r="V536" i="4" s="1"/>
  <c r="W536" i="4" s="1"/>
  <c r="X536" i="4" s="1"/>
  <c r="T536" i="4"/>
  <c r="U536" i="4" s="1"/>
  <c r="AH536" i="4"/>
  <c r="AI536" i="4" s="1"/>
  <c r="AA536" i="4"/>
  <c r="AB536" i="4" s="1"/>
  <c r="M536" i="4"/>
  <c r="N536" i="4" s="1"/>
  <c r="O536" i="4" l="1"/>
  <c r="P536" i="4" s="1"/>
  <c r="Q536" i="4" l="1"/>
  <c r="AM536" i="4" s="1"/>
  <c r="D537" i="4"/>
  <c r="H537" i="4"/>
  <c r="I537" i="4"/>
  <c r="G537" i="4"/>
  <c r="E537" i="4"/>
  <c r="F537" i="4"/>
  <c r="C537" i="4"/>
  <c r="B537" i="4"/>
  <c r="J537" i="4"/>
  <c r="M537" i="4" l="1"/>
  <c r="N537" i="4" s="1"/>
  <c r="T537" i="4"/>
  <c r="U537" i="4" s="1"/>
  <c r="AH537" i="4"/>
  <c r="AI537" i="4" s="1"/>
  <c r="AA537" i="4"/>
  <c r="AB537" i="4" s="1"/>
  <c r="AF537" i="4"/>
  <c r="AG537" i="4" s="1"/>
  <c r="AJ537" i="4" s="1"/>
  <c r="AK537" i="4" s="1"/>
  <c r="AL537" i="4" s="1"/>
  <c r="Y537" i="4"/>
  <c r="Z537" i="4" s="1"/>
  <c r="AC537" i="4" s="1"/>
  <c r="AD537" i="4" s="1"/>
  <c r="AE537" i="4" s="1"/>
  <c r="R537" i="4"/>
  <c r="S537" i="4" s="1"/>
  <c r="V537" i="4" s="1"/>
  <c r="W537" i="4" s="1"/>
  <c r="X537" i="4" s="1"/>
  <c r="B538" i="4"/>
  <c r="K537" i="4"/>
  <c r="L537" i="4" s="1"/>
  <c r="O537" i="4" s="1"/>
  <c r="P537" i="4" s="1"/>
  <c r="Q537" i="4" s="1"/>
  <c r="E538" i="4" l="1"/>
  <c r="I538" i="4"/>
  <c r="J538" i="4"/>
  <c r="H538" i="4"/>
  <c r="G538" i="4"/>
  <c r="F538" i="4"/>
  <c r="AM537" i="4"/>
  <c r="D538" i="4"/>
  <c r="C538" i="4"/>
  <c r="M538" i="4" l="1"/>
  <c r="N538" i="4" s="1"/>
  <c r="AA538" i="4"/>
  <c r="AB538" i="4" s="1"/>
  <c r="T538" i="4"/>
  <c r="U538" i="4" s="1"/>
  <c r="AH538" i="4"/>
  <c r="AI538" i="4" s="1"/>
  <c r="R538" i="4"/>
  <c r="S538" i="4" s="1"/>
  <c r="Y538" i="4"/>
  <c r="Z538" i="4" s="1"/>
  <c r="AC538" i="4" s="1"/>
  <c r="AD538" i="4" s="1"/>
  <c r="AE538" i="4" s="1"/>
  <c r="K538" i="4"/>
  <c r="L538" i="4" s="1"/>
  <c r="O538" i="4" s="1"/>
  <c r="P538" i="4" s="1"/>
  <c r="AF538" i="4"/>
  <c r="AG538" i="4" s="1"/>
  <c r="AJ538" i="4" s="1"/>
  <c r="AK538" i="4" s="1"/>
  <c r="AL538" i="4" s="1"/>
  <c r="Q538" i="4" l="1"/>
  <c r="V538" i="4"/>
  <c r="W538" i="4" s="1"/>
  <c r="C539" i="4"/>
  <c r="X538" i="4" l="1"/>
  <c r="I539" i="4"/>
  <c r="F539" i="4"/>
  <c r="G539" i="4"/>
  <c r="H539" i="4"/>
  <c r="J539" i="4"/>
  <c r="D539" i="4"/>
  <c r="E539" i="4"/>
  <c r="B539" i="4"/>
  <c r="AM538" i="4"/>
  <c r="R539" i="4" l="1"/>
  <c r="S539" i="4" s="1"/>
  <c r="K539" i="4"/>
  <c r="L539" i="4" s="1"/>
  <c r="Y539" i="4"/>
  <c r="Z539" i="4" s="1"/>
  <c r="AC539" i="4" s="1"/>
  <c r="AD539" i="4" s="1"/>
  <c r="AE539" i="4" s="1"/>
  <c r="AF539" i="4"/>
  <c r="AG539" i="4" s="1"/>
  <c r="AJ539" i="4" s="1"/>
  <c r="AK539" i="4" s="1"/>
  <c r="AL539" i="4" s="1"/>
  <c r="AH539" i="4"/>
  <c r="AI539" i="4" s="1"/>
  <c r="T539" i="4"/>
  <c r="U539" i="4" s="1"/>
  <c r="AA539" i="4"/>
  <c r="AB539" i="4" s="1"/>
  <c r="M539" i="4"/>
  <c r="N539" i="4" s="1"/>
  <c r="O539" i="4" l="1"/>
  <c r="P539" i="4" s="1"/>
  <c r="V539" i="4"/>
  <c r="W539" i="4" s="1"/>
  <c r="X539" i="4" s="1"/>
  <c r="Q539" i="4" l="1"/>
  <c r="AM539" i="4" s="1"/>
  <c r="C540" i="4"/>
  <c r="D540" i="4"/>
  <c r="B540" i="4"/>
  <c r="I540" i="4"/>
  <c r="J540" i="4"/>
  <c r="G540" i="4"/>
  <c r="H540" i="4"/>
  <c r="F540" i="4"/>
  <c r="E540" i="4"/>
  <c r="R540" i="4" l="1"/>
  <c r="S540" i="4" s="1"/>
  <c r="V540" i="4" s="1"/>
  <c r="W540" i="4" s="1"/>
  <c r="X540" i="4" s="1"/>
  <c r="Y540" i="4"/>
  <c r="Z540" i="4" s="1"/>
  <c r="K540" i="4"/>
  <c r="L540" i="4" s="1"/>
  <c r="AF540" i="4"/>
  <c r="AG540" i="4" s="1"/>
  <c r="T540" i="4"/>
  <c r="U540" i="4" s="1"/>
  <c r="AA540" i="4"/>
  <c r="AB540" i="4" s="1"/>
  <c r="M540" i="4"/>
  <c r="N540" i="4" s="1"/>
  <c r="AH540" i="4"/>
  <c r="AI540" i="4" s="1"/>
  <c r="AJ540" i="4" l="1"/>
  <c r="AK540" i="4" s="1"/>
  <c r="AL540" i="4" s="1"/>
  <c r="O540" i="4"/>
  <c r="P540" i="4" s="1"/>
  <c r="AC540" i="4"/>
  <c r="AD540" i="4" s="1"/>
  <c r="AE540" i="4" s="1"/>
  <c r="Q540" i="4" l="1"/>
  <c r="AM540" i="4" s="1"/>
  <c r="H541" i="4"/>
  <c r="F541" i="4"/>
  <c r="D541" i="4"/>
  <c r="G541" i="4"/>
  <c r="J541" i="4"/>
  <c r="I541" i="4"/>
  <c r="C541" i="4"/>
  <c r="B541" i="4"/>
  <c r="E541" i="4"/>
  <c r="AA541" i="4" l="1"/>
  <c r="AB541" i="4" s="1"/>
  <c r="M541" i="4"/>
  <c r="N541" i="4" s="1"/>
  <c r="AH541" i="4"/>
  <c r="AI541" i="4" s="1"/>
  <c r="T541" i="4"/>
  <c r="U541" i="4" s="1"/>
  <c r="R541" i="4"/>
  <c r="S541" i="4" s="1"/>
  <c r="V541" i="4" s="1"/>
  <c r="W541" i="4" s="1"/>
  <c r="X541" i="4" s="1"/>
  <c r="AF541" i="4"/>
  <c r="AG541" i="4" s="1"/>
  <c r="AJ541" i="4" s="1"/>
  <c r="AK541" i="4" s="1"/>
  <c r="AL541" i="4" s="1"/>
  <c r="Y541" i="4"/>
  <c r="Z541" i="4" s="1"/>
  <c r="AC541" i="4" s="1"/>
  <c r="AD541" i="4" s="1"/>
  <c r="AE541" i="4" s="1"/>
  <c r="K541" i="4"/>
  <c r="L541" i="4" s="1"/>
  <c r="O541" i="4" l="1"/>
  <c r="P541" i="4" s="1"/>
  <c r="Q541" i="4" l="1"/>
  <c r="AM541" i="4" s="1"/>
  <c r="I542" i="4"/>
  <c r="E542" i="4"/>
  <c r="J542" i="4"/>
  <c r="G542" i="4"/>
  <c r="F542" i="4"/>
  <c r="H542" i="4"/>
  <c r="C542" i="4"/>
  <c r="B542" i="4"/>
  <c r="D542" i="4"/>
  <c r="AH542" i="4" l="1"/>
  <c r="AI542" i="4" s="1"/>
  <c r="T542" i="4"/>
  <c r="U542" i="4" s="1"/>
  <c r="AA542" i="4"/>
  <c r="AB542" i="4" s="1"/>
  <c r="M542" i="4"/>
  <c r="N542" i="4" s="1"/>
  <c r="AF542" i="4"/>
  <c r="AG542" i="4" s="1"/>
  <c r="AJ542" i="4" s="1"/>
  <c r="AK542" i="4" s="1"/>
  <c r="AL542" i="4" s="1"/>
  <c r="Y542" i="4"/>
  <c r="Z542" i="4" s="1"/>
  <c r="AC542" i="4" s="1"/>
  <c r="AD542" i="4" s="1"/>
  <c r="AE542" i="4" s="1"/>
  <c r="R542" i="4"/>
  <c r="S542" i="4" s="1"/>
  <c r="V542" i="4" s="1"/>
  <c r="W542" i="4" s="1"/>
  <c r="X542" i="4" s="1"/>
  <c r="K542" i="4"/>
  <c r="L542" i="4" s="1"/>
  <c r="O542" i="4" l="1"/>
  <c r="P542" i="4" s="1"/>
  <c r="Q542" i="4" l="1"/>
  <c r="AM542" i="4" s="1"/>
  <c r="AP65" i="4" s="1"/>
  <c r="F543" i="4"/>
  <c r="C543" i="4"/>
  <c r="J543" i="4"/>
  <c r="G543" i="4"/>
  <c r="H543" i="4"/>
  <c r="E543" i="4"/>
  <c r="D543" i="4"/>
  <c r="B543" i="4"/>
  <c r="I543" i="4"/>
  <c r="AH543" i="4" l="1"/>
  <c r="AI543" i="4" s="1"/>
  <c r="T543" i="4"/>
  <c r="U543" i="4" s="1"/>
  <c r="M543" i="4"/>
  <c r="N543" i="4" s="1"/>
  <c r="AA543" i="4"/>
  <c r="AB543" i="4" s="1"/>
  <c r="R543" i="4"/>
  <c r="S543" i="4" s="1"/>
  <c r="V543" i="4" s="1"/>
  <c r="W543" i="4" s="1"/>
  <c r="X543" i="4" s="1"/>
  <c r="AF543" i="4"/>
  <c r="AG543" i="4" s="1"/>
  <c r="AJ543" i="4" s="1"/>
  <c r="AK543" i="4" s="1"/>
  <c r="AL543" i="4" s="1"/>
  <c r="K543" i="4"/>
  <c r="L543" i="4" s="1"/>
  <c r="O543" i="4" s="1"/>
  <c r="P543" i="4" s="1"/>
  <c r="Q543" i="4" s="1"/>
  <c r="AM543" i="4" s="1"/>
  <c r="Y543" i="4"/>
  <c r="Z543" i="4" s="1"/>
  <c r="AC543" i="4" s="1"/>
  <c r="AD543" i="4" s="1"/>
  <c r="AE543" i="4" s="1"/>
  <c r="G544" i="4" l="1"/>
  <c r="H544" i="4"/>
  <c r="C544" i="4"/>
  <c r="F544" i="4"/>
  <c r="I544" i="4"/>
  <c r="E544" i="4"/>
  <c r="B544" i="4"/>
  <c r="D544" i="4"/>
  <c r="J544" i="4"/>
  <c r="T544" i="4" l="1"/>
  <c r="U544" i="4" s="1"/>
  <c r="M544" i="4"/>
  <c r="N544" i="4" s="1"/>
  <c r="AA544" i="4"/>
  <c r="AB544" i="4" s="1"/>
  <c r="AH544" i="4"/>
  <c r="AI544" i="4" s="1"/>
  <c r="AF544" i="4"/>
  <c r="AG544" i="4" s="1"/>
  <c r="AJ544" i="4" s="1"/>
  <c r="AK544" i="4" s="1"/>
  <c r="AL544" i="4" s="1"/>
  <c r="R544" i="4"/>
  <c r="S544" i="4" s="1"/>
  <c r="V544" i="4" s="1"/>
  <c r="W544" i="4" s="1"/>
  <c r="X544" i="4" s="1"/>
  <c r="K544" i="4"/>
  <c r="L544" i="4" s="1"/>
  <c r="O544" i="4" s="1"/>
  <c r="P544" i="4" s="1"/>
  <c r="Q544" i="4" s="1"/>
  <c r="Y544" i="4"/>
  <c r="Z544" i="4" s="1"/>
  <c r="AC544" i="4" s="1"/>
  <c r="AD544" i="4" s="1"/>
  <c r="AE544" i="4" s="1"/>
  <c r="J545" i="4" l="1"/>
  <c r="H545" i="4"/>
  <c r="I545" i="4"/>
  <c r="F545" i="4"/>
  <c r="E545" i="4"/>
  <c r="C545" i="4"/>
  <c r="AM544" i="4"/>
  <c r="G545" i="4"/>
  <c r="B545" i="4"/>
  <c r="D545" i="4"/>
  <c r="T545" i="4" l="1"/>
  <c r="U545" i="4" s="1"/>
  <c r="AA545" i="4"/>
  <c r="AB545" i="4" s="1"/>
  <c r="M545" i="4"/>
  <c r="N545" i="4" s="1"/>
  <c r="AH545" i="4"/>
  <c r="AI545" i="4" s="1"/>
  <c r="K545" i="4"/>
  <c r="L545" i="4" s="1"/>
  <c r="O545" i="4" s="1"/>
  <c r="P545" i="4" s="1"/>
  <c r="Q545" i="4" s="1"/>
  <c r="Y545" i="4"/>
  <c r="Z545" i="4" s="1"/>
  <c r="AC545" i="4" s="1"/>
  <c r="AD545" i="4" s="1"/>
  <c r="AE545" i="4" s="1"/>
  <c r="R545" i="4"/>
  <c r="S545" i="4" s="1"/>
  <c r="V545" i="4" s="1"/>
  <c r="W545" i="4" s="1"/>
  <c r="X545" i="4" s="1"/>
  <c r="AF545" i="4"/>
  <c r="AG545" i="4" s="1"/>
  <c r="AJ545" i="4" s="1"/>
  <c r="AK545" i="4" s="1"/>
  <c r="AL545" i="4" s="1"/>
  <c r="D546" i="4" l="1"/>
  <c r="G546" i="4"/>
  <c r="E546" i="4"/>
  <c r="AM545" i="4"/>
  <c r="B546" i="4"/>
  <c r="I546" i="4"/>
  <c r="F546" i="4"/>
  <c r="J546" i="4"/>
  <c r="H546" i="4"/>
  <c r="C546" i="4"/>
  <c r="AF546" i="4" l="1"/>
  <c r="AG546" i="4" s="1"/>
  <c r="K546" i="4"/>
  <c r="L546" i="4" s="1"/>
  <c r="O546" i="4" s="1"/>
  <c r="P546" i="4" s="1"/>
  <c r="Q546" i="4" s="1"/>
  <c r="Y546" i="4"/>
  <c r="Z546" i="4" s="1"/>
  <c r="R546" i="4"/>
  <c r="S546" i="4" s="1"/>
  <c r="V546" i="4" s="1"/>
  <c r="W546" i="4" s="1"/>
  <c r="X546" i="4" s="1"/>
  <c r="T546" i="4"/>
  <c r="U546" i="4" s="1"/>
  <c r="AH546" i="4"/>
  <c r="AI546" i="4" s="1"/>
  <c r="AA546" i="4"/>
  <c r="AB546" i="4" s="1"/>
  <c r="M546" i="4"/>
  <c r="N546" i="4" s="1"/>
  <c r="AC546" i="4" l="1"/>
  <c r="AD546" i="4" s="1"/>
  <c r="AE546" i="4" s="1"/>
  <c r="AM546" i="4" s="1"/>
  <c r="H547" i="4"/>
  <c r="J547" i="4"/>
  <c r="E547" i="4"/>
  <c r="G547" i="4"/>
  <c r="AJ546" i="4"/>
  <c r="AK546" i="4" s="1"/>
  <c r="AL546" i="4" s="1"/>
  <c r="B547" i="4"/>
  <c r="M547" i="4" l="1"/>
  <c r="N547" i="4" s="1"/>
  <c r="C547" i="4"/>
  <c r="AF547" i="4" s="1"/>
  <c r="AG547" i="4" s="1"/>
  <c r="I547" i="4"/>
  <c r="D547" i="4"/>
  <c r="F547" i="4"/>
  <c r="AA547" i="4" s="1"/>
  <c r="AB547" i="4" s="1"/>
  <c r="K547" i="4" l="1"/>
  <c r="L547" i="4" s="1"/>
  <c r="O547" i="4" s="1"/>
  <c r="P547" i="4" s="1"/>
  <c r="T547" i="4"/>
  <c r="U547" i="4" s="1"/>
  <c r="Y547" i="4"/>
  <c r="Z547" i="4" s="1"/>
  <c r="AC547" i="4" s="1"/>
  <c r="AD547" i="4" s="1"/>
  <c r="AE547" i="4" s="1"/>
  <c r="R547" i="4"/>
  <c r="S547" i="4" s="1"/>
  <c r="AH547" i="4"/>
  <c r="AI547" i="4" s="1"/>
  <c r="AJ547" i="4" s="1"/>
  <c r="AK547" i="4" s="1"/>
  <c r="AL547" i="4" s="1"/>
  <c r="Q547" i="4" l="1"/>
  <c r="H548" i="4"/>
  <c r="D548" i="4"/>
  <c r="I548" i="4"/>
  <c r="V547" i="4"/>
  <c r="W547" i="4" s="1"/>
  <c r="G548" i="4" s="1"/>
  <c r="J548" i="4" l="1"/>
  <c r="B548" i="4"/>
  <c r="E548" i="4"/>
  <c r="X547" i="4"/>
  <c r="AM547" i="4" s="1"/>
  <c r="C548" i="4"/>
  <c r="F548" i="4"/>
  <c r="T548" i="4" l="1"/>
  <c r="U548" i="4" s="1"/>
  <c r="AH548" i="4"/>
  <c r="AI548" i="4" s="1"/>
  <c r="M548" i="4"/>
  <c r="N548" i="4" s="1"/>
  <c r="AA548" i="4"/>
  <c r="AB548" i="4" s="1"/>
  <c r="Y548" i="4"/>
  <c r="Z548" i="4" s="1"/>
  <c r="AC548" i="4" s="1"/>
  <c r="AD548" i="4" s="1"/>
  <c r="AE548" i="4" s="1"/>
  <c r="K548" i="4"/>
  <c r="L548" i="4" s="1"/>
  <c r="AF548" i="4"/>
  <c r="AG548" i="4" s="1"/>
  <c r="R548" i="4"/>
  <c r="S548" i="4" s="1"/>
  <c r="V548" i="4" s="1"/>
  <c r="W548" i="4" s="1"/>
  <c r="X548" i="4" s="1"/>
  <c r="AJ548" i="4" l="1"/>
  <c r="AK548" i="4" s="1"/>
  <c r="AL548" i="4" s="1"/>
  <c r="O548" i="4"/>
  <c r="P548" i="4" s="1"/>
  <c r="Q548" i="4" l="1"/>
  <c r="AM548" i="4" s="1"/>
  <c r="G549" i="4"/>
  <c r="D549" i="4"/>
  <c r="H549" i="4"/>
  <c r="I549" i="4"/>
  <c r="E549" i="4"/>
  <c r="F549" i="4"/>
  <c r="C549" i="4"/>
  <c r="J549" i="4"/>
  <c r="B549" i="4"/>
  <c r="AH549" i="4" l="1"/>
  <c r="AI549" i="4" s="1"/>
  <c r="T549" i="4"/>
  <c r="U549" i="4" s="1"/>
  <c r="M549" i="4"/>
  <c r="N549" i="4" s="1"/>
  <c r="AA549" i="4"/>
  <c r="AB549" i="4" s="1"/>
  <c r="Y549" i="4"/>
  <c r="Z549" i="4" s="1"/>
  <c r="AC549" i="4" s="1"/>
  <c r="AD549" i="4" s="1"/>
  <c r="AE549" i="4" s="1"/>
  <c r="K549" i="4"/>
  <c r="L549" i="4" s="1"/>
  <c r="AF549" i="4"/>
  <c r="AG549" i="4" s="1"/>
  <c r="R549" i="4"/>
  <c r="S549" i="4" s="1"/>
  <c r="V549" i="4" l="1"/>
  <c r="W549" i="4" s="1"/>
  <c r="X549" i="4" s="1"/>
  <c r="AJ549" i="4"/>
  <c r="AK549" i="4" s="1"/>
  <c r="AL549" i="4" s="1"/>
  <c r="O549" i="4"/>
  <c r="P549" i="4" s="1"/>
  <c r="Q549" i="4" l="1"/>
  <c r="AM549" i="4" s="1"/>
  <c r="F550" i="4"/>
  <c r="J550" i="4"/>
  <c r="C550" i="4"/>
  <c r="H550" i="4"/>
  <c r="I550" i="4"/>
  <c r="D550" i="4"/>
  <c r="E550" i="4"/>
  <c r="B550" i="4"/>
  <c r="G550" i="4"/>
  <c r="M550" i="4" l="1"/>
  <c r="N550" i="4" s="1"/>
  <c r="AA550" i="4"/>
  <c r="AB550" i="4" s="1"/>
  <c r="T550" i="4"/>
  <c r="U550" i="4" s="1"/>
  <c r="AH550" i="4"/>
  <c r="AI550" i="4" s="1"/>
  <c r="AF550" i="4"/>
  <c r="AG550" i="4" s="1"/>
  <c r="AJ550" i="4" s="1"/>
  <c r="AK550" i="4" s="1"/>
  <c r="AL550" i="4" s="1"/>
  <c r="K550" i="4"/>
  <c r="L550" i="4" s="1"/>
  <c r="O550" i="4" s="1"/>
  <c r="P550" i="4" s="1"/>
  <c r="Q550" i="4" s="1"/>
  <c r="Y550" i="4"/>
  <c r="Z550" i="4" s="1"/>
  <c r="AC550" i="4" s="1"/>
  <c r="AD550" i="4" s="1"/>
  <c r="AE550" i="4" s="1"/>
  <c r="R550" i="4"/>
  <c r="S550" i="4" s="1"/>
  <c r="V550" i="4" s="1"/>
  <c r="W550" i="4" s="1"/>
  <c r="X550" i="4" s="1"/>
  <c r="AM550" i="4" l="1"/>
  <c r="C551" i="4"/>
  <c r="D551" i="4"/>
  <c r="B551" i="4"/>
  <c r="F551" i="4"/>
  <c r="J551" i="4"/>
  <c r="H551" i="4"/>
  <c r="E551" i="4"/>
  <c r="G551" i="4"/>
  <c r="I551" i="4"/>
  <c r="AH551" i="4" l="1"/>
  <c r="AI551" i="4" s="1"/>
  <c r="M551" i="4"/>
  <c r="N551" i="4" s="1"/>
  <c r="AA551" i="4"/>
  <c r="AB551" i="4" s="1"/>
  <c r="T551" i="4"/>
  <c r="U551" i="4" s="1"/>
  <c r="R551" i="4"/>
  <c r="S551" i="4" s="1"/>
  <c r="AF551" i="4"/>
  <c r="AG551" i="4" s="1"/>
  <c r="AJ551" i="4" s="1"/>
  <c r="AK551" i="4" s="1"/>
  <c r="AL551" i="4" s="1"/>
  <c r="Y551" i="4"/>
  <c r="Z551" i="4" s="1"/>
  <c r="AC551" i="4" s="1"/>
  <c r="AD551" i="4" s="1"/>
  <c r="AE551" i="4" s="1"/>
  <c r="K551" i="4"/>
  <c r="L551" i="4" s="1"/>
  <c r="O551" i="4" s="1"/>
  <c r="P551" i="4" s="1"/>
  <c r="Q551" i="4" s="1"/>
  <c r="V551" i="4" l="1"/>
  <c r="W551" i="4" s="1"/>
  <c r="F552" i="4"/>
  <c r="C552" i="4"/>
  <c r="G552" i="4"/>
  <c r="X551" i="4" l="1"/>
  <c r="AM551" i="4" s="1"/>
  <c r="I552" i="4"/>
  <c r="B552" i="4"/>
  <c r="E552" i="4"/>
  <c r="J552" i="4"/>
  <c r="H552" i="4"/>
  <c r="D552" i="4"/>
  <c r="T552" i="4" l="1"/>
  <c r="U552" i="4" s="1"/>
  <c r="AH552" i="4"/>
  <c r="AI552" i="4" s="1"/>
  <c r="AA552" i="4"/>
  <c r="AB552" i="4" s="1"/>
  <c r="M552" i="4"/>
  <c r="N552" i="4" s="1"/>
  <c r="K552" i="4"/>
  <c r="L552" i="4" s="1"/>
  <c r="Y552" i="4"/>
  <c r="Z552" i="4" s="1"/>
  <c r="AC552" i="4" s="1"/>
  <c r="AD552" i="4" s="1"/>
  <c r="AE552" i="4" s="1"/>
  <c r="R552" i="4"/>
  <c r="S552" i="4" s="1"/>
  <c r="V552" i="4" s="1"/>
  <c r="W552" i="4" s="1"/>
  <c r="X552" i="4" s="1"/>
  <c r="AF552" i="4"/>
  <c r="AG552" i="4" s="1"/>
  <c r="O552" i="4" l="1"/>
  <c r="P552" i="4" s="1"/>
  <c r="AJ552" i="4"/>
  <c r="AK552" i="4" s="1"/>
  <c r="AL552" i="4" s="1"/>
  <c r="Q552" i="4" l="1"/>
  <c r="AM552" i="4" s="1"/>
  <c r="AP66" i="4" s="1"/>
  <c r="G553" i="4"/>
  <c r="F553" i="4"/>
  <c r="C553" i="4"/>
  <c r="J553" i="4"/>
  <c r="B553" i="4"/>
  <c r="D553" i="4"/>
  <c r="E553" i="4"/>
  <c r="I553" i="4"/>
  <c r="H553" i="4"/>
  <c r="AA553" i="4" l="1"/>
  <c r="AB553" i="4" s="1"/>
  <c r="M553" i="4"/>
  <c r="N553" i="4" s="1"/>
  <c r="AH553" i="4"/>
  <c r="AI553" i="4" s="1"/>
  <c r="T553" i="4"/>
  <c r="U553" i="4" s="1"/>
  <c r="R553" i="4"/>
  <c r="S553" i="4" s="1"/>
  <c r="Y553" i="4"/>
  <c r="Z553" i="4" s="1"/>
  <c r="AC553" i="4" s="1"/>
  <c r="AD553" i="4" s="1"/>
  <c r="AE553" i="4" s="1"/>
  <c r="K553" i="4"/>
  <c r="L553" i="4" s="1"/>
  <c r="O553" i="4" s="1"/>
  <c r="P553" i="4" s="1"/>
  <c r="Q553" i="4" s="1"/>
  <c r="AF553" i="4"/>
  <c r="AG553" i="4" s="1"/>
  <c r="AJ553" i="4" s="1"/>
  <c r="AK553" i="4" s="1"/>
  <c r="AL553" i="4" s="1"/>
  <c r="F554" i="4" l="1"/>
  <c r="H554" i="4"/>
  <c r="J554" i="4"/>
  <c r="E554" i="4"/>
  <c r="B554" i="4"/>
  <c r="I554" i="4"/>
  <c r="V553" i="4"/>
  <c r="W553" i="4" s="1"/>
  <c r="D554" i="4"/>
  <c r="AF554" i="4" l="1"/>
  <c r="AG554" i="4" s="1"/>
  <c r="R554" i="4"/>
  <c r="S554" i="4" s="1"/>
  <c r="V554" i="4" s="1"/>
  <c r="W554" i="4" s="1"/>
  <c r="X554" i="4" s="1"/>
  <c r="Y554" i="4"/>
  <c r="Z554" i="4" s="1"/>
  <c r="AC554" i="4" s="1"/>
  <c r="AD554" i="4" s="1"/>
  <c r="AE554" i="4" s="1"/>
  <c r="K554" i="4"/>
  <c r="L554" i="4" s="1"/>
  <c r="AA554" i="4"/>
  <c r="AB554" i="4" s="1"/>
  <c r="T554" i="4"/>
  <c r="U554" i="4" s="1"/>
  <c r="X553" i="4"/>
  <c r="AM553" i="4" s="1"/>
  <c r="C554" i="4"/>
  <c r="G554" i="4"/>
  <c r="AH554" i="4" l="1"/>
  <c r="AI554" i="4" s="1"/>
  <c r="AJ554" i="4" s="1"/>
  <c r="AK554" i="4" s="1"/>
  <c r="AL554" i="4" s="1"/>
  <c r="M554" i="4"/>
  <c r="N554" i="4" s="1"/>
  <c r="O554" i="4" s="1"/>
  <c r="P554" i="4" s="1"/>
  <c r="Q554" i="4" l="1"/>
  <c r="AM554" i="4" s="1"/>
  <c r="I555" i="4"/>
  <c r="B555" i="4"/>
  <c r="H555" i="4"/>
  <c r="E555" i="4"/>
  <c r="J555" i="4"/>
  <c r="F555" i="4"/>
  <c r="D555" i="4"/>
  <c r="C555" i="4"/>
  <c r="G555" i="4"/>
  <c r="AH555" i="4" l="1"/>
  <c r="AI555" i="4" s="1"/>
  <c r="M555" i="4"/>
  <c r="N555" i="4" s="1"/>
  <c r="AA555" i="4"/>
  <c r="AB555" i="4" s="1"/>
  <c r="T555" i="4"/>
  <c r="U555" i="4" s="1"/>
  <c r="R555" i="4"/>
  <c r="S555" i="4" s="1"/>
  <c r="Y555" i="4"/>
  <c r="Z555" i="4" s="1"/>
  <c r="K555" i="4"/>
  <c r="L555" i="4" s="1"/>
  <c r="O555" i="4" s="1"/>
  <c r="P555" i="4" s="1"/>
  <c r="Q555" i="4" s="1"/>
  <c r="AF555" i="4"/>
  <c r="AG555" i="4" s="1"/>
  <c r="AJ555" i="4" s="1"/>
  <c r="AK555" i="4" s="1"/>
  <c r="AL555" i="4" s="1"/>
  <c r="AC555" i="4" l="1"/>
  <c r="AD555" i="4" s="1"/>
  <c r="AE555" i="4" s="1"/>
  <c r="V555" i="4"/>
  <c r="W555" i="4" s="1"/>
  <c r="E556" i="4"/>
  <c r="J556" i="4"/>
  <c r="I556" i="4"/>
  <c r="F556" i="4"/>
  <c r="X555" i="4" l="1"/>
  <c r="AM555" i="4" s="1"/>
  <c r="H556" i="4"/>
  <c r="D556" i="4"/>
  <c r="G556" i="4"/>
  <c r="AA556" i="4" s="1"/>
  <c r="AB556" i="4" s="1"/>
  <c r="B556" i="4"/>
  <c r="C556" i="4"/>
  <c r="AF556" i="4" l="1"/>
  <c r="AG556" i="4" s="1"/>
  <c r="R556" i="4"/>
  <c r="S556" i="4" s="1"/>
  <c r="V556" i="4" s="1"/>
  <c r="W556" i="4" s="1"/>
  <c r="X556" i="4" s="1"/>
  <c r="K556" i="4"/>
  <c r="L556" i="4" s="1"/>
  <c r="Y556" i="4"/>
  <c r="Z556" i="4" s="1"/>
  <c r="AC556" i="4" s="1"/>
  <c r="AD556" i="4" s="1"/>
  <c r="AE556" i="4" s="1"/>
  <c r="AH556" i="4"/>
  <c r="AI556" i="4" s="1"/>
  <c r="M556" i="4"/>
  <c r="N556" i="4" s="1"/>
  <c r="T556" i="4"/>
  <c r="U556" i="4" s="1"/>
  <c r="O556" i="4" l="1"/>
  <c r="P556" i="4" s="1"/>
  <c r="AJ556" i="4"/>
  <c r="AK556" i="4" s="1"/>
  <c r="AL556" i="4" s="1"/>
  <c r="Q556" i="4" l="1"/>
  <c r="AM556" i="4" s="1"/>
  <c r="I557" i="4"/>
  <c r="J557" i="4"/>
  <c r="E557" i="4"/>
  <c r="F557" i="4"/>
  <c r="H557" i="4"/>
  <c r="B557" i="4"/>
  <c r="C557" i="4"/>
  <c r="D557" i="4"/>
  <c r="G557" i="4"/>
  <c r="AF557" i="4" l="1"/>
  <c r="AG557" i="4" s="1"/>
  <c r="R557" i="4"/>
  <c r="S557" i="4" s="1"/>
  <c r="Y557" i="4"/>
  <c r="Z557" i="4" s="1"/>
  <c r="AC557" i="4" s="1"/>
  <c r="AD557" i="4" s="1"/>
  <c r="AE557" i="4" s="1"/>
  <c r="K557" i="4"/>
  <c r="L557" i="4" s="1"/>
  <c r="O557" i="4" s="1"/>
  <c r="P557" i="4" s="1"/>
  <c r="Q557" i="4" s="1"/>
  <c r="M557" i="4"/>
  <c r="N557" i="4" s="1"/>
  <c r="AA557" i="4"/>
  <c r="AB557" i="4" s="1"/>
  <c r="T557" i="4"/>
  <c r="U557" i="4" s="1"/>
  <c r="AH557" i="4"/>
  <c r="AI557" i="4" s="1"/>
  <c r="V557" i="4" l="1"/>
  <c r="W557" i="4" s="1"/>
  <c r="AJ557" i="4"/>
  <c r="AK557" i="4" s="1"/>
  <c r="AL557" i="4" s="1"/>
  <c r="D558" i="4"/>
  <c r="I558" i="4"/>
  <c r="C558" i="4"/>
  <c r="H558" i="4" l="1"/>
  <c r="B558" i="4"/>
  <c r="X557" i="4"/>
  <c r="AM557" i="4" s="1"/>
  <c r="E558" i="4"/>
  <c r="G558" i="4"/>
  <c r="J558" i="4"/>
  <c r="F558" i="4"/>
  <c r="T558" i="4" l="1"/>
  <c r="U558" i="4" s="1"/>
  <c r="AA558" i="4"/>
  <c r="AB558" i="4" s="1"/>
  <c r="M558" i="4"/>
  <c r="N558" i="4" s="1"/>
  <c r="AH558" i="4"/>
  <c r="AI558" i="4" s="1"/>
  <c r="AF558" i="4"/>
  <c r="AG558" i="4" s="1"/>
  <c r="K558" i="4"/>
  <c r="L558" i="4" s="1"/>
  <c r="Y558" i="4"/>
  <c r="Z558" i="4" s="1"/>
  <c r="AC558" i="4" s="1"/>
  <c r="AD558" i="4" s="1"/>
  <c r="AE558" i="4" s="1"/>
  <c r="R558" i="4"/>
  <c r="S558" i="4" s="1"/>
  <c r="V558" i="4" s="1"/>
  <c r="W558" i="4" s="1"/>
  <c r="X558" i="4" s="1"/>
  <c r="O558" i="4" l="1"/>
  <c r="P558" i="4" s="1"/>
  <c r="AJ558" i="4"/>
  <c r="AK558" i="4" s="1"/>
  <c r="AL558" i="4" s="1"/>
  <c r="Q558" i="4" l="1"/>
  <c r="AM558" i="4" s="1"/>
  <c r="I559" i="4"/>
  <c r="C559" i="4"/>
  <c r="D559" i="4"/>
  <c r="B559" i="4"/>
  <c r="E559" i="4"/>
  <c r="H559" i="4"/>
  <c r="J559" i="4"/>
  <c r="G559" i="4"/>
  <c r="F559" i="4"/>
  <c r="R559" i="4" l="1"/>
  <c r="S559" i="4" s="1"/>
  <c r="Y559" i="4"/>
  <c r="Z559" i="4" s="1"/>
  <c r="K559" i="4"/>
  <c r="L559" i="4" s="1"/>
  <c r="AF559" i="4"/>
  <c r="AG559" i="4" s="1"/>
  <c r="AJ559" i="4" s="1"/>
  <c r="AK559" i="4" s="1"/>
  <c r="AL559" i="4" s="1"/>
  <c r="AH559" i="4"/>
  <c r="AI559" i="4" s="1"/>
  <c r="T559" i="4"/>
  <c r="U559" i="4" s="1"/>
  <c r="M559" i="4"/>
  <c r="N559" i="4" s="1"/>
  <c r="AA559" i="4"/>
  <c r="AB559" i="4" s="1"/>
  <c r="O559" i="4" l="1"/>
  <c r="P559" i="4" s="1"/>
  <c r="AC559" i="4"/>
  <c r="AD559" i="4" s="1"/>
  <c r="AE559" i="4" s="1"/>
  <c r="V559" i="4"/>
  <c r="W559" i="4" s="1"/>
  <c r="X559" i="4" s="1"/>
  <c r="Q559" i="4" l="1"/>
  <c r="AM559" i="4" s="1"/>
  <c r="F560" i="4"/>
  <c r="G560" i="4"/>
  <c r="J560" i="4"/>
  <c r="E560" i="4"/>
  <c r="I560" i="4"/>
  <c r="B560" i="4"/>
  <c r="H560" i="4"/>
  <c r="D560" i="4"/>
  <c r="C560" i="4"/>
  <c r="T560" i="4" l="1"/>
  <c r="U560" i="4" s="1"/>
  <c r="AA560" i="4"/>
  <c r="AB560" i="4" s="1"/>
  <c r="AH560" i="4"/>
  <c r="AI560" i="4" s="1"/>
  <c r="M560" i="4"/>
  <c r="N560" i="4" s="1"/>
  <c r="K560" i="4"/>
  <c r="L560" i="4" s="1"/>
  <c r="R560" i="4"/>
  <c r="S560" i="4" s="1"/>
  <c r="V560" i="4" s="1"/>
  <c r="W560" i="4" s="1"/>
  <c r="X560" i="4" s="1"/>
  <c r="AF560" i="4"/>
  <c r="AG560" i="4" s="1"/>
  <c r="Y560" i="4"/>
  <c r="Z560" i="4" s="1"/>
  <c r="O560" i="4" l="1"/>
  <c r="P560" i="4" s="1"/>
  <c r="AC560" i="4"/>
  <c r="AD560" i="4" s="1"/>
  <c r="AE560" i="4" s="1"/>
  <c r="AJ560" i="4"/>
  <c r="AK560" i="4" s="1"/>
  <c r="AL560" i="4" s="1"/>
  <c r="Q560" i="4" l="1"/>
  <c r="AM560" i="4" s="1"/>
  <c r="D561" i="4"/>
  <c r="E561" i="4"/>
  <c r="C561" i="4"/>
  <c r="F561" i="4"/>
  <c r="J561" i="4"/>
  <c r="H561" i="4"/>
  <c r="I561" i="4"/>
  <c r="B561" i="4"/>
  <c r="G561" i="4"/>
  <c r="M561" i="4" l="1"/>
  <c r="N561" i="4" s="1"/>
  <c r="AA561" i="4"/>
  <c r="AB561" i="4" s="1"/>
  <c r="AH561" i="4"/>
  <c r="AI561" i="4" s="1"/>
  <c r="T561" i="4"/>
  <c r="U561" i="4" s="1"/>
  <c r="R561" i="4"/>
  <c r="S561" i="4" s="1"/>
  <c r="V561" i="4" s="1"/>
  <c r="W561" i="4" s="1"/>
  <c r="X561" i="4" s="1"/>
  <c r="AF561" i="4"/>
  <c r="AG561" i="4" s="1"/>
  <c r="AJ561" i="4" s="1"/>
  <c r="AK561" i="4" s="1"/>
  <c r="AL561" i="4" s="1"/>
  <c r="K561" i="4"/>
  <c r="L561" i="4" s="1"/>
  <c r="O561" i="4" s="1"/>
  <c r="P561" i="4" s="1"/>
  <c r="Q561" i="4" s="1"/>
  <c r="Y561" i="4"/>
  <c r="Z561" i="4" s="1"/>
  <c r="B562" i="4" l="1"/>
  <c r="G562" i="4"/>
  <c r="J562" i="4"/>
  <c r="C562" i="4"/>
  <c r="H562" i="4"/>
  <c r="D562" i="4"/>
  <c r="AC561" i="4"/>
  <c r="AD561" i="4" s="1"/>
  <c r="AE561" i="4" s="1"/>
  <c r="AM561" i="4" s="1"/>
  <c r="F562" i="4"/>
  <c r="E562" i="4" l="1"/>
  <c r="AF562" i="4"/>
  <c r="AG562" i="4" s="1"/>
  <c r="K562" i="4"/>
  <c r="L562" i="4" s="1"/>
  <c r="R562" i="4"/>
  <c r="S562" i="4" s="1"/>
  <c r="Y562" i="4"/>
  <c r="Z562" i="4" s="1"/>
  <c r="I562" i="4"/>
  <c r="AH562" i="4" l="1"/>
  <c r="AI562" i="4" s="1"/>
  <c r="AA562" i="4"/>
  <c r="AB562" i="4" s="1"/>
  <c r="T562" i="4"/>
  <c r="U562" i="4" s="1"/>
  <c r="M562" i="4"/>
  <c r="N562" i="4" s="1"/>
  <c r="O562" i="4" s="1"/>
  <c r="P562" i="4" s="1"/>
  <c r="AC562" i="4"/>
  <c r="AD562" i="4" s="1"/>
  <c r="AE562" i="4" s="1"/>
  <c r="V562" i="4"/>
  <c r="W562" i="4" s="1"/>
  <c r="X562" i="4" s="1"/>
  <c r="AJ562" i="4"/>
  <c r="AK562" i="4" s="1"/>
  <c r="AL562" i="4" s="1"/>
  <c r="Q562" i="4" l="1"/>
  <c r="AM562" i="4" s="1"/>
  <c r="AP67" i="4" s="1"/>
  <c r="D563" i="4"/>
  <c r="H563" i="4"/>
  <c r="C563" i="4"/>
  <c r="J563" i="4"/>
  <c r="G563" i="4"/>
  <c r="B563" i="4"/>
  <c r="F563" i="4"/>
  <c r="E563" i="4"/>
  <c r="I563" i="4"/>
  <c r="R563" i="4" l="1"/>
  <c r="S563" i="4" s="1"/>
  <c r="Y563" i="4"/>
  <c r="Z563" i="4" s="1"/>
  <c r="AF563" i="4"/>
  <c r="AG563" i="4" s="1"/>
  <c r="K563" i="4"/>
  <c r="L563" i="4" s="1"/>
  <c r="O563" i="4" s="1"/>
  <c r="P563" i="4" s="1"/>
  <c r="Q563" i="4" s="1"/>
  <c r="AH563" i="4"/>
  <c r="AI563" i="4" s="1"/>
  <c r="AA563" i="4"/>
  <c r="AB563" i="4" s="1"/>
  <c r="T563" i="4"/>
  <c r="U563" i="4" s="1"/>
  <c r="M563" i="4"/>
  <c r="N563" i="4" s="1"/>
  <c r="AJ563" i="4" l="1"/>
  <c r="AK563" i="4" s="1"/>
  <c r="AL563" i="4" s="1"/>
  <c r="AC563" i="4"/>
  <c r="AD563" i="4" s="1"/>
  <c r="AE563" i="4" s="1"/>
  <c r="V563" i="4"/>
  <c r="W563" i="4" s="1"/>
  <c r="B564" i="4" s="1"/>
  <c r="H564" i="4" l="1"/>
  <c r="D564" i="4"/>
  <c r="F564" i="4"/>
  <c r="X563" i="4"/>
  <c r="AM563" i="4" s="1"/>
  <c r="G564" i="4"/>
  <c r="C564" i="4"/>
  <c r="AF564" i="4" s="1"/>
  <c r="AG564" i="4" s="1"/>
  <c r="E564" i="4"/>
  <c r="J564" i="4"/>
  <c r="I564" i="4"/>
  <c r="T564" i="4" l="1"/>
  <c r="U564" i="4" s="1"/>
  <c r="AA564" i="4"/>
  <c r="AB564" i="4" s="1"/>
  <c r="AH564" i="4"/>
  <c r="AI564" i="4" s="1"/>
  <c r="AJ564" i="4" s="1"/>
  <c r="AK564" i="4" s="1"/>
  <c r="AL564" i="4" s="1"/>
  <c r="M564" i="4"/>
  <c r="N564" i="4" s="1"/>
  <c r="R564" i="4"/>
  <c r="S564" i="4" s="1"/>
  <c r="V564" i="4" s="1"/>
  <c r="W564" i="4" s="1"/>
  <c r="X564" i="4" s="1"/>
  <c r="Y564" i="4"/>
  <c r="Z564" i="4" s="1"/>
  <c r="K564" i="4"/>
  <c r="L564" i="4" s="1"/>
  <c r="O564" i="4" s="1"/>
  <c r="P564" i="4" s="1"/>
  <c r="Q564" i="4" l="1"/>
  <c r="AC564" i="4"/>
  <c r="AD564" i="4" s="1"/>
  <c r="AE564" i="4" s="1"/>
  <c r="E565" i="4" l="1"/>
  <c r="C565" i="4"/>
  <c r="G565" i="4"/>
  <c r="D565" i="4"/>
  <c r="I565" i="4"/>
  <c r="B565" i="4"/>
  <c r="F565" i="4"/>
  <c r="H565" i="4"/>
  <c r="J565" i="4"/>
  <c r="AM564" i="4"/>
  <c r="Y565" i="4" l="1"/>
  <c r="Z565" i="4" s="1"/>
  <c r="AF565" i="4"/>
  <c r="AG565" i="4" s="1"/>
  <c r="R565" i="4"/>
  <c r="S565" i="4" s="1"/>
  <c r="K565" i="4"/>
  <c r="L565" i="4" s="1"/>
  <c r="O565" i="4" s="1"/>
  <c r="P565" i="4" s="1"/>
  <c r="Q565" i="4" s="1"/>
  <c r="M565" i="4"/>
  <c r="N565" i="4" s="1"/>
  <c r="AH565" i="4"/>
  <c r="AI565" i="4" s="1"/>
  <c r="T565" i="4"/>
  <c r="U565" i="4" s="1"/>
  <c r="AA565" i="4"/>
  <c r="AB565" i="4" s="1"/>
  <c r="V565" i="4" l="1"/>
  <c r="W565" i="4" s="1"/>
  <c r="AJ565" i="4"/>
  <c r="AK565" i="4" s="1"/>
  <c r="AL565" i="4" s="1"/>
  <c r="AC565" i="4"/>
  <c r="AD565" i="4" s="1"/>
  <c r="AE565" i="4" s="1"/>
  <c r="F566" i="4" l="1"/>
  <c r="I566" i="4"/>
  <c r="G566" i="4"/>
  <c r="B566" i="4"/>
  <c r="J566" i="4"/>
  <c r="C566" i="4"/>
  <c r="X565" i="4"/>
  <c r="AM565" i="4" s="1"/>
  <c r="H566" i="4"/>
  <c r="D566" i="4"/>
  <c r="E566" i="4"/>
  <c r="AF566" i="4" l="1"/>
  <c r="AG566" i="4" s="1"/>
  <c r="AJ566" i="4" s="1"/>
  <c r="AK566" i="4" s="1"/>
  <c r="AL566" i="4" s="1"/>
  <c r="R566" i="4"/>
  <c r="S566" i="4" s="1"/>
  <c r="V566" i="4" s="1"/>
  <c r="W566" i="4" s="1"/>
  <c r="X566" i="4" s="1"/>
  <c r="K566" i="4"/>
  <c r="L566" i="4" s="1"/>
  <c r="O566" i="4" s="1"/>
  <c r="P566" i="4" s="1"/>
  <c r="Q566" i="4" s="1"/>
  <c r="Y566" i="4"/>
  <c r="Z566" i="4" s="1"/>
  <c r="AC566" i="4" s="1"/>
  <c r="AD566" i="4" s="1"/>
  <c r="AE566" i="4" s="1"/>
  <c r="T566" i="4"/>
  <c r="U566" i="4" s="1"/>
  <c r="M566" i="4"/>
  <c r="N566" i="4" s="1"/>
  <c r="AH566" i="4"/>
  <c r="AI566" i="4" s="1"/>
  <c r="AA566" i="4"/>
  <c r="AB566" i="4" s="1"/>
  <c r="D567" i="4" l="1"/>
  <c r="G567" i="4"/>
  <c r="B567" i="4"/>
  <c r="C567" i="4"/>
  <c r="E567" i="4"/>
  <c r="H567" i="4"/>
  <c r="AM566" i="4"/>
  <c r="I567" i="4"/>
  <c r="F567" i="4"/>
  <c r="J567" i="4"/>
  <c r="AH567" i="4" l="1"/>
  <c r="AI567" i="4" s="1"/>
  <c r="M567" i="4"/>
  <c r="N567" i="4" s="1"/>
  <c r="T567" i="4"/>
  <c r="U567" i="4" s="1"/>
  <c r="AA567" i="4"/>
  <c r="AB567" i="4" s="1"/>
  <c r="R567" i="4"/>
  <c r="S567" i="4" s="1"/>
  <c r="Y567" i="4"/>
  <c r="Z567" i="4" s="1"/>
  <c r="AF567" i="4"/>
  <c r="AG567" i="4" s="1"/>
  <c r="AJ567" i="4" s="1"/>
  <c r="AK567" i="4" s="1"/>
  <c r="AL567" i="4" s="1"/>
  <c r="K567" i="4"/>
  <c r="L567" i="4" s="1"/>
  <c r="O567" i="4" s="1"/>
  <c r="P567" i="4" s="1"/>
  <c r="Q567" i="4" s="1"/>
  <c r="AC567" i="4" l="1"/>
  <c r="AD567" i="4" s="1"/>
  <c r="AE567" i="4" s="1"/>
  <c r="V567" i="4"/>
  <c r="W567" i="4" s="1"/>
  <c r="X567" i="4" l="1"/>
  <c r="AM567" i="4" s="1"/>
  <c r="F568" i="4"/>
  <c r="C568" i="4"/>
  <c r="E568" i="4"/>
  <c r="B568" i="4"/>
  <c r="I568" i="4"/>
  <c r="J568" i="4"/>
  <c r="H568" i="4"/>
  <c r="D568" i="4"/>
  <c r="G568" i="4"/>
  <c r="K568" i="4" l="1"/>
  <c r="L568" i="4" s="1"/>
  <c r="R568" i="4"/>
  <c r="S568" i="4" s="1"/>
  <c r="V568" i="4" s="1"/>
  <c r="W568" i="4" s="1"/>
  <c r="X568" i="4" s="1"/>
  <c r="AF568" i="4"/>
  <c r="AG568" i="4" s="1"/>
  <c r="AJ568" i="4" s="1"/>
  <c r="AK568" i="4" s="1"/>
  <c r="AL568" i="4" s="1"/>
  <c r="Y568" i="4"/>
  <c r="Z568" i="4" s="1"/>
  <c r="T568" i="4"/>
  <c r="U568" i="4" s="1"/>
  <c r="AA568" i="4"/>
  <c r="AB568" i="4" s="1"/>
  <c r="AH568" i="4"/>
  <c r="AI568" i="4" s="1"/>
  <c r="M568" i="4"/>
  <c r="N568" i="4" s="1"/>
  <c r="O568" i="4" l="1"/>
  <c r="P568" i="4" s="1"/>
  <c r="AC568" i="4"/>
  <c r="AD568" i="4" s="1"/>
  <c r="AE568" i="4" s="1"/>
  <c r="Q568" i="4" l="1"/>
  <c r="AM568" i="4" s="1"/>
  <c r="J569" i="4"/>
  <c r="D569" i="4"/>
  <c r="I569" i="4"/>
  <c r="H569" i="4"/>
  <c r="E569" i="4"/>
  <c r="C569" i="4"/>
  <c r="G569" i="4"/>
  <c r="B569" i="4"/>
  <c r="F569" i="4"/>
  <c r="M569" i="4" l="1"/>
  <c r="N569" i="4" s="1"/>
  <c r="AH569" i="4"/>
  <c r="AI569" i="4" s="1"/>
  <c r="T569" i="4"/>
  <c r="U569" i="4" s="1"/>
  <c r="AA569" i="4"/>
  <c r="AB569" i="4" s="1"/>
  <c r="K569" i="4"/>
  <c r="L569" i="4" s="1"/>
  <c r="O569" i="4" s="1"/>
  <c r="P569" i="4" s="1"/>
  <c r="Q569" i="4" s="1"/>
  <c r="AF569" i="4"/>
  <c r="AG569" i="4" s="1"/>
  <c r="AJ569" i="4" s="1"/>
  <c r="AK569" i="4" s="1"/>
  <c r="AL569" i="4" s="1"/>
  <c r="R569" i="4"/>
  <c r="S569" i="4" s="1"/>
  <c r="V569" i="4" s="1"/>
  <c r="W569" i="4" s="1"/>
  <c r="X569" i="4" s="1"/>
  <c r="Y569" i="4"/>
  <c r="Z569" i="4" s="1"/>
  <c r="J570" i="4" l="1"/>
  <c r="E570" i="4"/>
  <c r="D570" i="4"/>
  <c r="H570" i="4"/>
  <c r="AM569" i="4"/>
  <c r="AC569" i="4"/>
  <c r="AD569" i="4" s="1"/>
  <c r="AE569" i="4" s="1"/>
  <c r="C570" i="4"/>
  <c r="G570" i="4" l="1"/>
  <c r="F570" i="4"/>
  <c r="M570" i="4" s="1"/>
  <c r="N570" i="4" s="1"/>
  <c r="B570" i="4"/>
  <c r="AA570" i="4"/>
  <c r="AB570" i="4" s="1"/>
  <c r="AH570" i="4"/>
  <c r="AI570" i="4" s="1"/>
  <c r="I570" i="4"/>
  <c r="AF570" i="4" l="1"/>
  <c r="AG570" i="4" s="1"/>
  <c r="AJ570" i="4" s="1"/>
  <c r="AK570" i="4" s="1"/>
  <c r="AL570" i="4" s="1"/>
  <c r="R570" i="4"/>
  <c r="S570" i="4" s="1"/>
  <c r="V570" i="4" s="1"/>
  <c r="W570" i="4" s="1"/>
  <c r="X570" i="4" s="1"/>
  <c r="K570" i="4"/>
  <c r="L570" i="4" s="1"/>
  <c r="O570" i="4" s="1"/>
  <c r="P570" i="4" s="1"/>
  <c r="Y570" i="4"/>
  <c r="Z570" i="4" s="1"/>
  <c r="AC570" i="4" s="1"/>
  <c r="AD570" i="4" s="1"/>
  <c r="AE570" i="4" s="1"/>
  <c r="G571" i="4"/>
  <c r="F571" i="4"/>
  <c r="T570" i="4"/>
  <c r="U570" i="4" s="1"/>
  <c r="I571" i="4" l="1"/>
  <c r="Q570" i="4"/>
  <c r="AM570" i="4" s="1"/>
  <c r="H571" i="4"/>
  <c r="J571" i="4"/>
  <c r="D571" i="4"/>
  <c r="C571" i="4"/>
  <c r="E571" i="4"/>
  <c r="B571" i="4"/>
  <c r="R571" i="4" l="1"/>
  <c r="S571" i="4" s="1"/>
  <c r="V571" i="4" s="1"/>
  <c r="W571" i="4" s="1"/>
  <c r="X571" i="4" s="1"/>
  <c r="Y571" i="4"/>
  <c r="Z571" i="4" s="1"/>
  <c r="AF571" i="4"/>
  <c r="AG571" i="4" s="1"/>
  <c r="AJ571" i="4" s="1"/>
  <c r="AK571" i="4" s="1"/>
  <c r="AL571" i="4" s="1"/>
  <c r="K571" i="4"/>
  <c r="L571" i="4" s="1"/>
  <c r="O571" i="4" s="1"/>
  <c r="P571" i="4" s="1"/>
  <c r="AH571" i="4"/>
  <c r="AI571" i="4" s="1"/>
  <c r="T571" i="4"/>
  <c r="U571" i="4" s="1"/>
  <c r="M571" i="4"/>
  <c r="N571" i="4" s="1"/>
  <c r="AA571" i="4"/>
  <c r="AB571" i="4" s="1"/>
  <c r="AC571" i="4" l="1"/>
  <c r="AD571" i="4" s="1"/>
  <c r="AE571" i="4" s="1"/>
  <c r="H572" i="4"/>
  <c r="I572" i="4"/>
  <c r="Q571" i="4"/>
  <c r="AM571" i="4" s="1"/>
  <c r="F572" i="4"/>
  <c r="G572" i="4"/>
  <c r="E572" i="4"/>
  <c r="C572" i="4"/>
  <c r="B572" i="4"/>
  <c r="D572" i="4"/>
  <c r="K572" i="4" l="1"/>
  <c r="L572" i="4" s="1"/>
  <c r="Y572" i="4"/>
  <c r="Z572" i="4" s="1"/>
  <c r="AC572" i="4" s="1"/>
  <c r="AD572" i="4" s="1"/>
  <c r="AE572" i="4" s="1"/>
  <c r="AF572" i="4"/>
  <c r="AG572" i="4" s="1"/>
  <c r="AJ572" i="4" s="1"/>
  <c r="AK572" i="4" s="1"/>
  <c r="AL572" i="4" s="1"/>
  <c r="R572" i="4"/>
  <c r="S572" i="4" s="1"/>
  <c r="V572" i="4" s="1"/>
  <c r="W572" i="4" s="1"/>
  <c r="X572" i="4" s="1"/>
  <c r="T572" i="4"/>
  <c r="U572" i="4" s="1"/>
  <c r="AA572" i="4"/>
  <c r="AB572" i="4" s="1"/>
  <c r="AH572" i="4"/>
  <c r="AI572" i="4" s="1"/>
  <c r="M572" i="4"/>
  <c r="N572" i="4" s="1"/>
  <c r="J572" i="4"/>
  <c r="O572" i="4" l="1"/>
  <c r="P572" i="4" s="1"/>
  <c r="J573" i="4" s="1"/>
  <c r="Q572" i="4" l="1"/>
  <c r="AM572" i="4" s="1"/>
  <c r="AP68" i="4" s="1"/>
  <c r="G573" i="4"/>
  <c r="B573" i="4"/>
  <c r="F573" i="4"/>
  <c r="I573" i="4"/>
  <c r="H573" i="4"/>
  <c r="D573" i="4"/>
  <c r="E573" i="4"/>
  <c r="C573" i="4"/>
  <c r="AF573" i="4" l="1"/>
  <c r="AG573" i="4" s="1"/>
  <c r="R573" i="4"/>
  <c r="S573" i="4" s="1"/>
  <c r="V573" i="4" s="1"/>
  <c r="W573" i="4" s="1"/>
  <c r="X573" i="4" s="1"/>
  <c r="Y573" i="4"/>
  <c r="Z573" i="4" s="1"/>
  <c r="AC573" i="4" s="1"/>
  <c r="AD573" i="4" s="1"/>
  <c r="AE573" i="4" s="1"/>
  <c r="K573" i="4"/>
  <c r="L573" i="4" s="1"/>
  <c r="O573" i="4" s="1"/>
  <c r="P573" i="4" s="1"/>
  <c r="M573" i="4"/>
  <c r="N573" i="4" s="1"/>
  <c r="T573" i="4"/>
  <c r="U573" i="4" s="1"/>
  <c r="AA573" i="4"/>
  <c r="AB573" i="4" s="1"/>
  <c r="AH573" i="4"/>
  <c r="AI573" i="4" s="1"/>
  <c r="Q573" i="4" l="1"/>
  <c r="AJ573" i="4"/>
  <c r="AK573" i="4" s="1"/>
  <c r="AL573" i="4" s="1"/>
  <c r="G574" i="4"/>
  <c r="I574" i="4"/>
  <c r="F574" i="4"/>
  <c r="J574" i="4" l="1"/>
  <c r="B574" i="4"/>
  <c r="D574" i="4"/>
  <c r="C574" i="4"/>
  <c r="AM573" i="4"/>
  <c r="H574" i="4"/>
  <c r="E574" i="4"/>
  <c r="AF574" i="4" l="1"/>
  <c r="AG574" i="4" s="1"/>
  <c r="Y574" i="4"/>
  <c r="Z574" i="4" s="1"/>
  <c r="AC574" i="4" s="1"/>
  <c r="AD574" i="4" s="1"/>
  <c r="AE574" i="4" s="1"/>
  <c r="K574" i="4"/>
  <c r="L574" i="4" s="1"/>
  <c r="R574" i="4"/>
  <c r="S574" i="4" s="1"/>
  <c r="V574" i="4" s="1"/>
  <c r="W574" i="4" s="1"/>
  <c r="X574" i="4" s="1"/>
  <c r="M574" i="4"/>
  <c r="N574" i="4" s="1"/>
  <c r="AH574" i="4"/>
  <c r="AI574" i="4" s="1"/>
  <c r="T574" i="4"/>
  <c r="U574" i="4" s="1"/>
  <c r="AA574" i="4"/>
  <c r="AB574" i="4" s="1"/>
  <c r="O574" i="4" l="1"/>
  <c r="P574" i="4" s="1"/>
  <c r="AJ574" i="4"/>
  <c r="AK574" i="4" s="1"/>
  <c r="AL574" i="4" s="1"/>
  <c r="Q574" i="4" l="1"/>
  <c r="AM574" i="4" s="1"/>
  <c r="F575" i="4"/>
  <c r="I575" i="4"/>
  <c r="G575" i="4"/>
  <c r="D575" i="4"/>
  <c r="E575" i="4"/>
  <c r="B575" i="4"/>
  <c r="J575" i="4"/>
  <c r="H575" i="4"/>
  <c r="C575" i="4"/>
  <c r="R575" i="4" l="1"/>
  <c r="S575" i="4" s="1"/>
  <c r="Y575" i="4"/>
  <c r="Z575" i="4" s="1"/>
  <c r="AC575" i="4" s="1"/>
  <c r="AD575" i="4" s="1"/>
  <c r="AE575" i="4" s="1"/>
  <c r="K575" i="4"/>
  <c r="L575" i="4" s="1"/>
  <c r="AF575" i="4"/>
  <c r="AG575" i="4" s="1"/>
  <c r="AH575" i="4"/>
  <c r="AI575" i="4" s="1"/>
  <c r="T575" i="4"/>
  <c r="U575" i="4" s="1"/>
  <c r="AA575" i="4"/>
  <c r="AB575" i="4" s="1"/>
  <c r="M575" i="4"/>
  <c r="N575" i="4" s="1"/>
  <c r="AJ575" i="4" l="1"/>
  <c r="AK575" i="4" s="1"/>
  <c r="AL575" i="4" s="1"/>
  <c r="O575" i="4"/>
  <c r="P575" i="4" s="1"/>
  <c r="V575" i="4"/>
  <c r="W575" i="4" s="1"/>
  <c r="X575" i="4" s="1"/>
  <c r="Q575" i="4" l="1"/>
  <c r="AM575" i="4" s="1"/>
  <c r="J576" i="4"/>
  <c r="H576" i="4"/>
  <c r="E576" i="4"/>
  <c r="B576" i="4"/>
  <c r="D576" i="4"/>
  <c r="I576" i="4"/>
  <c r="F576" i="4"/>
  <c r="G576" i="4"/>
  <c r="C576" i="4"/>
  <c r="K576" i="4" l="1"/>
  <c r="L576" i="4" s="1"/>
  <c r="AF576" i="4"/>
  <c r="AG576" i="4" s="1"/>
  <c r="R576" i="4"/>
  <c r="S576" i="4" s="1"/>
  <c r="V576" i="4" s="1"/>
  <c r="W576" i="4" s="1"/>
  <c r="X576" i="4" s="1"/>
  <c r="Y576" i="4"/>
  <c r="Z576" i="4" s="1"/>
  <c r="AC576" i="4" s="1"/>
  <c r="AD576" i="4" s="1"/>
  <c r="AE576" i="4" s="1"/>
  <c r="T576" i="4"/>
  <c r="U576" i="4" s="1"/>
  <c r="AA576" i="4"/>
  <c r="AB576" i="4" s="1"/>
  <c r="AH576" i="4"/>
  <c r="AI576" i="4" s="1"/>
  <c r="M576" i="4"/>
  <c r="N576" i="4" s="1"/>
  <c r="AJ576" i="4" l="1"/>
  <c r="AK576" i="4" s="1"/>
  <c r="AL576" i="4" s="1"/>
  <c r="O576" i="4"/>
  <c r="P576" i="4" s="1"/>
  <c r="Q576" i="4" l="1"/>
  <c r="AM576" i="4" s="1"/>
  <c r="F577" i="4"/>
  <c r="C577" i="4"/>
  <c r="G577" i="4"/>
  <c r="D577" i="4"/>
  <c r="J577" i="4"/>
  <c r="E577" i="4"/>
  <c r="B577" i="4"/>
  <c r="I577" i="4"/>
  <c r="H577" i="4"/>
  <c r="M577" i="4" l="1"/>
  <c r="N577" i="4" s="1"/>
  <c r="AA577" i="4"/>
  <c r="AB577" i="4" s="1"/>
  <c r="AH577" i="4"/>
  <c r="AI577" i="4" s="1"/>
  <c r="T577" i="4"/>
  <c r="U577" i="4" s="1"/>
  <c r="R577" i="4"/>
  <c r="S577" i="4" s="1"/>
  <c r="Y577" i="4"/>
  <c r="Z577" i="4" s="1"/>
  <c r="K577" i="4"/>
  <c r="L577" i="4" s="1"/>
  <c r="O577" i="4" s="1"/>
  <c r="P577" i="4" s="1"/>
  <c r="Q577" i="4" s="1"/>
  <c r="AF577" i="4"/>
  <c r="AG577" i="4" s="1"/>
  <c r="AJ577" i="4" s="1"/>
  <c r="AK577" i="4" s="1"/>
  <c r="AL577" i="4" s="1"/>
  <c r="V577" i="4" l="1"/>
  <c r="W577" i="4" s="1"/>
  <c r="AC577" i="4"/>
  <c r="AD577" i="4" s="1"/>
  <c r="AE577" i="4" s="1"/>
  <c r="I578" i="4" l="1"/>
  <c r="J578" i="4"/>
  <c r="D578" i="4"/>
  <c r="B578" i="4"/>
  <c r="X577" i="4"/>
  <c r="AM577" i="4" s="1"/>
  <c r="G578" i="4"/>
  <c r="H578" i="4"/>
  <c r="E578" i="4"/>
  <c r="C578" i="4"/>
  <c r="F578" i="4"/>
  <c r="AH578" i="4" l="1"/>
  <c r="AI578" i="4" s="1"/>
  <c r="T578" i="4"/>
  <c r="U578" i="4" s="1"/>
  <c r="AA578" i="4"/>
  <c r="AB578" i="4" s="1"/>
  <c r="M578" i="4"/>
  <c r="N578" i="4" s="1"/>
  <c r="AF578" i="4"/>
  <c r="AG578" i="4" s="1"/>
  <c r="AJ578" i="4" s="1"/>
  <c r="AK578" i="4" s="1"/>
  <c r="AL578" i="4" s="1"/>
  <c r="K578" i="4"/>
  <c r="L578" i="4" s="1"/>
  <c r="R578" i="4"/>
  <c r="S578" i="4" s="1"/>
  <c r="V578" i="4" s="1"/>
  <c r="W578" i="4" s="1"/>
  <c r="X578" i="4" s="1"/>
  <c r="Y578" i="4"/>
  <c r="Z578" i="4" s="1"/>
  <c r="AC578" i="4" s="1"/>
  <c r="AD578" i="4" s="1"/>
  <c r="AE578" i="4" s="1"/>
  <c r="O578" i="4" l="1"/>
  <c r="P578" i="4" s="1"/>
  <c r="Q578" i="4" l="1"/>
  <c r="AM578" i="4" s="1"/>
  <c r="H579" i="4"/>
  <c r="J579" i="4"/>
  <c r="I579" i="4"/>
  <c r="G579" i="4"/>
  <c r="B579" i="4"/>
  <c r="E579" i="4"/>
  <c r="D579" i="4"/>
  <c r="F579" i="4"/>
  <c r="C579" i="4"/>
  <c r="AH579" i="4" l="1"/>
  <c r="AI579" i="4" s="1"/>
  <c r="AA579" i="4"/>
  <c r="AB579" i="4" s="1"/>
  <c r="M579" i="4"/>
  <c r="N579" i="4" s="1"/>
  <c r="T579" i="4"/>
  <c r="U579" i="4" s="1"/>
  <c r="R579" i="4"/>
  <c r="S579" i="4" s="1"/>
  <c r="V579" i="4" s="1"/>
  <c r="W579" i="4" s="1"/>
  <c r="X579" i="4" s="1"/>
  <c r="Y579" i="4"/>
  <c r="Z579" i="4" s="1"/>
  <c r="AC579" i="4" s="1"/>
  <c r="AD579" i="4" s="1"/>
  <c r="AE579" i="4" s="1"/>
  <c r="AF579" i="4"/>
  <c r="AG579" i="4" s="1"/>
  <c r="AJ579" i="4" s="1"/>
  <c r="AK579" i="4" s="1"/>
  <c r="AL579" i="4" s="1"/>
  <c r="K579" i="4"/>
  <c r="L579" i="4" s="1"/>
  <c r="O579" i="4" l="1"/>
  <c r="P579" i="4" s="1"/>
  <c r="Q579" i="4" l="1"/>
  <c r="AM579" i="4" s="1"/>
  <c r="B580" i="4"/>
  <c r="F580" i="4"/>
  <c r="D580" i="4"/>
  <c r="I580" i="4"/>
  <c r="E580" i="4"/>
  <c r="C580" i="4"/>
  <c r="J580" i="4"/>
  <c r="H580" i="4"/>
  <c r="G580" i="4"/>
  <c r="T580" i="4" l="1"/>
  <c r="U580" i="4" s="1"/>
  <c r="AA580" i="4"/>
  <c r="AB580" i="4" s="1"/>
  <c r="M580" i="4"/>
  <c r="N580" i="4" s="1"/>
  <c r="AH580" i="4"/>
  <c r="AI580" i="4" s="1"/>
  <c r="K580" i="4"/>
  <c r="L580" i="4" s="1"/>
  <c r="AF580" i="4"/>
  <c r="AG580" i="4" s="1"/>
  <c r="R580" i="4"/>
  <c r="S580" i="4" s="1"/>
  <c r="V580" i="4" s="1"/>
  <c r="W580" i="4" s="1"/>
  <c r="X580" i="4" s="1"/>
  <c r="Y580" i="4"/>
  <c r="Z580" i="4" s="1"/>
  <c r="AC580" i="4" s="1"/>
  <c r="AD580" i="4" s="1"/>
  <c r="AE580" i="4" s="1"/>
  <c r="AJ580" i="4" l="1"/>
  <c r="AK580" i="4" s="1"/>
  <c r="AL580" i="4" s="1"/>
  <c r="O580" i="4"/>
  <c r="P580" i="4" s="1"/>
  <c r="Q580" i="4" l="1"/>
  <c r="AM580" i="4" s="1"/>
  <c r="C581" i="4"/>
  <c r="H581" i="4"/>
  <c r="E581" i="4"/>
  <c r="B581" i="4"/>
  <c r="J581" i="4"/>
  <c r="D581" i="4"/>
  <c r="I581" i="4"/>
  <c r="G581" i="4"/>
  <c r="F581" i="4"/>
  <c r="Y581" i="4" l="1"/>
  <c r="Z581" i="4" s="1"/>
  <c r="K581" i="4"/>
  <c r="L581" i="4" s="1"/>
  <c r="O581" i="4" s="1"/>
  <c r="P581" i="4" s="1"/>
  <c r="Q581" i="4" s="1"/>
  <c r="AF581" i="4"/>
  <c r="AG581" i="4" s="1"/>
  <c r="AJ581" i="4" s="1"/>
  <c r="AK581" i="4" s="1"/>
  <c r="AL581" i="4" s="1"/>
  <c r="R581" i="4"/>
  <c r="S581" i="4" s="1"/>
  <c r="V581" i="4" s="1"/>
  <c r="W581" i="4" s="1"/>
  <c r="X581" i="4" s="1"/>
  <c r="M581" i="4"/>
  <c r="N581" i="4" s="1"/>
  <c r="AH581" i="4"/>
  <c r="AI581" i="4" s="1"/>
  <c r="T581" i="4"/>
  <c r="U581" i="4" s="1"/>
  <c r="AA581" i="4"/>
  <c r="AB581" i="4" s="1"/>
  <c r="E582" i="4" l="1"/>
  <c r="AC581" i="4"/>
  <c r="AD581" i="4" s="1"/>
  <c r="G582" i="4"/>
  <c r="F582" i="4"/>
  <c r="AE581" i="4" l="1"/>
  <c r="AM581" i="4" s="1"/>
  <c r="H582" i="4"/>
  <c r="B582" i="4"/>
  <c r="T582" i="4"/>
  <c r="U582" i="4" s="1"/>
  <c r="AA582" i="4"/>
  <c r="AB582" i="4" s="1"/>
  <c r="M582" i="4"/>
  <c r="N582" i="4" s="1"/>
  <c r="AH582" i="4"/>
  <c r="AI582" i="4" s="1"/>
  <c r="D582" i="4"/>
  <c r="C582" i="4"/>
  <c r="J582" i="4"/>
  <c r="I582" i="4"/>
  <c r="AF582" i="4" l="1"/>
  <c r="AG582" i="4" s="1"/>
  <c r="AJ582" i="4" s="1"/>
  <c r="AK582" i="4" s="1"/>
  <c r="AL582" i="4" s="1"/>
  <c r="R582" i="4"/>
  <c r="S582" i="4" s="1"/>
  <c r="V582" i="4" s="1"/>
  <c r="W582" i="4" s="1"/>
  <c r="X582" i="4" s="1"/>
  <c r="Y582" i="4"/>
  <c r="Z582" i="4" s="1"/>
  <c r="AC582" i="4" s="1"/>
  <c r="AD582" i="4" s="1"/>
  <c r="AE582" i="4" s="1"/>
  <c r="K582" i="4"/>
  <c r="L582" i="4" s="1"/>
  <c r="O582" i="4" s="1"/>
  <c r="P582" i="4" s="1"/>
  <c r="C583" i="4" s="1"/>
  <c r="B583" i="4" l="1"/>
  <c r="J583" i="4"/>
  <c r="D583" i="4"/>
  <c r="H583" i="4"/>
  <c r="Q582" i="4"/>
  <c r="AM582" i="4" s="1"/>
  <c r="AP69" i="4" s="1"/>
  <c r="F583" i="4"/>
  <c r="G583" i="4"/>
  <c r="E583" i="4"/>
  <c r="I583" i="4"/>
  <c r="R583" i="4" l="1"/>
  <c r="S583" i="4" s="1"/>
  <c r="Y583" i="4"/>
  <c r="Z583" i="4" s="1"/>
  <c r="AF583" i="4"/>
  <c r="AG583" i="4" s="1"/>
  <c r="K583" i="4"/>
  <c r="L583" i="4" s="1"/>
  <c r="AH583" i="4"/>
  <c r="AI583" i="4" s="1"/>
  <c r="M583" i="4"/>
  <c r="N583" i="4" s="1"/>
  <c r="T583" i="4"/>
  <c r="U583" i="4" s="1"/>
  <c r="AA583" i="4"/>
  <c r="AB583" i="4" s="1"/>
  <c r="AC583" i="4" l="1"/>
  <c r="AD583" i="4" s="1"/>
  <c r="AE583" i="4" s="1"/>
  <c r="O583" i="4"/>
  <c r="P583" i="4" s="1"/>
  <c r="V583" i="4"/>
  <c r="W583" i="4" s="1"/>
  <c r="X583" i="4" s="1"/>
  <c r="AJ583" i="4"/>
  <c r="AK583" i="4" s="1"/>
  <c r="AL583" i="4" s="1"/>
  <c r="Q583" i="4" l="1"/>
  <c r="AM583" i="4" s="1"/>
  <c r="C584" i="4"/>
  <c r="F584" i="4"/>
  <c r="I584" i="4"/>
  <c r="D584" i="4"/>
  <c r="G584" i="4"/>
  <c r="H584" i="4"/>
  <c r="B584" i="4"/>
  <c r="J584" i="4"/>
  <c r="E584" i="4"/>
  <c r="K584" i="4" l="1"/>
  <c r="L584" i="4" s="1"/>
  <c r="AF584" i="4"/>
  <c r="AG584" i="4" s="1"/>
  <c r="R584" i="4"/>
  <c r="S584" i="4" s="1"/>
  <c r="V584" i="4" s="1"/>
  <c r="W584" i="4" s="1"/>
  <c r="X584" i="4" s="1"/>
  <c r="Y584" i="4"/>
  <c r="Z584" i="4" s="1"/>
  <c r="AC584" i="4" s="1"/>
  <c r="AD584" i="4" s="1"/>
  <c r="AE584" i="4" s="1"/>
  <c r="T584" i="4"/>
  <c r="U584" i="4" s="1"/>
  <c r="AA584" i="4"/>
  <c r="AB584" i="4" s="1"/>
  <c r="AH584" i="4"/>
  <c r="AI584" i="4" s="1"/>
  <c r="M584" i="4"/>
  <c r="N584" i="4" s="1"/>
  <c r="AJ584" i="4" l="1"/>
  <c r="AK584" i="4" s="1"/>
  <c r="AL584" i="4" s="1"/>
  <c r="O584" i="4"/>
  <c r="P584" i="4" s="1"/>
  <c r="Q584" i="4" l="1"/>
  <c r="AM584" i="4" s="1"/>
  <c r="J585" i="4"/>
  <c r="B585" i="4"/>
  <c r="E585" i="4"/>
  <c r="H585" i="4"/>
  <c r="D585" i="4"/>
  <c r="G585" i="4"/>
  <c r="F585" i="4"/>
  <c r="I585" i="4"/>
  <c r="C585" i="4"/>
  <c r="M585" i="4" l="1"/>
  <c r="N585" i="4" s="1"/>
  <c r="AA585" i="4"/>
  <c r="AB585" i="4" s="1"/>
  <c r="AH585" i="4"/>
  <c r="AI585" i="4" s="1"/>
  <c r="T585" i="4"/>
  <c r="U585" i="4" s="1"/>
  <c r="Y585" i="4"/>
  <c r="Z585" i="4" s="1"/>
  <c r="AC585" i="4" s="1"/>
  <c r="AD585" i="4" s="1"/>
  <c r="AE585" i="4" s="1"/>
  <c r="R585" i="4"/>
  <c r="S585" i="4" s="1"/>
  <c r="AF585" i="4"/>
  <c r="AG585" i="4" s="1"/>
  <c r="AJ585" i="4" s="1"/>
  <c r="AK585" i="4" s="1"/>
  <c r="AL585" i="4" s="1"/>
  <c r="K585" i="4"/>
  <c r="L585" i="4" s="1"/>
  <c r="O585" i="4" s="1"/>
  <c r="P585" i="4" s="1"/>
  <c r="Q585" i="4" s="1"/>
  <c r="V585" i="4" l="1"/>
  <c r="W585" i="4" s="1"/>
  <c r="X585" i="4" s="1"/>
  <c r="E586" i="4"/>
  <c r="B586" i="4"/>
  <c r="H586" i="4"/>
  <c r="F586" i="4"/>
  <c r="D586" i="4"/>
  <c r="AM585" i="4"/>
  <c r="C586" i="4"/>
  <c r="I586" i="4"/>
  <c r="J586" i="4"/>
  <c r="G586" i="4"/>
  <c r="K586" i="4" l="1"/>
  <c r="L586" i="4" s="1"/>
  <c r="Y586" i="4"/>
  <c r="Z586" i="4" s="1"/>
  <c r="R586" i="4"/>
  <c r="S586" i="4" s="1"/>
  <c r="V586" i="4" s="1"/>
  <c r="W586" i="4" s="1"/>
  <c r="X586" i="4" s="1"/>
  <c r="AF586" i="4"/>
  <c r="AG586" i="4" s="1"/>
  <c r="AJ586" i="4" s="1"/>
  <c r="AK586" i="4" s="1"/>
  <c r="AL586" i="4" s="1"/>
  <c r="AA586" i="4"/>
  <c r="AB586" i="4" s="1"/>
  <c r="T586" i="4"/>
  <c r="U586" i="4" s="1"/>
  <c r="AH586" i="4"/>
  <c r="AI586" i="4" s="1"/>
  <c r="M586" i="4"/>
  <c r="N586" i="4" s="1"/>
  <c r="AC586" i="4" l="1"/>
  <c r="AD586" i="4" s="1"/>
  <c r="AE586" i="4" s="1"/>
  <c r="O586" i="4"/>
  <c r="P586" i="4" s="1"/>
  <c r="Q586" i="4" l="1"/>
  <c r="AM586" i="4" s="1"/>
  <c r="C587" i="4"/>
  <c r="F587" i="4"/>
  <c r="I587" i="4"/>
  <c r="D587" i="4"/>
  <c r="G587" i="4"/>
  <c r="H587" i="4"/>
  <c r="J587" i="4"/>
  <c r="E587" i="4"/>
  <c r="B587" i="4"/>
  <c r="R587" i="4" l="1"/>
  <c r="S587" i="4" s="1"/>
  <c r="V587" i="4" s="1"/>
  <c r="W587" i="4" s="1"/>
  <c r="X587" i="4" s="1"/>
  <c r="Y587" i="4"/>
  <c r="Z587" i="4" s="1"/>
  <c r="K587" i="4"/>
  <c r="L587" i="4" s="1"/>
  <c r="AF587" i="4"/>
  <c r="AG587" i="4" s="1"/>
  <c r="M587" i="4"/>
  <c r="N587" i="4" s="1"/>
  <c r="AA587" i="4"/>
  <c r="AB587" i="4" s="1"/>
  <c r="AH587" i="4"/>
  <c r="AI587" i="4" s="1"/>
  <c r="T587" i="4"/>
  <c r="U587" i="4" s="1"/>
  <c r="AJ587" i="4" l="1"/>
  <c r="AK587" i="4" s="1"/>
  <c r="AL587" i="4" s="1"/>
  <c r="O587" i="4"/>
  <c r="P587" i="4" s="1"/>
  <c r="AC587" i="4"/>
  <c r="AD587" i="4" s="1"/>
  <c r="AE587" i="4" s="1"/>
  <c r="Q587" i="4" l="1"/>
  <c r="AM587" i="4" s="1"/>
  <c r="G588" i="4"/>
  <c r="B588" i="4"/>
  <c r="D588" i="4"/>
  <c r="H588" i="4"/>
  <c r="I588" i="4"/>
  <c r="F588" i="4"/>
  <c r="C588" i="4"/>
  <c r="J588" i="4"/>
  <c r="E588" i="4"/>
  <c r="R588" i="4" l="1"/>
  <c r="S588" i="4" s="1"/>
  <c r="AF588" i="4"/>
  <c r="AG588" i="4" s="1"/>
  <c r="Y588" i="4"/>
  <c r="Z588" i="4" s="1"/>
  <c r="AC588" i="4" s="1"/>
  <c r="AD588" i="4" s="1"/>
  <c r="AE588" i="4" s="1"/>
  <c r="K588" i="4"/>
  <c r="L588" i="4" s="1"/>
  <c r="AA588" i="4"/>
  <c r="AB588" i="4" s="1"/>
  <c r="M588" i="4"/>
  <c r="N588" i="4" s="1"/>
  <c r="AH588" i="4"/>
  <c r="AI588" i="4" s="1"/>
  <c r="T588" i="4"/>
  <c r="U588" i="4" s="1"/>
  <c r="V588" i="4" l="1"/>
  <c r="W588" i="4" s="1"/>
  <c r="X588" i="4" s="1"/>
  <c r="AJ588" i="4"/>
  <c r="AK588" i="4" s="1"/>
  <c r="AL588" i="4" s="1"/>
  <c r="O588" i="4"/>
  <c r="P588" i="4" s="1"/>
  <c r="Q588" i="4" l="1"/>
  <c r="AM588" i="4" s="1"/>
  <c r="F589" i="4"/>
  <c r="J589" i="4"/>
  <c r="B589" i="4"/>
  <c r="I589" i="4"/>
  <c r="G589" i="4"/>
  <c r="H589" i="4"/>
  <c r="D589" i="4"/>
  <c r="C589" i="4"/>
  <c r="E589" i="4"/>
  <c r="Y589" i="4" l="1"/>
  <c r="Z589" i="4" s="1"/>
  <c r="K589" i="4"/>
  <c r="L589" i="4" s="1"/>
  <c r="O589" i="4" s="1"/>
  <c r="P589" i="4" s="1"/>
  <c r="Q589" i="4" s="1"/>
  <c r="AF589" i="4"/>
  <c r="AG589" i="4" s="1"/>
  <c r="AJ589" i="4" s="1"/>
  <c r="AK589" i="4" s="1"/>
  <c r="AL589" i="4" s="1"/>
  <c r="R589" i="4"/>
  <c r="S589" i="4" s="1"/>
  <c r="V589" i="4" s="1"/>
  <c r="W589" i="4" s="1"/>
  <c r="X589" i="4" s="1"/>
  <c r="AH589" i="4"/>
  <c r="AI589" i="4" s="1"/>
  <c r="M589" i="4"/>
  <c r="N589" i="4" s="1"/>
  <c r="AA589" i="4"/>
  <c r="AB589" i="4" s="1"/>
  <c r="T589" i="4"/>
  <c r="U589" i="4" s="1"/>
  <c r="AC589" i="4" l="1"/>
  <c r="AD589" i="4" s="1"/>
  <c r="AE589" i="4" s="1"/>
  <c r="AM589" i="4" s="1"/>
  <c r="I590" i="4"/>
  <c r="G590" i="4"/>
  <c r="B590" i="4" l="1"/>
  <c r="F590" i="4"/>
  <c r="H590" i="4"/>
  <c r="D590" i="4"/>
  <c r="E590" i="4"/>
  <c r="C590" i="4"/>
  <c r="J590" i="4"/>
  <c r="AA590" i="4" l="1"/>
  <c r="AB590" i="4" s="1"/>
  <c r="T590" i="4"/>
  <c r="U590" i="4" s="1"/>
  <c r="AH590" i="4"/>
  <c r="AI590" i="4" s="1"/>
  <c r="M590" i="4"/>
  <c r="N590" i="4" s="1"/>
  <c r="K590" i="4"/>
  <c r="L590" i="4" s="1"/>
  <c r="O590" i="4" s="1"/>
  <c r="P590" i="4" s="1"/>
  <c r="AF590" i="4"/>
  <c r="AG590" i="4" s="1"/>
  <c r="R590" i="4"/>
  <c r="S590" i="4" s="1"/>
  <c r="Y590" i="4"/>
  <c r="Z590" i="4" s="1"/>
  <c r="AC590" i="4" s="1"/>
  <c r="AD590" i="4" s="1"/>
  <c r="AE590" i="4" s="1"/>
  <c r="Q590" i="4" l="1"/>
  <c r="D591" i="4"/>
  <c r="F591" i="4"/>
  <c r="H591" i="4"/>
  <c r="C591" i="4"/>
  <c r="V590" i="4"/>
  <c r="W590" i="4" s="1"/>
  <c r="X590" i="4" s="1"/>
  <c r="AJ590" i="4"/>
  <c r="AK590" i="4" s="1"/>
  <c r="AL590" i="4" s="1"/>
  <c r="E591" i="4"/>
  <c r="J591" i="4" l="1"/>
  <c r="M591" i="4"/>
  <c r="N591" i="4" s="1"/>
  <c r="AA591" i="4"/>
  <c r="AB591" i="4" s="1"/>
  <c r="T591" i="4"/>
  <c r="U591" i="4" s="1"/>
  <c r="AH591" i="4"/>
  <c r="AI591" i="4" s="1"/>
  <c r="G591" i="4"/>
  <c r="I591" i="4"/>
  <c r="B591" i="4"/>
  <c r="AM590" i="4"/>
  <c r="AF591" i="4" l="1"/>
  <c r="AG591" i="4" s="1"/>
  <c r="AJ591" i="4" s="1"/>
  <c r="AK591" i="4" s="1"/>
  <c r="AL591" i="4" s="1"/>
  <c r="R591" i="4"/>
  <c r="S591" i="4" s="1"/>
  <c r="V591" i="4" s="1"/>
  <c r="W591" i="4" s="1"/>
  <c r="X591" i="4" s="1"/>
  <c r="Y591" i="4"/>
  <c r="Z591" i="4" s="1"/>
  <c r="AC591" i="4" s="1"/>
  <c r="AD591" i="4" s="1"/>
  <c r="AE591" i="4" s="1"/>
  <c r="K591" i="4"/>
  <c r="L591" i="4" s="1"/>
  <c r="O591" i="4" s="1"/>
  <c r="P591" i="4" s="1"/>
  <c r="G592" i="4"/>
  <c r="I592" i="4"/>
  <c r="J592" i="4"/>
  <c r="Q591" i="4" l="1"/>
  <c r="AM591" i="4" s="1"/>
  <c r="C592" i="4"/>
  <c r="E592" i="4"/>
  <c r="D592" i="4"/>
  <c r="H592" i="4"/>
  <c r="F592" i="4"/>
  <c r="B592" i="4"/>
  <c r="T592" i="4" l="1"/>
  <c r="U592" i="4" s="1"/>
  <c r="AA592" i="4"/>
  <c r="AB592" i="4" s="1"/>
  <c r="M592" i="4"/>
  <c r="N592" i="4" s="1"/>
  <c r="AH592" i="4"/>
  <c r="AI592" i="4" s="1"/>
  <c r="K592" i="4"/>
  <c r="L592" i="4" s="1"/>
  <c r="AF592" i="4"/>
  <c r="AG592" i="4" s="1"/>
  <c r="Y592" i="4"/>
  <c r="Z592" i="4" s="1"/>
  <c r="R592" i="4"/>
  <c r="S592" i="4" s="1"/>
  <c r="V592" i="4" s="1"/>
  <c r="W592" i="4" s="1"/>
  <c r="X592" i="4" s="1"/>
  <c r="AC592" i="4" l="1"/>
  <c r="AD592" i="4" s="1"/>
  <c r="AE592" i="4" s="1"/>
  <c r="AJ592" i="4"/>
  <c r="AK592" i="4" s="1"/>
  <c r="AL592" i="4" s="1"/>
  <c r="O592" i="4"/>
  <c r="P592" i="4" s="1"/>
  <c r="Q592" i="4" l="1"/>
  <c r="AM592" i="4" s="1"/>
  <c r="AP70" i="4" s="1"/>
  <c r="I593" i="4"/>
  <c r="J593" i="4"/>
  <c r="G593" i="4"/>
  <c r="H593" i="4"/>
  <c r="B593" i="4"/>
  <c r="C593" i="4"/>
  <c r="D593" i="4"/>
  <c r="E593" i="4"/>
  <c r="F593" i="4"/>
  <c r="Y593" i="4" l="1"/>
  <c r="Z593" i="4" s="1"/>
  <c r="K593" i="4"/>
  <c r="L593" i="4" s="1"/>
  <c r="AF593" i="4"/>
  <c r="AG593" i="4" s="1"/>
  <c r="R593" i="4"/>
  <c r="S593" i="4" s="1"/>
  <c r="T593" i="4"/>
  <c r="U593" i="4" s="1"/>
  <c r="AH593" i="4"/>
  <c r="AI593" i="4" s="1"/>
  <c r="AA593" i="4"/>
  <c r="AB593" i="4" s="1"/>
  <c r="M593" i="4"/>
  <c r="N593" i="4" s="1"/>
  <c r="V593" i="4" l="1"/>
  <c r="W593" i="4" s="1"/>
  <c r="X593" i="4" s="1"/>
  <c r="O593" i="4"/>
  <c r="P593" i="4" s="1"/>
  <c r="AC593" i="4"/>
  <c r="AD593" i="4" s="1"/>
  <c r="AE593" i="4" s="1"/>
  <c r="AJ593" i="4"/>
  <c r="AK593" i="4" s="1"/>
  <c r="AL593" i="4" s="1"/>
  <c r="Q593" i="4" l="1"/>
  <c r="AM593" i="4" s="1"/>
  <c r="C594" i="4"/>
  <c r="D594" i="4"/>
  <c r="H594" i="4"/>
  <c r="J594" i="4"/>
  <c r="I594" i="4"/>
  <c r="F594" i="4"/>
  <c r="B594" i="4"/>
  <c r="E594" i="4"/>
  <c r="G594" i="4"/>
  <c r="K594" i="4" l="1"/>
  <c r="L594" i="4" s="1"/>
  <c r="R594" i="4"/>
  <c r="S594" i="4" s="1"/>
  <c r="V594" i="4" s="1"/>
  <c r="W594" i="4" s="1"/>
  <c r="X594" i="4" s="1"/>
  <c r="AF594" i="4"/>
  <c r="AG594" i="4" s="1"/>
  <c r="Y594" i="4"/>
  <c r="Z594" i="4" s="1"/>
  <c r="AC594" i="4" s="1"/>
  <c r="AD594" i="4" s="1"/>
  <c r="AE594" i="4" s="1"/>
  <c r="AA594" i="4"/>
  <c r="AB594" i="4" s="1"/>
  <c r="M594" i="4"/>
  <c r="N594" i="4" s="1"/>
  <c r="AH594" i="4"/>
  <c r="AI594" i="4" s="1"/>
  <c r="T594" i="4"/>
  <c r="U594" i="4" s="1"/>
  <c r="AJ594" i="4" l="1"/>
  <c r="AK594" i="4" s="1"/>
  <c r="AL594" i="4" s="1"/>
  <c r="O594" i="4"/>
  <c r="P594" i="4" s="1"/>
  <c r="Q594" i="4" l="1"/>
  <c r="AM594" i="4" s="1"/>
  <c r="F595" i="4"/>
  <c r="D595" i="4"/>
  <c r="C595" i="4"/>
  <c r="J595" i="4"/>
  <c r="H595" i="4"/>
  <c r="G595" i="4"/>
  <c r="I595" i="4"/>
  <c r="E595" i="4"/>
  <c r="B595" i="4"/>
  <c r="Y595" i="4" l="1"/>
  <c r="Z595" i="4" s="1"/>
  <c r="AF595" i="4"/>
  <c r="AG595" i="4" s="1"/>
  <c r="R595" i="4"/>
  <c r="S595" i="4" s="1"/>
  <c r="V595" i="4" s="1"/>
  <c r="W595" i="4" s="1"/>
  <c r="X595" i="4" s="1"/>
  <c r="K595" i="4"/>
  <c r="L595" i="4" s="1"/>
  <c r="M595" i="4"/>
  <c r="N595" i="4" s="1"/>
  <c r="AH595" i="4"/>
  <c r="AI595" i="4" s="1"/>
  <c r="AA595" i="4"/>
  <c r="AB595" i="4" s="1"/>
  <c r="T595" i="4"/>
  <c r="U595" i="4" s="1"/>
  <c r="AC595" i="4" l="1"/>
  <c r="AD595" i="4" s="1"/>
  <c r="AE595" i="4" s="1"/>
  <c r="O595" i="4"/>
  <c r="P595" i="4" s="1"/>
  <c r="AJ595" i="4"/>
  <c r="AK595" i="4" s="1"/>
  <c r="AL595" i="4" s="1"/>
  <c r="Q595" i="4" l="1"/>
  <c r="AM595" i="4" s="1"/>
  <c r="I596" i="4"/>
  <c r="G596" i="4"/>
  <c r="H596" i="4"/>
  <c r="J596" i="4"/>
  <c r="F596" i="4"/>
  <c r="D596" i="4"/>
  <c r="C596" i="4"/>
  <c r="E596" i="4"/>
  <c r="B596" i="4"/>
  <c r="Y596" i="4" l="1"/>
  <c r="Z596" i="4" s="1"/>
  <c r="K596" i="4"/>
  <c r="L596" i="4" s="1"/>
  <c r="O596" i="4" s="1"/>
  <c r="P596" i="4" s="1"/>
  <c r="Q596" i="4" s="1"/>
  <c r="AF596" i="4"/>
  <c r="AG596" i="4" s="1"/>
  <c r="AJ596" i="4" s="1"/>
  <c r="AK596" i="4" s="1"/>
  <c r="AL596" i="4" s="1"/>
  <c r="R596" i="4"/>
  <c r="S596" i="4" s="1"/>
  <c r="AH596" i="4"/>
  <c r="AI596" i="4" s="1"/>
  <c r="T596" i="4"/>
  <c r="U596" i="4" s="1"/>
  <c r="AA596" i="4"/>
  <c r="AB596" i="4" s="1"/>
  <c r="M596" i="4"/>
  <c r="N596" i="4" s="1"/>
  <c r="AC596" i="4" l="1"/>
  <c r="AD596" i="4" s="1"/>
  <c r="AE596" i="4" s="1"/>
  <c r="H597" i="4"/>
  <c r="F597" i="4"/>
  <c r="G597" i="4"/>
  <c r="C597" i="4"/>
  <c r="J597" i="4"/>
  <c r="I597" i="4"/>
  <c r="V596" i="4"/>
  <c r="W596" i="4" s="1"/>
  <c r="D597" i="4"/>
  <c r="X596" i="4" l="1"/>
  <c r="AM596" i="4" s="1"/>
  <c r="E597" i="4"/>
  <c r="B597" i="4"/>
  <c r="Y597" i="4" l="1"/>
  <c r="Z597" i="4" s="1"/>
  <c r="AF597" i="4"/>
  <c r="AG597" i="4" s="1"/>
  <c r="AJ597" i="4" s="1"/>
  <c r="AK597" i="4" s="1"/>
  <c r="AL597" i="4" s="1"/>
  <c r="K597" i="4"/>
  <c r="L597" i="4" s="1"/>
  <c r="R597" i="4"/>
  <c r="S597" i="4" s="1"/>
  <c r="V597" i="4" s="1"/>
  <c r="W597" i="4" s="1"/>
  <c r="X597" i="4" s="1"/>
  <c r="M597" i="4"/>
  <c r="N597" i="4" s="1"/>
  <c r="AA597" i="4"/>
  <c r="AB597" i="4" s="1"/>
  <c r="AH597" i="4"/>
  <c r="AI597" i="4" s="1"/>
  <c r="T597" i="4"/>
  <c r="U597" i="4" s="1"/>
  <c r="O597" i="4" l="1"/>
  <c r="P597" i="4" s="1"/>
  <c r="AC597" i="4"/>
  <c r="AD597" i="4" s="1"/>
  <c r="AE597" i="4" s="1"/>
  <c r="Q597" i="4" l="1"/>
  <c r="AM597" i="4" s="1"/>
  <c r="G598" i="4"/>
  <c r="D598" i="4"/>
  <c r="C598" i="4"/>
  <c r="I598" i="4"/>
  <c r="J598" i="4"/>
  <c r="H598" i="4"/>
  <c r="F598" i="4"/>
  <c r="B598" i="4"/>
  <c r="E598" i="4"/>
  <c r="AA598" i="4" l="1"/>
  <c r="AB598" i="4" s="1"/>
  <c r="M598" i="4"/>
  <c r="N598" i="4" s="1"/>
  <c r="AH598" i="4"/>
  <c r="AI598" i="4" s="1"/>
  <c r="T598" i="4"/>
  <c r="U598" i="4" s="1"/>
  <c r="K598" i="4"/>
  <c r="L598" i="4" s="1"/>
  <c r="O598" i="4" s="1"/>
  <c r="P598" i="4" s="1"/>
  <c r="Q598" i="4" s="1"/>
  <c r="R598" i="4"/>
  <c r="S598" i="4" s="1"/>
  <c r="V598" i="4" s="1"/>
  <c r="W598" i="4" s="1"/>
  <c r="X598" i="4" s="1"/>
  <c r="AF598" i="4"/>
  <c r="AG598" i="4" s="1"/>
  <c r="AJ598" i="4" s="1"/>
  <c r="AK598" i="4" s="1"/>
  <c r="AL598" i="4" s="1"/>
  <c r="Y598" i="4"/>
  <c r="Z598" i="4" s="1"/>
  <c r="AC598" i="4" s="1"/>
  <c r="AD598" i="4" s="1"/>
  <c r="AE598" i="4" s="1"/>
  <c r="B599" i="4" l="1"/>
  <c r="G599" i="4"/>
  <c r="E599" i="4"/>
  <c r="C599" i="4"/>
  <c r="AM598" i="4"/>
  <c r="D599" i="4"/>
  <c r="I599" i="4"/>
  <c r="J599" i="4"/>
  <c r="H599" i="4"/>
  <c r="F599" i="4"/>
  <c r="M599" i="4" l="1"/>
  <c r="N599" i="4" s="1"/>
  <c r="T599" i="4"/>
  <c r="U599" i="4" s="1"/>
  <c r="AH599" i="4"/>
  <c r="AI599" i="4" s="1"/>
  <c r="AA599" i="4"/>
  <c r="AB599" i="4" s="1"/>
  <c r="K599" i="4"/>
  <c r="L599" i="4" s="1"/>
  <c r="O599" i="4" s="1"/>
  <c r="P599" i="4" s="1"/>
  <c r="Q599" i="4" s="1"/>
  <c r="Y599" i="4"/>
  <c r="Z599" i="4" s="1"/>
  <c r="AC599" i="4" s="1"/>
  <c r="AD599" i="4" s="1"/>
  <c r="AE599" i="4" s="1"/>
  <c r="AF599" i="4"/>
  <c r="AG599" i="4" s="1"/>
  <c r="AJ599" i="4" s="1"/>
  <c r="AK599" i="4" s="1"/>
  <c r="AL599" i="4" s="1"/>
  <c r="R599" i="4"/>
  <c r="S599" i="4" s="1"/>
  <c r="V599" i="4" l="1"/>
  <c r="W599" i="4" s="1"/>
  <c r="X599" i="4" l="1"/>
  <c r="AM599" i="4" s="1"/>
  <c r="B600" i="4"/>
  <c r="E600" i="4"/>
  <c r="D600" i="4"/>
  <c r="C600" i="4"/>
  <c r="G600" i="4"/>
  <c r="F600" i="4"/>
  <c r="H600" i="4"/>
  <c r="J600" i="4"/>
  <c r="I600" i="4"/>
  <c r="R600" i="4" l="1"/>
  <c r="S600" i="4" s="1"/>
  <c r="AF600" i="4"/>
  <c r="AG600" i="4" s="1"/>
  <c r="AJ600" i="4" s="1"/>
  <c r="AK600" i="4" s="1"/>
  <c r="AL600" i="4" s="1"/>
  <c r="K600" i="4"/>
  <c r="L600" i="4" s="1"/>
  <c r="Y600" i="4"/>
  <c r="Z600" i="4" s="1"/>
  <c r="AC600" i="4" s="1"/>
  <c r="AD600" i="4" s="1"/>
  <c r="AE600" i="4" s="1"/>
  <c r="AA600" i="4"/>
  <c r="AB600" i="4" s="1"/>
  <c r="AH600" i="4"/>
  <c r="AI600" i="4" s="1"/>
  <c r="T600" i="4"/>
  <c r="U600" i="4" s="1"/>
  <c r="M600" i="4"/>
  <c r="N600" i="4" s="1"/>
  <c r="V600" i="4" l="1"/>
  <c r="W600" i="4" s="1"/>
  <c r="X600" i="4" s="1"/>
  <c r="O600" i="4"/>
  <c r="P600" i="4" s="1"/>
  <c r="Q600" i="4" l="1"/>
  <c r="AM600" i="4" s="1"/>
  <c r="H601" i="4"/>
  <c r="J601" i="4"/>
  <c r="F601" i="4"/>
  <c r="C601" i="4"/>
  <c r="G601" i="4"/>
  <c r="D601" i="4"/>
  <c r="E601" i="4"/>
  <c r="I601" i="4"/>
  <c r="B601" i="4"/>
  <c r="AA601" i="4" l="1"/>
  <c r="AB601" i="4" s="1"/>
  <c r="M601" i="4"/>
  <c r="N601" i="4" s="1"/>
  <c r="AH601" i="4"/>
  <c r="AI601" i="4" s="1"/>
  <c r="T601" i="4"/>
  <c r="U601" i="4" s="1"/>
  <c r="Y601" i="4"/>
  <c r="Z601" i="4" s="1"/>
  <c r="AC601" i="4" s="1"/>
  <c r="AD601" i="4" s="1"/>
  <c r="AE601" i="4" s="1"/>
  <c r="R601" i="4"/>
  <c r="S601" i="4" s="1"/>
  <c r="AF601" i="4"/>
  <c r="AG601" i="4" s="1"/>
  <c r="K601" i="4"/>
  <c r="L601" i="4" s="1"/>
  <c r="O601" i="4" s="1"/>
  <c r="P601" i="4" s="1"/>
  <c r="Q601" i="4" s="1"/>
  <c r="AJ601" i="4" l="1"/>
  <c r="AK601" i="4" s="1"/>
  <c r="AL601" i="4" s="1"/>
  <c r="V601" i="4"/>
  <c r="W601" i="4" s="1"/>
  <c r="I602" i="4"/>
  <c r="X601" i="4" l="1"/>
  <c r="AM601" i="4" s="1"/>
  <c r="F602" i="4"/>
  <c r="G602" i="4"/>
  <c r="C602" i="4"/>
  <c r="J602" i="4"/>
  <c r="E602" i="4"/>
  <c r="B602" i="4"/>
  <c r="D602" i="4"/>
  <c r="H602" i="4"/>
  <c r="K602" i="4" l="1"/>
  <c r="L602" i="4" s="1"/>
  <c r="Y602" i="4"/>
  <c r="Z602" i="4" s="1"/>
  <c r="AF602" i="4"/>
  <c r="AG602" i="4" s="1"/>
  <c r="R602" i="4"/>
  <c r="S602" i="4" s="1"/>
  <c r="V602" i="4" s="1"/>
  <c r="W602" i="4" s="1"/>
  <c r="X602" i="4" s="1"/>
  <c r="AA602" i="4"/>
  <c r="AB602" i="4" s="1"/>
  <c r="AH602" i="4"/>
  <c r="AI602" i="4" s="1"/>
  <c r="M602" i="4"/>
  <c r="N602" i="4" s="1"/>
  <c r="T602" i="4"/>
  <c r="U602" i="4" s="1"/>
  <c r="AC602" i="4" l="1"/>
  <c r="AD602" i="4" s="1"/>
  <c r="AE602" i="4" s="1"/>
  <c r="AJ602" i="4"/>
  <c r="AK602" i="4" s="1"/>
  <c r="AL602" i="4" s="1"/>
  <c r="O602" i="4"/>
  <c r="P602" i="4" s="1"/>
  <c r="Q602" i="4" l="1"/>
  <c r="AM602" i="4" s="1"/>
  <c r="AP71" i="4" s="1"/>
  <c r="I603" i="4"/>
  <c r="J603" i="4"/>
  <c r="C603" i="4"/>
  <c r="B603" i="4"/>
  <c r="D603" i="4"/>
  <c r="F603" i="4"/>
  <c r="E603" i="4"/>
  <c r="G603" i="4"/>
  <c r="H603" i="4"/>
  <c r="AF603" i="4" l="1"/>
  <c r="AG603" i="4" s="1"/>
  <c r="K603" i="4"/>
  <c r="L603" i="4" s="1"/>
  <c r="O603" i="4" s="1"/>
  <c r="P603" i="4" s="1"/>
  <c r="Q603" i="4" s="1"/>
  <c r="R603" i="4"/>
  <c r="S603" i="4" s="1"/>
  <c r="V603" i="4" s="1"/>
  <c r="W603" i="4" s="1"/>
  <c r="X603" i="4" s="1"/>
  <c r="Y603" i="4"/>
  <c r="Z603" i="4" s="1"/>
  <c r="AC603" i="4" s="1"/>
  <c r="AD603" i="4" s="1"/>
  <c r="AE603" i="4" s="1"/>
  <c r="M603" i="4"/>
  <c r="N603" i="4" s="1"/>
  <c r="T603" i="4"/>
  <c r="U603" i="4" s="1"/>
  <c r="AA603" i="4"/>
  <c r="AB603" i="4" s="1"/>
  <c r="AH603" i="4"/>
  <c r="AI603" i="4" s="1"/>
  <c r="AJ603" i="4" l="1"/>
  <c r="AK603" i="4" s="1"/>
  <c r="G604" i="4"/>
  <c r="H604" i="4"/>
  <c r="D604" i="4"/>
  <c r="AL603" i="4" l="1"/>
  <c r="AM603" i="4" s="1"/>
  <c r="F604" i="4"/>
  <c r="C604" i="4"/>
  <c r="E604" i="4"/>
  <c r="J604" i="4"/>
  <c r="I604" i="4"/>
  <c r="B604" i="4"/>
  <c r="AF604" i="4" l="1"/>
  <c r="AG604" i="4" s="1"/>
  <c r="K604" i="4"/>
  <c r="L604" i="4" s="1"/>
  <c r="O604" i="4" s="1"/>
  <c r="P604" i="4" s="1"/>
  <c r="R604" i="4"/>
  <c r="S604" i="4" s="1"/>
  <c r="V604" i="4" s="1"/>
  <c r="W604" i="4" s="1"/>
  <c r="X604" i="4" s="1"/>
  <c r="Y604" i="4"/>
  <c r="Z604" i="4" s="1"/>
  <c r="AC604" i="4" s="1"/>
  <c r="AD604" i="4" s="1"/>
  <c r="AE604" i="4" s="1"/>
  <c r="M604" i="4"/>
  <c r="N604" i="4" s="1"/>
  <c r="T604" i="4"/>
  <c r="U604" i="4" s="1"/>
  <c r="AA604" i="4"/>
  <c r="AB604" i="4" s="1"/>
  <c r="AH604" i="4"/>
  <c r="AI604" i="4" s="1"/>
  <c r="Q604" i="4" l="1"/>
  <c r="AJ604" i="4"/>
  <c r="AK604" i="4" s="1"/>
  <c r="AL604" i="4" s="1"/>
  <c r="B605" i="4" l="1"/>
  <c r="E605" i="4"/>
  <c r="G605" i="4"/>
  <c r="H605" i="4"/>
  <c r="C605" i="4"/>
  <c r="D605" i="4"/>
  <c r="I605" i="4"/>
  <c r="J605" i="4"/>
  <c r="F605" i="4"/>
  <c r="AM604" i="4"/>
  <c r="T605" i="4" l="1"/>
  <c r="U605" i="4" s="1"/>
  <c r="AA605" i="4"/>
  <c r="AB605" i="4" s="1"/>
  <c r="AH605" i="4"/>
  <c r="AI605" i="4" s="1"/>
  <c r="M605" i="4"/>
  <c r="N605" i="4" s="1"/>
  <c r="Y605" i="4"/>
  <c r="Z605" i="4" s="1"/>
  <c r="K605" i="4"/>
  <c r="L605" i="4" s="1"/>
  <c r="O605" i="4" s="1"/>
  <c r="P605" i="4" s="1"/>
  <c r="Q605" i="4" s="1"/>
  <c r="R605" i="4"/>
  <c r="S605" i="4" s="1"/>
  <c r="V605" i="4" s="1"/>
  <c r="W605" i="4" s="1"/>
  <c r="X605" i="4" s="1"/>
  <c r="AF605" i="4"/>
  <c r="AG605" i="4" s="1"/>
  <c r="AC605" i="4" l="1"/>
  <c r="AD605" i="4" s="1"/>
  <c r="F606" i="4"/>
  <c r="G606" i="4"/>
  <c r="D606" i="4"/>
  <c r="C606" i="4"/>
  <c r="AJ605" i="4"/>
  <c r="AK605" i="4" s="1"/>
  <c r="AL605" i="4" s="1"/>
  <c r="AE605" i="4" l="1"/>
  <c r="AM605" i="4" s="1"/>
  <c r="B606" i="4"/>
  <c r="J606" i="4"/>
  <c r="H606" i="4"/>
  <c r="I606" i="4"/>
  <c r="E606" i="4"/>
  <c r="K606" i="4" l="1"/>
  <c r="L606" i="4" s="1"/>
  <c r="R606" i="4"/>
  <c r="S606" i="4" s="1"/>
  <c r="V606" i="4" s="1"/>
  <c r="W606" i="4" s="1"/>
  <c r="X606" i="4" s="1"/>
  <c r="Y606" i="4"/>
  <c r="Z606" i="4" s="1"/>
  <c r="AF606" i="4"/>
  <c r="AG606" i="4" s="1"/>
  <c r="AJ606" i="4" s="1"/>
  <c r="AK606" i="4" s="1"/>
  <c r="AL606" i="4" s="1"/>
  <c r="AA606" i="4"/>
  <c r="AB606" i="4" s="1"/>
  <c r="T606" i="4"/>
  <c r="U606" i="4" s="1"/>
  <c r="AH606" i="4"/>
  <c r="AI606" i="4" s="1"/>
  <c r="M606" i="4"/>
  <c r="N606" i="4" s="1"/>
  <c r="AC606" i="4" l="1"/>
  <c r="AD606" i="4" s="1"/>
  <c r="AE606" i="4" s="1"/>
  <c r="O606" i="4"/>
  <c r="P606" i="4" s="1"/>
  <c r="Q606" i="4" l="1"/>
  <c r="AM606" i="4" s="1"/>
  <c r="C607" i="4"/>
  <c r="D607" i="4"/>
  <c r="F607" i="4"/>
  <c r="G607" i="4"/>
  <c r="J607" i="4"/>
  <c r="B607" i="4"/>
  <c r="I607" i="4"/>
  <c r="H607" i="4"/>
  <c r="E607" i="4"/>
  <c r="R607" i="4" l="1"/>
  <c r="S607" i="4" s="1"/>
  <c r="Y607" i="4"/>
  <c r="Z607" i="4" s="1"/>
  <c r="AC607" i="4" s="1"/>
  <c r="AD607" i="4" s="1"/>
  <c r="AE607" i="4" s="1"/>
  <c r="AF607" i="4"/>
  <c r="AG607" i="4" s="1"/>
  <c r="K607" i="4"/>
  <c r="L607" i="4" s="1"/>
  <c r="O607" i="4" s="1"/>
  <c r="P607" i="4" s="1"/>
  <c r="Q607" i="4" s="1"/>
  <c r="M607" i="4"/>
  <c r="N607" i="4" s="1"/>
  <c r="AA607" i="4"/>
  <c r="AB607" i="4" s="1"/>
  <c r="AH607" i="4"/>
  <c r="AI607" i="4" s="1"/>
  <c r="T607" i="4"/>
  <c r="U607" i="4" s="1"/>
  <c r="V607" i="4" l="1"/>
  <c r="W607" i="4" s="1"/>
  <c r="AJ607" i="4"/>
  <c r="AK607" i="4" s="1"/>
  <c r="AL607" i="4" s="1"/>
  <c r="E608" i="4"/>
  <c r="H608" i="4"/>
  <c r="I608" i="4"/>
  <c r="B608" i="4" l="1"/>
  <c r="X607" i="4"/>
  <c r="AM607" i="4" s="1"/>
  <c r="J608" i="4"/>
  <c r="D608" i="4"/>
  <c r="C608" i="4"/>
  <c r="G608" i="4"/>
  <c r="AA608" i="4" s="1"/>
  <c r="AB608" i="4" s="1"/>
  <c r="F608" i="4"/>
  <c r="T608" i="4" l="1"/>
  <c r="U608" i="4" s="1"/>
  <c r="Y608" i="4"/>
  <c r="Z608" i="4" s="1"/>
  <c r="AC608" i="4" s="1"/>
  <c r="AD608" i="4" s="1"/>
  <c r="AE608" i="4" s="1"/>
  <c r="AF608" i="4"/>
  <c r="AG608" i="4" s="1"/>
  <c r="AJ608" i="4" s="1"/>
  <c r="AK608" i="4" s="1"/>
  <c r="AL608" i="4" s="1"/>
  <c r="K608" i="4"/>
  <c r="L608" i="4" s="1"/>
  <c r="R608" i="4"/>
  <c r="S608" i="4" s="1"/>
  <c r="V608" i="4" s="1"/>
  <c r="W608" i="4" s="1"/>
  <c r="X608" i="4" s="1"/>
  <c r="AH608" i="4"/>
  <c r="AI608" i="4" s="1"/>
  <c r="M608" i="4"/>
  <c r="N608" i="4" s="1"/>
  <c r="O608" i="4" l="1"/>
  <c r="P608" i="4" s="1"/>
  <c r="Q608" i="4" l="1"/>
  <c r="AM608" i="4" s="1"/>
  <c r="I609" i="4"/>
  <c r="E609" i="4"/>
  <c r="H609" i="4"/>
  <c r="F609" i="4"/>
  <c r="B609" i="4"/>
  <c r="J609" i="4"/>
  <c r="G609" i="4"/>
  <c r="C609" i="4"/>
  <c r="D609" i="4"/>
  <c r="Y609" i="4" l="1"/>
  <c r="Z609" i="4" s="1"/>
  <c r="AF609" i="4"/>
  <c r="AG609" i="4" s="1"/>
  <c r="K609" i="4"/>
  <c r="L609" i="4" s="1"/>
  <c r="R609" i="4"/>
  <c r="S609" i="4" s="1"/>
  <c r="AH609" i="4"/>
  <c r="AI609" i="4" s="1"/>
  <c r="M609" i="4"/>
  <c r="N609" i="4" s="1"/>
  <c r="T609" i="4"/>
  <c r="U609" i="4" s="1"/>
  <c r="AA609" i="4"/>
  <c r="AB609" i="4" s="1"/>
  <c r="O609" i="4" l="1"/>
  <c r="P609" i="4" s="1"/>
  <c r="V609" i="4"/>
  <c r="W609" i="4" s="1"/>
  <c r="X609" i="4" s="1"/>
  <c r="AC609" i="4"/>
  <c r="AD609" i="4" s="1"/>
  <c r="AE609" i="4" s="1"/>
  <c r="AJ609" i="4"/>
  <c r="AK609" i="4" s="1"/>
  <c r="AL609" i="4" s="1"/>
  <c r="Q609" i="4" l="1"/>
  <c r="AM609" i="4" s="1"/>
  <c r="G610" i="4"/>
  <c r="D610" i="4"/>
  <c r="C610" i="4"/>
  <c r="H610" i="4"/>
  <c r="J610" i="4"/>
  <c r="I610" i="4"/>
  <c r="F610" i="4"/>
  <c r="E610" i="4"/>
  <c r="B610" i="4"/>
  <c r="K610" i="4" l="1"/>
  <c r="L610" i="4" s="1"/>
  <c r="Y610" i="4"/>
  <c r="Z610" i="4" s="1"/>
  <c r="AC610" i="4" s="1"/>
  <c r="AD610" i="4" s="1"/>
  <c r="AE610" i="4" s="1"/>
  <c r="AF610" i="4"/>
  <c r="AG610" i="4" s="1"/>
  <c r="AJ610" i="4" s="1"/>
  <c r="AK610" i="4" s="1"/>
  <c r="AL610" i="4" s="1"/>
  <c r="R610" i="4"/>
  <c r="S610" i="4" s="1"/>
  <c r="T610" i="4"/>
  <c r="U610" i="4" s="1"/>
  <c r="AH610" i="4"/>
  <c r="AI610" i="4" s="1"/>
  <c r="M610" i="4"/>
  <c r="N610" i="4" s="1"/>
  <c r="AA610" i="4"/>
  <c r="AB610" i="4" s="1"/>
  <c r="O610" i="4" l="1"/>
  <c r="P610" i="4" s="1"/>
  <c r="V610" i="4"/>
  <c r="W610" i="4" s="1"/>
  <c r="X610" i="4" s="1"/>
  <c r="Q610" i="4" l="1"/>
  <c r="AM610" i="4" s="1"/>
  <c r="I611" i="4"/>
  <c r="J611" i="4"/>
  <c r="G611" i="4"/>
  <c r="H611" i="4"/>
  <c r="F611" i="4"/>
  <c r="C611" i="4"/>
  <c r="D611" i="4"/>
  <c r="B611" i="4"/>
  <c r="E611" i="4"/>
  <c r="AA611" i="4" l="1"/>
  <c r="AB611" i="4" s="1"/>
  <c r="AH611" i="4"/>
  <c r="AI611" i="4" s="1"/>
  <c r="M611" i="4"/>
  <c r="N611" i="4" s="1"/>
  <c r="T611" i="4"/>
  <c r="U611" i="4" s="1"/>
  <c r="R611" i="4"/>
  <c r="S611" i="4" s="1"/>
  <c r="V611" i="4" s="1"/>
  <c r="W611" i="4" s="1"/>
  <c r="X611" i="4" s="1"/>
  <c r="Y611" i="4"/>
  <c r="Z611" i="4" s="1"/>
  <c r="AC611" i="4" s="1"/>
  <c r="AD611" i="4" s="1"/>
  <c r="AE611" i="4" s="1"/>
  <c r="AF611" i="4"/>
  <c r="AG611" i="4" s="1"/>
  <c r="AJ611" i="4" s="1"/>
  <c r="AK611" i="4" s="1"/>
  <c r="AL611" i="4" s="1"/>
  <c r="K611" i="4"/>
  <c r="L611" i="4" s="1"/>
  <c r="O611" i="4" s="1"/>
  <c r="P611" i="4" s="1"/>
  <c r="Q611" i="4" s="1"/>
  <c r="H612" i="4" l="1"/>
  <c r="D612" i="4"/>
  <c r="J612" i="4"/>
  <c r="E612" i="4"/>
  <c r="B612" i="4"/>
  <c r="I612" i="4"/>
  <c r="F612" i="4"/>
  <c r="G612" i="4"/>
  <c r="AM611" i="4"/>
  <c r="C612" i="4"/>
  <c r="AA612" i="4" l="1"/>
  <c r="AB612" i="4" s="1"/>
  <c r="T612" i="4"/>
  <c r="U612" i="4" s="1"/>
  <c r="AH612" i="4"/>
  <c r="AI612" i="4" s="1"/>
  <c r="M612" i="4"/>
  <c r="N612" i="4" s="1"/>
  <c r="AF612" i="4"/>
  <c r="AG612" i="4" s="1"/>
  <c r="R612" i="4"/>
  <c r="S612" i="4" s="1"/>
  <c r="V612" i="4" s="1"/>
  <c r="W612" i="4" s="1"/>
  <c r="X612" i="4" s="1"/>
  <c r="K612" i="4"/>
  <c r="L612" i="4" s="1"/>
  <c r="Y612" i="4"/>
  <c r="Z612" i="4" s="1"/>
  <c r="AC612" i="4" s="1"/>
  <c r="AD612" i="4" s="1"/>
  <c r="AE612" i="4" s="1"/>
  <c r="O612" i="4" l="1"/>
  <c r="P612" i="4" s="1"/>
  <c r="AJ612" i="4"/>
  <c r="AK612" i="4" s="1"/>
  <c r="AL612" i="4" s="1"/>
  <c r="Q612" i="4" l="1"/>
  <c r="AM612" i="4" s="1"/>
  <c r="AP72" i="4" s="1"/>
  <c r="F613" i="4"/>
  <c r="C613" i="4"/>
  <c r="H613" i="4"/>
  <c r="E613" i="4"/>
  <c r="G613" i="4"/>
  <c r="I613" i="4"/>
  <c r="B613" i="4"/>
  <c r="J613" i="4"/>
  <c r="D613" i="4"/>
  <c r="R613" i="4" l="1"/>
  <c r="S613" i="4" s="1"/>
  <c r="Y613" i="4"/>
  <c r="Z613" i="4" s="1"/>
  <c r="AF613" i="4"/>
  <c r="AG613" i="4" s="1"/>
  <c r="K613" i="4"/>
  <c r="L613" i="4" s="1"/>
  <c r="AH613" i="4"/>
  <c r="AI613" i="4" s="1"/>
  <c r="AA613" i="4"/>
  <c r="AB613" i="4" s="1"/>
  <c r="M613" i="4"/>
  <c r="N613" i="4" s="1"/>
  <c r="T613" i="4"/>
  <c r="U613" i="4" s="1"/>
  <c r="O613" i="4" l="1"/>
  <c r="P613" i="4" s="1"/>
  <c r="AJ613" i="4"/>
  <c r="AK613" i="4" s="1"/>
  <c r="AL613" i="4" s="1"/>
  <c r="AC613" i="4"/>
  <c r="AD613" i="4" s="1"/>
  <c r="AE613" i="4" s="1"/>
  <c r="V613" i="4"/>
  <c r="W613" i="4" s="1"/>
  <c r="X613" i="4" s="1"/>
  <c r="Q613" i="4" l="1"/>
  <c r="AM613" i="4" s="1"/>
  <c r="E614" i="4"/>
  <c r="J614" i="4"/>
  <c r="I614" i="4"/>
  <c r="B614" i="4"/>
  <c r="G614" i="4"/>
  <c r="H614" i="4"/>
  <c r="C614" i="4"/>
  <c r="F614" i="4"/>
  <c r="D614" i="4"/>
  <c r="R614" i="4" l="1"/>
  <c r="S614" i="4" s="1"/>
  <c r="Y614" i="4"/>
  <c r="Z614" i="4" s="1"/>
  <c r="AF614" i="4"/>
  <c r="AG614" i="4" s="1"/>
  <c r="K614" i="4"/>
  <c r="L614" i="4" s="1"/>
  <c r="T614" i="4"/>
  <c r="U614" i="4" s="1"/>
  <c r="AA614" i="4"/>
  <c r="AB614" i="4" s="1"/>
  <c r="AH614" i="4"/>
  <c r="AI614" i="4" s="1"/>
  <c r="M614" i="4"/>
  <c r="N614" i="4" s="1"/>
  <c r="AJ614" i="4" l="1"/>
  <c r="AK614" i="4" s="1"/>
  <c r="AL614" i="4" s="1"/>
  <c r="AC614" i="4"/>
  <c r="AD614" i="4" s="1"/>
  <c r="AE614" i="4" s="1"/>
  <c r="V614" i="4"/>
  <c r="W614" i="4" s="1"/>
  <c r="X614" i="4" s="1"/>
  <c r="O614" i="4"/>
  <c r="P614" i="4" s="1"/>
  <c r="Q614" i="4" l="1"/>
  <c r="AM614" i="4" s="1"/>
  <c r="G615" i="4"/>
  <c r="C615" i="4"/>
  <c r="F615" i="4"/>
  <c r="J615" i="4"/>
  <c r="E615" i="4"/>
  <c r="B615" i="4"/>
  <c r="I615" i="4"/>
  <c r="H615" i="4"/>
  <c r="D615" i="4"/>
  <c r="M615" i="4" l="1"/>
  <c r="N615" i="4" s="1"/>
  <c r="AH615" i="4"/>
  <c r="AI615" i="4" s="1"/>
  <c r="T615" i="4"/>
  <c r="U615" i="4" s="1"/>
  <c r="AA615" i="4"/>
  <c r="AB615" i="4" s="1"/>
  <c r="AF615" i="4"/>
  <c r="AG615" i="4" s="1"/>
  <c r="AJ615" i="4" s="1"/>
  <c r="AK615" i="4" s="1"/>
  <c r="AL615" i="4" s="1"/>
  <c r="K615" i="4"/>
  <c r="L615" i="4" s="1"/>
  <c r="O615" i="4" s="1"/>
  <c r="P615" i="4" s="1"/>
  <c r="Q615" i="4" s="1"/>
  <c r="R615" i="4"/>
  <c r="S615" i="4" s="1"/>
  <c r="V615" i="4" s="1"/>
  <c r="W615" i="4" s="1"/>
  <c r="X615" i="4" s="1"/>
  <c r="Y615" i="4"/>
  <c r="Z615" i="4" s="1"/>
  <c r="AC615" i="4" s="1"/>
  <c r="AD615" i="4" s="1"/>
  <c r="AE615" i="4" s="1"/>
  <c r="C616" i="4"/>
  <c r="B616" i="4" l="1"/>
  <c r="F616" i="4"/>
  <c r="J616" i="4"/>
  <c r="AM615" i="4"/>
  <c r="E616" i="4"/>
  <c r="G616" i="4"/>
  <c r="H616" i="4"/>
  <c r="D616" i="4"/>
  <c r="I616" i="4"/>
  <c r="AA616" i="4" l="1"/>
  <c r="AB616" i="4" s="1"/>
  <c r="AH616" i="4"/>
  <c r="AI616" i="4" s="1"/>
  <c r="M616" i="4"/>
  <c r="N616" i="4" s="1"/>
  <c r="T616" i="4"/>
  <c r="U616" i="4" s="1"/>
  <c r="AF616" i="4"/>
  <c r="AG616" i="4" s="1"/>
  <c r="Y616" i="4"/>
  <c r="Z616" i="4" s="1"/>
  <c r="AC616" i="4" s="1"/>
  <c r="AD616" i="4" s="1"/>
  <c r="AE616" i="4" s="1"/>
  <c r="K616" i="4"/>
  <c r="L616" i="4" s="1"/>
  <c r="O616" i="4" s="1"/>
  <c r="P616" i="4" s="1"/>
  <c r="R616" i="4"/>
  <c r="S616" i="4" s="1"/>
  <c r="V616" i="4" s="1"/>
  <c r="W616" i="4" s="1"/>
  <c r="X616" i="4" s="1"/>
  <c r="AJ616" i="4" l="1"/>
  <c r="AK616" i="4" s="1"/>
  <c r="AL616" i="4" s="1"/>
  <c r="Q616" i="4"/>
  <c r="AM616" i="4" s="1"/>
  <c r="C617" i="4"/>
  <c r="J617" i="4"/>
  <c r="B617" i="4"/>
  <c r="G617" i="4"/>
  <c r="F617" i="4"/>
  <c r="I617" i="4"/>
  <c r="H617" i="4"/>
  <c r="D617" i="4" l="1"/>
  <c r="R617" i="4" s="1"/>
  <c r="S617" i="4" s="1"/>
  <c r="E617" i="4"/>
  <c r="AF617" i="4" l="1"/>
  <c r="AG617" i="4" s="1"/>
  <c r="AH617" i="4"/>
  <c r="AI617" i="4" s="1"/>
  <c r="T617" i="4"/>
  <c r="U617" i="4" s="1"/>
  <c r="V617" i="4" s="1"/>
  <c r="W617" i="4" s="1"/>
  <c r="X617" i="4" s="1"/>
  <c r="AA617" i="4"/>
  <c r="AB617" i="4" s="1"/>
  <c r="M617" i="4"/>
  <c r="N617" i="4" s="1"/>
  <c r="Y617" i="4"/>
  <c r="Z617" i="4" s="1"/>
  <c r="AC617" i="4" s="1"/>
  <c r="AD617" i="4" s="1"/>
  <c r="AE617" i="4" s="1"/>
  <c r="K617" i="4"/>
  <c r="L617" i="4" s="1"/>
  <c r="AJ617" i="4" l="1"/>
  <c r="AK617" i="4" s="1"/>
  <c r="AL617" i="4" s="1"/>
  <c r="O617" i="4"/>
  <c r="P617" i="4" s="1"/>
  <c r="Q617" i="4" l="1"/>
  <c r="AM617" i="4" s="1"/>
  <c r="F618" i="4"/>
  <c r="C618" i="4"/>
  <c r="I618" i="4"/>
  <c r="H618" i="4"/>
  <c r="B618" i="4"/>
  <c r="J618" i="4"/>
  <c r="G618" i="4"/>
  <c r="D618" i="4"/>
  <c r="E618" i="4"/>
  <c r="R618" i="4" l="1"/>
  <c r="S618" i="4" s="1"/>
  <c r="V618" i="4" s="1"/>
  <c r="W618" i="4" s="1"/>
  <c r="X618" i="4" s="1"/>
  <c r="AF618" i="4"/>
  <c r="AG618" i="4" s="1"/>
  <c r="AJ618" i="4" s="1"/>
  <c r="AK618" i="4" s="1"/>
  <c r="AL618" i="4" s="1"/>
  <c r="K618" i="4"/>
  <c r="L618" i="4" s="1"/>
  <c r="Y618" i="4"/>
  <c r="Z618" i="4" s="1"/>
  <c r="AC618" i="4" s="1"/>
  <c r="AD618" i="4" s="1"/>
  <c r="AE618" i="4" s="1"/>
  <c r="T618" i="4"/>
  <c r="U618" i="4" s="1"/>
  <c r="AA618" i="4"/>
  <c r="AB618" i="4" s="1"/>
  <c r="AH618" i="4"/>
  <c r="AI618" i="4" s="1"/>
  <c r="M618" i="4"/>
  <c r="N618" i="4" s="1"/>
  <c r="O618" i="4" l="1"/>
  <c r="P618" i="4" s="1"/>
  <c r="Q618" i="4" l="1"/>
  <c r="AM618" i="4" s="1"/>
  <c r="G619" i="4"/>
  <c r="D619" i="4"/>
  <c r="E619" i="4"/>
  <c r="J619" i="4"/>
  <c r="F619" i="4"/>
  <c r="I619" i="4"/>
  <c r="B619" i="4"/>
  <c r="H619" i="4"/>
  <c r="C619" i="4"/>
  <c r="R619" i="4" l="1"/>
  <c r="S619" i="4" s="1"/>
  <c r="Y619" i="4"/>
  <c r="Z619" i="4" s="1"/>
  <c r="AF619" i="4"/>
  <c r="AG619" i="4" s="1"/>
  <c r="K619" i="4"/>
  <c r="L619" i="4" s="1"/>
  <c r="O619" i="4" s="1"/>
  <c r="P619" i="4" s="1"/>
  <c r="Q619" i="4" s="1"/>
  <c r="AA619" i="4"/>
  <c r="AB619" i="4" s="1"/>
  <c r="AH619" i="4"/>
  <c r="AI619" i="4" s="1"/>
  <c r="M619" i="4"/>
  <c r="N619" i="4" s="1"/>
  <c r="T619" i="4"/>
  <c r="U619" i="4" s="1"/>
  <c r="AJ619" i="4" l="1"/>
  <c r="AK619" i="4" s="1"/>
  <c r="AL619" i="4" s="1"/>
  <c r="AC619" i="4"/>
  <c r="AD619" i="4" s="1"/>
  <c r="AE619" i="4" s="1"/>
  <c r="V619" i="4"/>
  <c r="W619" i="4" s="1"/>
  <c r="X619" i="4" l="1"/>
  <c r="AM619" i="4" s="1"/>
  <c r="C620" i="4"/>
  <c r="B620" i="4"/>
  <c r="I620" i="4"/>
  <c r="F620" i="4"/>
  <c r="G620" i="4"/>
  <c r="J620" i="4"/>
  <c r="D620" i="4"/>
  <c r="H620" i="4"/>
  <c r="E620" i="4"/>
  <c r="AH620" i="4" l="1"/>
  <c r="AI620" i="4" s="1"/>
  <c r="T620" i="4"/>
  <c r="U620" i="4" s="1"/>
  <c r="AA620" i="4"/>
  <c r="AB620" i="4" s="1"/>
  <c r="M620" i="4"/>
  <c r="N620" i="4" s="1"/>
  <c r="AF620" i="4"/>
  <c r="AG620" i="4" s="1"/>
  <c r="Y620" i="4"/>
  <c r="Z620" i="4" s="1"/>
  <c r="K620" i="4"/>
  <c r="L620" i="4" s="1"/>
  <c r="O620" i="4" s="1"/>
  <c r="P620" i="4" s="1"/>
  <c r="Q620" i="4" s="1"/>
  <c r="R620" i="4"/>
  <c r="S620" i="4" s="1"/>
  <c r="V620" i="4" s="1"/>
  <c r="W620" i="4" s="1"/>
  <c r="X620" i="4" s="1"/>
  <c r="AC620" i="4" l="1"/>
  <c r="AD620" i="4" s="1"/>
  <c r="AE620" i="4" s="1"/>
  <c r="AJ620" i="4"/>
  <c r="AK620" i="4" s="1"/>
  <c r="AL620" i="4" s="1"/>
  <c r="AM620" i="4" s="1"/>
  <c r="I621" i="4"/>
  <c r="B621" i="4"/>
  <c r="F621" i="4"/>
  <c r="J621" i="4"/>
  <c r="G621" i="4"/>
  <c r="C621" i="4"/>
  <c r="E621" i="4"/>
  <c r="H621" i="4"/>
  <c r="D621" i="4"/>
  <c r="R621" i="4" l="1"/>
  <c r="S621" i="4" s="1"/>
  <c r="AF621" i="4"/>
  <c r="AG621" i="4" s="1"/>
  <c r="Y621" i="4"/>
  <c r="Z621" i="4" s="1"/>
  <c r="AC621" i="4" s="1"/>
  <c r="AD621" i="4" s="1"/>
  <c r="AE621" i="4" s="1"/>
  <c r="K621" i="4"/>
  <c r="L621" i="4" s="1"/>
  <c r="AH621" i="4"/>
  <c r="AI621" i="4" s="1"/>
  <c r="M621" i="4"/>
  <c r="N621" i="4" s="1"/>
  <c r="T621" i="4"/>
  <c r="U621" i="4" s="1"/>
  <c r="AA621" i="4"/>
  <c r="AB621" i="4" s="1"/>
  <c r="O621" i="4" l="1"/>
  <c r="P621" i="4" s="1"/>
  <c r="AJ621" i="4"/>
  <c r="AK621" i="4" s="1"/>
  <c r="AL621" i="4" s="1"/>
  <c r="V621" i="4"/>
  <c r="W621" i="4" s="1"/>
  <c r="X621" i="4" s="1"/>
  <c r="Q621" i="4" l="1"/>
  <c r="AM621" i="4" s="1"/>
  <c r="G622" i="4"/>
  <c r="J622" i="4"/>
  <c r="F622" i="4"/>
  <c r="D622" i="4"/>
  <c r="H622" i="4"/>
  <c r="I622" i="4"/>
  <c r="B622" i="4"/>
  <c r="E622" i="4"/>
  <c r="C622" i="4"/>
  <c r="R622" i="4" l="1"/>
  <c r="S622" i="4" s="1"/>
  <c r="V622" i="4" s="1"/>
  <c r="W622" i="4" s="1"/>
  <c r="X622" i="4" s="1"/>
  <c r="Y622" i="4"/>
  <c r="Z622" i="4" s="1"/>
  <c r="AC622" i="4" s="1"/>
  <c r="AD622" i="4" s="1"/>
  <c r="AE622" i="4" s="1"/>
  <c r="K622" i="4"/>
  <c r="L622" i="4" s="1"/>
  <c r="O622" i="4" s="1"/>
  <c r="P622" i="4" s="1"/>
  <c r="Q622" i="4" s="1"/>
  <c r="AF622" i="4"/>
  <c r="AG622" i="4" s="1"/>
  <c r="T622" i="4"/>
  <c r="U622" i="4" s="1"/>
  <c r="M622" i="4"/>
  <c r="N622" i="4" s="1"/>
  <c r="AA622" i="4"/>
  <c r="AB622" i="4" s="1"/>
  <c r="AH622" i="4"/>
  <c r="AI622" i="4" s="1"/>
  <c r="G623" i="4" l="1"/>
  <c r="J623" i="4"/>
  <c r="C623" i="4"/>
  <c r="H623" i="4"/>
  <c r="D623" i="4"/>
  <c r="I623" i="4"/>
  <c r="AJ622" i="4"/>
  <c r="AK622" i="4" s="1"/>
  <c r="AL622" i="4" s="1"/>
  <c r="AM622" i="4" s="1"/>
  <c r="AP73" i="4" s="1"/>
  <c r="F623" i="4"/>
  <c r="B623" i="4" l="1"/>
  <c r="E623" i="4"/>
  <c r="K623" i="4" l="1"/>
  <c r="L623" i="4" s="1"/>
  <c r="AF623" i="4"/>
  <c r="AG623" i="4" s="1"/>
  <c r="AJ623" i="4" s="1"/>
  <c r="AK623" i="4" s="1"/>
  <c r="AL623" i="4" s="1"/>
  <c r="R623" i="4"/>
  <c r="S623" i="4" s="1"/>
  <c r="Y623" i="4"/>
  <c r="Z623" i="4" s="1"/>
  <c r="T623" i="4"/>
  <c r="U623" i="4" s="1"/>
  <c r="AA623" i="4"/>
  <c r="AB623" i="4" s="1"/>
  <c r="AH623" i="4"/>
  <c r="AI623" i="4" s="1"/>
  <c r="M623" i="4"/>
  <c r="N623" i="4" s="1"/>
  <c r="AC623" i="4" l="1"/>
  <c r="AD623" i="4" s="1"/>
  <c r="AE623" i="4" s="1"/>
  <c r="V623" i="4"/>
  <c r="W623" i="4" s="1"/>
  <c r="X623" i="4" s="1"/>
  <c r="O623" i="4"/>
  <c r="P623" i="4" s="1"/>
  <c r="Q623" i="4" l="1"/>
  <c r="AM623" i="4" s="1"/>
  <c r="I624" i="4"/>
  <c r="C624" i="4"/>
  <c r="F624" i="4"/>
  <c r="H624" i="4"/>
  <c r="J624" i="4"/>
  <c r="G624" i="4"/>
  <c r="D624" i="4"/>
  <c r="B624" i="4"/>
  <c r="E624" i="4"/>
  <c r="AH624" i="4" l="1"/>
  <c r="AI624" i="4" s="1"/>
  <c r="M624" i="4"/>
  <c r="N624" i="4" s="1"/>
  <c r="T624" i="4"/>
  <c r="U624" i="4" s="1"/>
  <c r="AA624" i="4"/>
  <c r="AB624" i="4" s="1"/>
  <c r="AF624" i="4"/>
  <c r="AG624" i="4" s="1"/>
  <c r="Y624" i="4"/>
  <c r="Z624" i="4" s="1"/>
  <c r="AC624" i="4" s="1"/>
  <c r="AD624" i="4" s="1"/>
  <c r="AE624" i="4" s="1"/>
  <c r="K624" i="4"/>
  <c r="L624" i="4" s="1"/>
  <c r="O624" i="4" s="1"/>
  <c r="P624" i="4" s="1"/>
  <c r="Q624" i="4" s="1"/>
  <c r="R624" i="4"/>
  <c r="S624" i="4" s="1"/>
  <c r="AJ624" i="4" l="1"/>
  <c r="AK624" i="4" s="1"/>
  <c r="AL624" i="4" s="1"/>
  <c r="D625" i="4"/>
  <c r="V624" i="4"/>
  <c r="W624" i="4" s="1"/>
  <c r="X624" i="4" s="1"/>
  <c r="AM624" i="4" s="1"/>
  <c r="G625" i="4"/>
  <c r="B625" i="4" l="1"/>
  <c r="E625" i="4"/>
  <c r="J625" i="4"/>
  <c r="H625" i="4"/>
  <c r="F625" i="4"/>
  <c r="C625" i="4"/>
  <c r="I625" i="4"/>
  <c r="AH625" i="4" l="1"/>
  <c r="AI625" i="4" s="1"/>
  <c r="AA625" i="4"/>
  <c r="AB625" i="4" s="1"/>
  <c r="T625" i="4"/>
  <c r="U625" i="4" s="1"/>
  <c r="M625" i="4"/>
  <c r="N625" i="4" s="1"/>
  <c r="R625" i="4"/>
  <c r="S625" i="4" s="1"/>
  <c r="V625" i="4" s="1"/>
  <c r="W625" i="4" s="1"/>
  <c r="X625" i="4" s="1"/>
  <c r="Y625" i="4"/>
  <c r="Z625" i="4" s="1"/>
  <c r="K625" i="4"/>
  <c r="L625" i="4" s="1"/>
  <c r="AF625" i="4"/>
  <c r="AG625" i="4" s="1"/>
  <c r="AJ625" i="4" s="1"/>
  <c r="AK625" i="4" s="1"/>
  <c r="AL625" i="4" s="1"/>
  <c r="O625" i="4" l="1"/>
  <c r="P625" i="4" s="1"/>
  <c r="AC625" i="4"/>
  <c r="AD625" i="4" s="1"/>
  <c r="AE625" i="4" s="1"/>
  <c r="Q625" i="4" l="1"/>
  <c r="AM625" i="4" s="1"/>
  <c r="G626" i="4"/>
  <c r="D626" i="4"/>
  <c r="F626" i="4"/>
  <c r="B626" i="4"/>
  <c r="C626" i="4"/>
  <c r="I626" i="4"/>
  <c r="J626" i="4"/>
  <c r="E626" i="4"/>
  <c r="H626" i="4"/>
  <c r="Y626" i="4" l="1"/>
  <c r="Z626" i="4" s="1"/>
  <c r="AC626" i="4" s="1"/>
  <c r="AD626" i="4" s="1"/>
  <c r="AE626" i="4" s="1"/>
  <c r="AF626" i="4"/>
  <c r="AG626" i="4" s="1"/>
  <c r="K626" i="4"/>
  <c r="L626" i="4" s="1"/>
  <c r="R626" i="4"/>
  <c r="S626" i="4" s="1"/>
  <c r="V626" i="4" s="1"/>
  <c r="W626" i="4" s="1"/>
  <c r="X626" i="4" s="1"/>
  <c r="T626" i="4"/>
  <c r="U626" i="4" s="1"/>
  <c r="AH626" i="4"/>
  <c r="AI626" i="4" s="1"/>
  <c r="M626" i="4"/>
  <c r="N626" i="4" s="1"/>
  <c r="AA626" i="4"/>
  <c r="AB626" i="4" s="1"/>
  <c r="O626" i="4" l="1"/>
  <c r="P626" i="4" s="1"/>
  <c r="AJ626" i="4"/>
  <c r="AK626" i="4" s="1"/>
  <c r="AL626" i="4" s="1"/>
  <c r="Q626" i="4" l="1"/>
  <c r="AM626" i="4" s="1"/>
  <c r="C627" i="4"/>
  <c r="H627" i="4"/>
  <c r="G627" i="4"/>
  <c r="I627" i="4"/>
  <c r="D627" i="4"/>
  <c r="E627" i="4"/>
  <c r="J627" i="4"/>
  <c r="F627" i="4"/>
  <c r="B627" i="4"/>
  <c r="AA627" i="4" l="1"/>
  <c r="AB627" i="4" s="1"/>
  <c r="M627" i="4"/>
  <c r="N627" i="4" s="1"/>
  <c r="AH627" i="4"/>
  <c r="AI627" i="4" s="1"/>
  <c r="T627" i="4"/>
  <c r="U627" i="4" s="1"/>
  <c r="I628" i="4"/>
  <c r="H628" i="4"/>
  <c r="Y627" i="4"/>
  <c r="Z627" i="4" s="1"/>
  <c r="AC627" i="4" s="1"/>
  <c r="AD627" i="4" s="1"/>
  <c r="AE627" i="4" s="1"/>
  <c r="AF627" i="4"/>
  <c r="AG627" i="4" s="1"/>
  <c r="AJ627" i="4" s="1"/>
  <c r="AK627" i="4" s="1"/>
  <c r="AL627" i="4" s="1"/>
  <c r="K627" i="4"/>
  <c r="L627" i="4" s="1"/>
  <c r="O627" i="4" s="1"/>
  <c r="P627" i="4" s="1"/>
  <c r="Q627" i="4" s="1"/>
  <c r="R627" i="4"/>
  <c r="S627" i="4" s="1"/>
  <c r="V627" i="4" s="1"/>
  <c r="W627" i="4" s="1"/>
  <c r="X627" i="4" s="1"/>
  <c r="B628" i="4"/>
  <c r="C628" i="4"/>
  <c r="AF628" i="4" l="1"/>
  <c r="AG628" i="4" s="1"/>
  <c r="R628" i="4"/>
  <c r="S628" i="4" s="1"/>
  <c r="Y628" i="4"/>
  <c r="Z628" i="4" s="1"/>
  <c r="K628" i="4"/>
  <c r="L628" i="4" s="1"/>
  <c r="D628" i="4"/>
  <c r="AM627" i="4"/>
  <c r="E628" i="4"/>
  <c r="G628" i="4"/>
  <c r="F628" i="4"/>
  <c r="J628" i="4"/>
  <c r="AC628" i="4" l="1"/>
  <c r="AD628" i="4" s="1"/>
  <c r="AE628" i="4" s="1"/>
  <c r="V628" i="4"/>
  <c r="W628" i="4" s="1"/>
  <c r="X628" i="4" s="1"/>
  <c r="M628" i="4"/>
  <c r="N628" i="4" s="1"/>
  <c r="O628" i="4" s="1"/>
  <c r="P628" i="4" s="1"/>
  <c r="T628" i="4"/>
  <c r="U628" i="4" s="1"/>
  <c r="AA628" i="4"/>
  <c r="AB628" i="4" s="1"/>
  <c r="AH628" i="4"/>
  <c r="AI628" i="4" s="1"/>
  <c r="AJ628" i="4" s="1"/>
  <c r="AK628" i="4" s="1"/>
  <c r="AL628" i="4" s="1"/>
  <c r="Q628" i="4" l="1"/>
  <c r="AM628" i="4" s="1"/>
  <c r="H629" i="4"/>
  <c r="C629" i="4"/>
  <c r="B629" i="4"/>
  <c r="I629" i="4"/>
  <c r="E629" i="4"/>
  <c r="F629" i="4"/>
  <c r="G629" i="4"/>
  <c r="J629" i="4"/>
  <c r="D629" i="4"/>
  <c r="AH629" i="4" l="1"/>
  <c r="AI629" i="4" s="1"/>
  <c r="M629" i="4"/>
  <c r="N629" i="4" s="1"/>
  <c r="T629" i="4"/>
  <c r="U629" i="4" s="1"/>
  <c r="AA629" i="4"/>
  <c r="AB629" i="4" s="1"/>
  <c r="R629" i="4"/>
  <c r="S629" i="4" s="1"/>
  <c r="V629" i="4" s="1"/>
  <c r="W629" i="4" s="1"/>
  <c r="X629" i="4" s="1"/>
  <c r="AF629" i="4"/>
  <c r="AG629" i="4" s="1"/>
  <c r="K629" i="4"/>
  <c r="L629" i="4" s="1"/>
  <c r="Y629" i="4"/>
  <c r="Z629" i="4" s="1"/>
  <c r="AC629" i="4" l="1"/>
  <c r="AD629" i="4" s="1"/>
  <c r="AE629" i="4" s="1"/>
  <c r="O629" i="4"/>
  <c r="P629" i="4" s="1"/>
  <c r="AJ629" i="4"/>
  <c r="AK629" i="4" s="1"/>
  <c r="AL629" i="4" s="1"/>
  <c r="Q629" i="4" l="1"/>
  <c r="AM629" i="4" s="1"/>
  <c r="G630" i="4"/>
  <c r="J630" i="4"/>
  <c r="F630" i="4"/>
  <c r="B630" i="4"/>
  <c r="E630" i="4"/>
  <c r="D630" i="4"/>
  <c r="H630" i="4"/>
  <c r="C630" i="4"/>
  <c r="I630" i="4"/>
  <c r="T630" i="4" l="1"/>
  <c r="U630" i="4" s="1"/>
  <c r="AA630" i="4"/>
  <c r="AB630" i="4" s="1"/>
  <c r="M630" i="4"/>
  <c r="N630" i="4" s="1"/>
  <c r="AH630" i="4"/>
  <c r="AI630" i="4" s="1"/>
  <c r="R630" i="4"/>
  <c r="S630" i="4" s="1"/>
  <c r="AF630" i="4"/>
  <c r="AG630" i="4" s="1"/>
  <c r="Y630" i="4"/>
  <c r="Z630" i="4" s="1"/>
  <c r="AC630" i="4" s="1"/>
  <c r="AD630" i="4" s="1"/>
  <c r="AE630" i="4" s="1"/>
  <c r="K630" i="4"/>
  <c r="L630" i="4" s="1"/>
  <c r="O630" i="4" s="1"/>
  <c r="P630" i="4" s="1"/>
  <c r="Q630" i="4" s="1"/>
  <c r="B631" i="4" l="1"/>
  <c r="V630" i="4"/>
  <c r="W630" i="4" s="1"/>
  <c r="X630" i="4" s="1"/>
  <c r="AM630" i="4" s="1"/>
  <c r="D631" i="4"/>
  <c r="AJ630" i="4"/>
  <c r="AK630" i="4" s="1"/>
  <c r="AL630" i="4" s="1"/>
  <c r="K631" i="4" l="1"/>
  <c r="L631" i="4" s="1"/>
  <c r="AF631" i="4"/>
  <c r="AG631" i="4" s="1"/>
  <c r="E631" i="4"/>
  <c r="H631" i="4"/>
  <c r="G631" i="4"/>
  <c r="J631" i="4"/>
  <c r="C631" i="4"/>
  <c r="F631" i="4"/>
  <c r="I631" i="4"/>
  <c r="AA631" i="4" l="1"/>
  <c r="AB631" i="4" s="1"/>
  <c r="M631" i="4"/>
  <c r="N631" i="4" s="1"/>
  <c r="AH631" i="4"/>
  <c r="AI631" i="4" s="1"/>
  <c r="AJ631" i="4" s="1"/>
  <c r="AK631" i="4" s="1"/>
  <c r="AL631" i="4" s="1"/>
  <c r="T631" i="4"/>
  <c r="U631" i="4" s="1"/>
  <c r="O631" i="4"/>
  <c r="P631" i="4" s="1"/>
  <c r="R631" i="4"/>
  <c r="S631" i="4" s="1"/>
  <c r="Y631" i="4"/>
  <c r="Z631" i="4" s="1"/>
  <c r="AC631" i="4" s="1"/>
  <c r="AD631" i="4" s="1"/>
  <c r="AE631" i="4" s="1"/>
  <c r="Q631" i="4" l="1"/>
  <c r="G632" i="4"/>
  <c r="I632" i="4"/>
  <c r="F632" i="4"/>
  <c r="V631" i="4"/>
  <c r="W631" i="4" s="1"/>
  <c r="X631" i="4" s="1"/>
  <c r="J632" i="4"/>
  <c r="C632" i="4" l="1"/>
  <c r="H632" i="4"/>
  <c r="B632" i="4"/>
  <c r="D632" i="4"/>
  <c r="E632" i="4"/>
  <c r="AM631" i="4"/>
  <c r="AF632" i="4" l="1"/>
  <c r="AG632" i="4" s="1"/>
  <c r="Y632" i="4"/>
  <c r="Z632" i="4" s="1"/>
  <c r="R632" i="4"/>
  <c r="S632" i="4" s="1"/>
  <c r="K632" i="4"/>
  <c r="L632" i="4" s="1"/>
  <c r="O632" i="4" s="1"/>
  <c r="P632" i="4" s="1"/>
  <c r="AH632" i="4"/>
  <c r="AI632" i="4" s="1"/>
  <c r="AA632" i="4"/>
  <c r="AB632" i="4" s="1"/>
  <c r="M632" i="4"/>
  <c r="N632" i="4" s="1"/>
  <c r="T632" i="4"/>
  <c r="U632" i="4" s="1"/>
  <c r="Q632" i="4" l="1"/>
  <c r="V632" i="4"/>
  <c r="W632" i="4" s="1"/>
  <c r="AC632" i="4"/>
  <c r="AD632" i="4" s="1"/>
  <c r="AE632" i="4" s="1"/>
  <c r="AJ632" i="4"/>
  <c r="AK632" i="4" s="1"/>
  <c r="AL632" i="4" s="1"/>
  <c r="X632" i="4" l="1"/>
  <c r="C633" i="4"/>
  <c r="G633" i="4"/>
  <c r="B633" i="4"/>
  <c r="I633" i="4"/>
  <c r="E633" i="4"/>
  <c r="F633" i="4"/>
  <c r="H633" i="4"/>
  <c r="J633" i="4"/>
  <c r="D633" i="4"/>
  <c r="AM632" i="4"/>
  <c r="AP74" i="4" s="1"/>
  <c r="AH633" i="4" l="1"/>
  <c r="AI633" i="4" s="1"/>
  <c r="AA633" i="4"/>
  <c r="AB633" i="4" s="1"/>
  <c r="M633" i="4"/>
  <c r="N633" i="4" s="1"/>
  <c r="T633" i="4"/>
  <c r="U633" i="4" s="1"/>
  <c r="R633" i="4"/>
  <c r="S633" i="4" s="1"/>
  <c r="AF633" i="4"/>
  <c r="AG633" i="4" s="1"/>
  <c r="Y633" i="4"/>
  <c r="Z633" i="4" s="1"/>
  <c r="K633" i="4"/>
  <c r="L633" i="4" s="1"/>
  <c r="O633" i="4" l="1"/>
  <c r="P633" i="4" s="1"/>
  <c r="AC633" i="4"/>
  <c r="AD633" i="4" s="1"/>
  <c r="AE633" i="4" s="1"/>
  <c r="AJ633" i="4"/>
  <c r="AK633" i="4" s="1"/>
  <c r="AL633" i="4" s="1"/>
  <c r="V633" i="4"/>
  <c r="W633" i="4" s="1"/>
  <c r="X633" i="4" s="1"/>
  <c r="Q633" i="4" l="1"/>
  <c r="AM633" i="4" s="1"/>
  <c r="F634" i="4"/>
  <c r="J634" i="4"/>
  <c r="I634" i="4"/>
  <c r="H634" i="4"/>
  <c r="E634" i="4"/>
  <c r="B634" i="4"/>
  <c r="G634" i="4"/>
  <c r="D634" i="4"/>
  <c r="C634" i="4"/>
  <c r="T634" i="4" l="1"/>
  <c r="U634" i="4" s="1"/>
  <c r="M634" i="4"/>
  <c r="N634" i="4" s="1"/>
  <c r="AH634" i="4"/>
  <c r="AI634" i="4" s="1"/>
  <c r="AA634" i="4"/>
  <c r="AB634" i="4" s="1"/>
  <c r="AF634" i="4"/>
  <c r="AG634" i="4" s="1"/>
  <c r="AJ634" i="4" s="1"/>
  <c r="AK634" i="4" s="1"/>
  <c r="AL634" i="4" s="1"/>
  <c r="Y634" i="4"/>
  <c r="Z634" i="4" s="1"/>
  <c r="K634" i="4"/>
  <c r="L634" i="4" s="1"/>
  <c r="O634" i="4" s="1"/>
  <c r="P634" i="4" s="1"/>
  <c r="Q634" i="4" s="1"/>
  <c r="R634" i="4"/>
  <c r="S634" i="4" s="1"/>
  <c r="V634" i="4" s="1"/>
  <c r="W634" i="4" s="1"/>
  <c r="X634" i="4" s="1"/>
  <c r="AC634" i="4" l="1"/>
  <c r="AD634" i="4" s="1"/>
  <c r="AE634" i="4" l="1"/>
  <c r="AM634" i="4" s="1"/>
  <c r="E635" i="4"/>
  <c r="I635" i="4"/>
  <c r="J635" i="4"/>
  <c r="F635" i="4"/>
  <c r="H635" i="4"/>
  <c r="C635" i="4"/>
  <c r="G635" i="4"/>
  <c r="B635" i="4"/>
  <c r="D635" i="4"/>
  <c r="T635" i="4" l="1"/>
  <c r="U635" i="4" s="1"/>
  <c r="M635" i="4"/>
  <c r="N635" i="4" s="1"/>
  <c r="AH635" i="4"/>
  <c r="AI635" i="4" s="1"/>
  <c r="AA635" i="4"/>
  <c r="AB635" i="4" s="1"/>
  <c r="K635" i="4"/>
  <c r="L635" i="4" s="1"/>
  <c r="O635" i="4" s="1"/>
  <c r="P635" i="4" s="1"/>
  <c r="Q635" i="4" s="1"/>
  <c r="Y635" i="4"/>
  <c r="Z635" i="4" s="1"/>
  <c r="AC635" i="4" s="1"/>
  <c r="AD635" i="4" s="1"/>
  <c r="AE635" i="4" s="1"/>
  <c r="AF635" i="4"/>
  <c r="AG635" i="4" s="1"/>
  <c r="AJ635" i="4" s="1"/>
  <c r="AK635" i="4" s="1"/>
  <c r="AL635" i="4" s="1"/>
  <c r="R635" i="4"/>
  <c r="S635" i="4" s="1"/>
  <c r="B636" i="4" l="1"/>
  <c r="J636" i="4"/>
  <c r="F636" i="4"/>
  <c r="G636" i="4"/>
  <c r="H636" i="4"/>
  <c r="AM635" i="4"/>
  <c r="V635" i="4"/>
  <c r="W635" i="4" s="1"/>
  <c r="X635" i="4" s="1"/>
  <c r="C636" i="4"/>
  <c r="I636" i="4" l="1"/>
  <c r="E636" i="4"/>
  <c r="D636" i="4"/>
  <c r="AF636" i="4" s="1"/>
  <c r="AG636" i="4" s="1"/>
  <c r="K636" i="4" l="1"/>
  <c r="L636" i="4" s="1"/>
  <c r="Y636" i="4"/>
  <c r="Z636" i="4" s="1"/>
  <c r="AC636" i="4" s="1"/>
  <c r="AD636" i="4" s="1"/>
  <c r="AE636" i="4" s="1"/>
  <c r="T636" i="4"/>
  <c r="U636" i="4" s="1"/>
  <c r="AH636" i="4"/>
  <c r="AI636" i="4" s="1"/>
  <c r="AJ636" i="4" s="1"/>
  <c r="AK636" i="4" s="1"/>
  <c r="AL636" i="4" s="1"/>
  <c r="AA636" i="4"/>
  <c r="AB636" i="4" s="1"/>
  <c r="M636" i="4"/>
  <c r="N636" i="4" s="1"/>
  <c r="R636" i="4"/>
  <c r="S636" i="4" s="1"/>
  <c r="V636" i="4" l="1"/>
  <c r="W636" i="4" s="1"/>
  <c r="X636" i="4" s="1"/>
  <c r="O636" i="4"/>
  <c r="P636" i="4" s="1"/>
  <c r="Q636" i="4" l="1"/>
  <c r="AM636" i="4" s="1"/>
  <c r="H637" i="4"/>
  <c r="F637" i="4"/>
  <c r="G637" i="4"/>
  <c r="J637" i="4"/>
  <c r="C637" i="4"/>
  <c r="B637" i="4"/>
  <c r="D637" i="4"/>
  <c r="I637" i="4"/>
  <c r="E637" i="4"/>
  <c r="R637" i="4" l="1"/>
  <c r="S637" i="4" s="1"/>
  <c r="K637" i="4"/>
  <c r="L637" i="4" s="1"/>
  <c r="AF637" i="4"/>
  <c r="AG637" i="4" s="1"/>
  <c r="AJ637" i="4" s="1"/>
  <c r="AK637" i="4" s="1"/>
  <c r="AL637" i="4" s="1"/>
  <c r="Y637" i="4"/>
  <c r="Z637" i="4" s="1"/>
  <c r="AC637" i="4" s="1"/>
  <c r="AD637" i="4" s="1"/>
  <c r="AE637" i="4" s="1"/>
  <c r="AH637" i="4"/>
  <c r="AI637" i="4" s="1"/>
  <c r="AA637" i="4"/>
  <c r="AB637" i="4" s="1"/>
  <c r="T637" i="4"/>
  <c r="U637" i="4" s="1"/>
  <c r="M637" i="4"/>
  <c r="N637" i="4" s="1"/>
  <c r="O637" i="4" l="1"/>
  <c r="P637" i="4" s="1"/>
  <c r="V637" i="4"/>
  <c r="W637" i="4" s="1"/>
  <c r="X637" i="4" s="1"/>
  <c r="Q637" i="4" l="1"/>
  <c r="AM637" i="4" s="1"/>
  <c r="D638" i="4"/>
  <c r="I638" i="4"/>
  <c r="E638" i="4"/>
  <c r="H638" i="4"/>
  <c r="C638" i="4"/>
  <c r="J638" i="4"/>
  <c r="G638" i="4"/>
  <c r="F638" i="4"/>
  <c r="B638" i="4"/>
  <c r="T638" i="4" l="1"/>
  <c r="U638" i="4" s="1"/>
  <c r="AH638" i="4"/>
  <c r="AI638" i="4" s="1"/>
  <c r="AA638" i="4"/>
  <c r="AB638" i="4" s="1"/>
  <c r="M638" i="4"/>
  <c r="N638" i="4" s="1"/>
  <c r="Y638" i="4"/>
  <c r="Z638" i="4" s="1"/>
  <c r="AF638" i="4"/>
  <c r="AG638" i="4" s="1"/>
  <c r="R638" i="4"/>
  <c r="S638" i="4" s="1"/>
  <c r="K638" i="4"/>
  <c r="L638" i="4" s="1"/>
  <c r="V638" i="4" l="1"/>
  <c r="W638" i="4" s="1"/>
  <c r="X638" i="4" s="1"/>
  <c r="AJ638" i="4"/>
  <c r="AK638" i="4" s="1"/>
  <c r="AL638" i="4" s="1"/>
  <c r="O638" i="4"/>
  <c r="P638" i="4" s="1"/>
  <c r="AC638" i="4"/>
  <c r="AD638" i="4" s="1"/>
  <c r="AE638" i="4" s="1"/>
  <c r="Q638" i="4" l="1"/>
  <c r="AM638" i="4" s="1"/>
  <c r="C639" i="4"/>
  <c r="F639" i="4"/>
  <c r="B639" i="4"/>
  <c r="E639" i="4"/>
  <c r="I639" i="4"/>
  <c r="G639" i="4"/>
  <c r="J639" i="4"/>
  <c r="D639" i="4"/>
  <c r="H639" i="4"/>
  <c r="AH639" i="4" l="1"/>
  <c r="AI639" i="4" s="1"/>
  <c r="AA639" i="4"/>
  <c r="AB639" i="4" s="1"/>
  <c r="M639" i="4"/>
  <c r="N639" i="4" s="1"/>
  <c r="T639" i="4"/>
  <c r="U639" i="4" s="1"/>
  <c r="Y639" i="4"/>
  <c r="Z639" i="4" s="1"/>
  <c r="R639" i="4"/>
  <c r="S639" i="4" s="1"/>
  <c r="K639" i="4"/>
  <c r="L639" i="4" s="1"/>
  <c r="O639" i="4" s="1"/>
  <c r="P639" i="4" s="1"/>
  <c r="Q639" i="4" s="1"/>
  <c r="AF639" i="4"/>
  <c r="AG639" i="4" s="1"/>
  <c r="AJ639" i="4" s="1"/>
  <c r="AK639" i="4" s="1"/>
  <c r="AL639" i="4" s="1"/>
  <c r="AC639" i="4" l="1"/>
  <c r="AD639" i="4" s="1"/>
  <c r="AE639" i="4" s="1"/>
  <c r="V639" i="4"/>
  <c r="W639" i="4" s="1"/>
  <c r="X639" i="4" l="1"/>
  <c r="AM639" i="4" s="1"/>
  <c r="H640" i="4"/>
  <c r="G640" i="4"/>
  <c r="J640" i="4"/>
  <c r="C640" i="4"/>
  <c r="I640" i="4"/>
  <c r="F640" i="4"/>
  <c r="E640" i="4"/>
  <c r="D640" i="4"/>
  <c r="B640" i="4"/>
  <c r="M640" i="4" l="1"/>
  <c r="N640" i="4" s="1"/>
  <c r="AA640" i="4"/>
  <c r="AB640" i="4" s="1"/>
  <c r="AH640" i="4"/>
  <c r="AI640" i="4" s="1"/>
  <c r="T640" i="4"/>
  <c r="U640" i="4" s="1"/>
  <c r="AF640" i="4"/>
  <c r="AG640" i="4" s="1"/>
  <c r="AJ640" i="4" s="1"/>
  <c r="AK640" i="4" s="1"/>
  <c r="AL640" i="4" s="1"/>
  <c r="R640" i="4"/>
  <c r="S640" i="4" s="1"/>
  <c r="V640" i="4" s="1"/>
  <c r="W640" i="4" s="1"/>
  <c r="X640" i="4" s="1"/>
  <c r="Y640" i="4"/>
  <c r="Z640" i="4" s="1"/>
  <c r="AC640" i="4" s="1"/>
  <c r="AD640" i="4" s="1"/>
  <c r="AE640" i="4" s="1"/>
  <c r="K640" i="4"/>
  <c r="L640" i="4" s="1"/>
  <c r="O640" i="4" s="1"/>
  <c r="P640" i="4" s="1"/>
  <c r="Q640" i="4" s="1"/>
  <c r="AM640" i="4" s="1"/>
  <c r="C641" i="4" l="1"/>
  <c r="G641" i="4"/>
  <c r="J641" i="4"/>
  <c r="I641" i="4"/>
  <c r="E641" i="4"/>
  <c r="F641" i="4"/>
  <c r="B641" i="4"/>
  <c r="D641" i="4"/>
  <c r="H641" i="4"/>
  <c r="R641" i="4" l="1"/>
  <c r="S641" i="4" s="1"/>
  <c r="Y641" i="4"/>
  <c r="Z641" i="4" s="1"/>
  <c r="AC641" i="4" s="1"/>
  <c r="AD641" i="4" s="1"/>
  <c r="AE641" i="4" s="1"/>
  <c r="K641" i="4"/>
  <c r="L641" i="4" s="1"/>
  <c r="AF641" i="4"/>
  <c r="AG641" i="4" s="1"/>
  <c r="AJ641" i="4" s="1"/>
  <c r="AK641" i="4" s="1"/>
  <c r="AL641" i="4" s="1"/>
  <c r="AH641" i="4"/>
  <c r="AI641" i="4" s="1"/>
  <c r="M641" i="4"/>
  <c r="N641" i="4" s="1"/>
  <c r="AA641" i="4"/>
  <c r="AB641" i="4" s="1"/>
  <c r="T641" i="4"/>
  <c r="U641" i="4" s="1"/>
  <c r="O641" i="4" l="1"/>
  <c r="P641" i="4" s="1"/>
  <c r="V641" i="4"/>
  <c r="W641" i="4" s="1"/>
  <c r="X641" i="4" s="1"/>
  <c r="Q641" i="4" l="1"/>
  <c r="AM641" i="4" s="1"/>
  <c r="D642" i="4"/>
  <c r="C642" i="4"/>
  <c r="B642" i="4"/>
  <c r="E642" i="4"/>
  <c r="F642" i="4"/>
  <c r="G642" i="4"/>
  <c r="I642" i="4"/>
  <c r="H642" i="4"/>
  <c r="J642" i="4"/>
  <c r="K642" i="4" l="1"/>
  <c r="L642" i="4" s="1"/>
  <c r="O642" i="4" s="1"/>
  <c r="P642" i="4" s="1"/>
  <c r="Q642" i="4" s="1"/>
  <c r="Y642" i="4"/>
  <c r="Z642" i="4" s="1"/>
  <c r="AF642" i="4"/>
  <c r="AG642" i="4" s="1"/>
  <c r="AJ642" i="4" s="1"/>
  <c r="AK642" i="4" s="1"/>
  <c r="AL642" i="4" s="1"/>
  <c r="R642" i="4"/>
  <c r="S642" i="4" s="1"/>
  <c r="V642" i="4" s="1"/>
  <c r="W642" i="4" s="1"/>
  <c r="X642" i="4" s="1"/>
  <c r="T642" i="4"/>
  <c r="U642" i="4" s="1"/>
  <c r="M642" i="4"/>
  <c r="N642" i="4" s="1"/>
  <c r="AH642" i="4"/>
  <c r="AI642" i="4" s="1"/>
  <c r="AA642" i="4"/>
  <c r="AB642" i="4" s="1"/>
  <c r="AC642" i="4" l="1"/>
  <c r="AD642" i="4" s="1"/>
  <c r="AE642" i="4" s="1"/>
  <c r="E643" i="4"/>
  <c r="AM642" i="4"/>
  <c r="AP75" i="4" s="1"/>
  <c r="G643" i="4"/>
  <c r="I643" i="4"/>
  <c r="T643" i="4" l="1"/>
  <c r="U643" i="4" s="1"/>
  <c r="F643" i="4"/>
  <c r="D643" i="4"/>
  <c r="J643" i="4"/>
  <c r="B643" i="4"/>
  <c r="H643" i="4"/>
  <c r="C643" i="4"/>
  <c r="R643" i="4" l="1"/>
  <c r="S643" i="4" s="1"/>
  <c r="V643" i="4" s="1"/>
  <c r="W643" i="4" s="1"/>
  <c r="X643" i="4" s="1"/>
  <c r="Y643" i="4"/>
  <c r="Z643" i="4" s="1"/>
  <c r="AC643" i="4" s="1"/>
  <c r="AD643" i="4" s="1"/>
  <c r="AE643" i="4" s="1"/>
  <c r="K643" i="4"/>
  <c r="L643" i="4" s="1"/>
  <c r="O643" i="4" s="1"/>
  <c r="P643" i="4" s="1"/>
  <c r="B644" i="4" s="1"/>
  <c r="AF643" i="4"/>
  <c r="AG643" i="4" s="1"/>
  <c r="AJ643" i="4" s="1"/>
  <c r="AK643" i="4" s="1"/>
  <c r="AL643" i="4" s="1"/>
  <c r="AA643" i="4"/>
  <c r="AB643" i="4" s="1"/>
  <c r="AH643" i="4"/>
  <c r="AI643" i="4" s="1"/>
  <c r="M643" i="4"/>
  <c r="N643" i="4" s="1"/>
  <c r="Q643" i="4" l="1"/>
  <c r="AM643" i="4" s="1"/>
  <c r="G644" i="4"/>
  <c r="E644" i="4"/>
  <c r="I644" i="4"/>
  <c r="J644" i="4"/>
  <c r="H644" i="4"/>
  <c r="C644" i="4"/>
  <c r="K644" i="4" s="1"/>
  <c r="L644" i="4" s="1"/>
  <c r="F644" i="4"/>
  <c r="D644" i="4"/>
  <c r="AA644" i="4" l="1"/>
  <c r="AB644" i="4" s="1"/>
  <c r="AH644" i="4"/>
  <c r="AI644" i="4" s="1"/>
  <c r="T644" i="4"/>
  <c r="U644" i="4" s="1"/>
  <c r="M644" i="4"/>
  <c r="N644" i="4" s="1"/>
  <c r="O644" i="4" s="1"/>
  <c r="P644" i="4" s="1"/>
  <c r="Y644" i="4"/>
  <c r="Z644" i="4" s="1"/>
  <c r="R644" i="4"/>
  <c r="S644" i="4" s="1"/>
  <c r="AF644" i="4"/>
  <c r="AG644" i="4" s="1"/>
  <c r="AJ644" i="4" s="1"/>
  <c r="AK644" i="4" s="1"/>
  <c r="AL644" i="4" s="1"/>
  <c r="Q644" i="4" l="1"/>
  <c r="E645" i="4"/>
  <c r="H645" i="4"/>
  <c r="I645" i="4"/>
  <c r="V644" i="4"/>
  <c r="W644" i="4" s="1"/>
  <c r="X644" i="4" s="1"/>
  <c r="AC644" i="4"/>
  <c r="AD644" i="4" s="1"/>
  <c r="AE644" i="4" s="1"/>
  <c r="F645" i="4" l="1"/>
  <c r="T645" i="4"/>
  <c r="U645" i="4" s="1"/>
  <c r="AA645" i="4"/>
  <c r="AB645" i="4" s="1"/>
  <c r="C645" i="4"/>
  <c r="D645" i="4"/>
  <c r="G645" i="4"/>
  <c r="M645" i="4" s="1"/>
  <c r="N645" i="4" s="1"/>
  <c r="B645" i="4"/>
  <c r="J645" i="4"/>
  <c r="AM644" i="4"/>
  <c r="R645" i="4" l="1"/>
  <c r="S645" i="4" s="1"/>
  <c r="V645" i="4" s="1"/>
  <c r="W645" i="4" s="1"/>
  <c r="X645" i="4" s="1"/>
  <c r="Y645" i="4"/>
  <c r="Z645" i="4" s="1"/>
  <c r="AC645" i="4" s="1"/>
  <c r="AD645" i="4" s="1"/>
  <c r="AE645" i="4" s="1"/>
  <c r="K645" i="4"/>
  <c r="L645" i="4" s="1"/>
  <c r="O645" i="4" s="1"/>
  <c r="P645" i="4" s="1"/>
  <c r="AF645" i="4"/>
  <c r="AG645" i="4" s="1"/>
  <c r="AJ645" i="4" s="1"/>
  <c r="AK645" i="4" s="1"/>
  <c r="AL645" i="4" s="1"/>
  <c r="B646" i="4"/>
  <c r="AH645" i="4"/>
  <c r="AI645" i="4" s="1"/>
  <c r="Q645" i="4" l="1"/>
  <c r="AM645" i="4" s="1"/>
  <c r="I646" i="4"/>
  <c r="E646" i="4"/>
  <c r="H646" i="4"/>
  <c r="D646" i="4"/>
  <c r="G646" i="4"/>
  <c r="F646" i="4"/>
  <c r="J646" i="4"/>
  <c r="C646" i="4"/>
  <c r="T646" i="4" l="1"/>
  <c r="U646" i="4" s="1"/>
  <c r="AH646" i="4"/>
  <c r="AI646" i="4" s="1"/>
  <c r="AA646" i="4"/>
  <c r="AB646" i="4" s="1"/>
  <c r="M646" i="4"/>
  <c r="N646" i="4" s="1"/>
  <c r="K646" i="4"/>
  <c r="L646" i="4" s="1"/>
  <c r="Y646" i="4"/>
  <c r="Z646" i="4" s="1"/>
  <c r="AC646" i="4" s="1"/>
  <c r="AD646" i="4" s="1"/>
  <c r="AE646" i="4" s="1"/>
  <c r="R646" i="4"/>
  <c r="S646" i="4" s="1"/>
  <c r="V646" i="4" s="1"/>
  <c r="W646" i="4" s="1"/>
  <c r="X646" i="4" s="1"/>
  <c r="AF646" i="4"/>
  <c r="AG646" i="4" s="1"/>
  <c r="AJ646" i="4" s="1"/>
  <c r="AK646" i="4" s="1"/>
  <c r="AL646" i="4" s="1"/>
  <c r="O646" i="4" l="1"/>
  <c r="P646" i="4" s="1"/>
  <c r="Q646" i="4" l="1"/>
  <c r="AM646" i="4" s="1"/>
  <c r="B647" i="4"/>
  <c r="G647" i="4"/>
  <c r="E647" i="4"/>
  <c r="F647" i="4"/>
  <c r="D647" i="4"/>
  <c r="I647" i="4"/>
  <c r="J647" i="4"/>
  <c r="C647" i="4"/>
  <c r="H647" i="4"/>
  <c r="M647" i="4" l="1"/>
  <c r="N647" i="4" s="1"/>
  <c r="AA647" i="4"/>
  <c r="AB647" i="4" s="1"/>
  <c r="T647" i="4"/>
  <c r="U647" i="4" s="1"/>
  <c r="AH647" i="4"/>
  <c r="AI647" i="4" s="1"/>
  <c r="AF647" i="4"/>
  <c r="AG647" i="4" s="1"/>
  <c r="AJ647" i="4" s="1"/>
  <c r="AK647" i="4" s="1"/>
  <c r="AL647" i="4" s="1"/>
  <c r="R647" i="4"/>
  <c r="S647" i="4" s="1"/>
  <c r="Y647" i="4"/>
  <c r="Z647" i="4" s="1"/>
  <c r="K647" i="4"/>
  <c r="L647" i="4" s="1"/>
  <c r="O647" i="4" s="1"/>
  <c r="P647" i="4" s="1"/>
  <c r="Q647" i="4" s="1"/>
  <c r="AC647" i="4" l="1"/>
  <c r="AD647" i="4" s="1"/>
  <c r="AE647" i="4" s="1"/>
  <c r="V647" i="4"/>
  <c r="W647" i="4" s="1"/>
  <c r="X647" i="4" l="1"/>
  <c r="AM647" i="4" s="1"/>
  <c r="F648" i="4"/>
  <c r="H648" i="4"/>
  <c r="C648" i="4"/>
  <c r="D648" i="4"/>
  <c r="E648" i="4"/>
  <c r="J648" i="4"/>
  <c r="I648" i="4"/>
  <c r="B648" i="4"/>
  <c r="G648" i="4"/>
  <c r="M648" i="4" l="1"/>
  <c r="N648" i="4" s="1"/>
  <c r="AH648" i="4"/>
  <c r="AI648" i="4" s="1"/>
  <c r="T648" i="4"/>
  <c r="U648" i="4" s="1"/>
  <c r="AA648" i="4"/>
  <c r="AB648" i="4" s="1"/>
  <c r="AF648" i="4"/>
  <c r="AG648" i="4" s="1"/>
  <c r="AJ648" i="4" s="1"/>
  <c r="AK648" i="4" s="1"/>
  <c r="AL648" i="4" s="1"/>
  <c r="Y648" i="4"/>
  <c r="Z648" i="4" s="1"/>
  <c r="AC648" i="4" s="1"/>
  <c r="AD648" i="4" s="1"/>
  <c r="AE648" i="4" s="1"/>
  <c r="R648" i="4"/>
  <c r="S648" i="4" s="1"/>
  <c r="V648" i="4" s="1"/>
  <c r="W648" i="4" s="1"/>
  <c r="X648" i="4" s="1"/>
  <c r="K648" i="4"/>
  <c r="L648" i="4" s="1"/>
  <c r="O648" i="4" s="1"/>
  <c r="P648" i="4" s="1"/>
  <c r="Q648" i="4" s="1"/>
  <c r="C649" i="4" l="1"/>
  <c r="J649" i="4"/>
  <c r="I649" i="4"/>
  <c r="B649" i="4"/>
  <c r="G649" i="4"/>
  <c r="E649" i="4"/>
  <c r="H649" i="4"/>
  <c r="D649" i="4"/>
  <c r="AM648" i="4"/>
  <c r="F649" i="4"/>
  <c r="AH649" i="4" l="1"/>
  <c r="AI649" i="4" s="1"/>
  <c r="T649" i="4"/>
  <c r="U649" i="4" s="1"/>
  <c r="AA649" i="4"/>
  <c r="AB649" i="4" s="1"/>
  <c r="M649" i="4"/>
  <c r="N649" i="4" s="1"/>
  <c r="R649" i="4"/>
  <c r="S649" i="4" s="1"/>
  <c r="V649" i="4" s="1"/>
  <c r="W649" i="4" s="1"/>
  <c r="X649" i="4" s="1"/>
  <c r="Y649" i="4"/>
  <c r="Z649" i="4" s="1"/>
  <c r="K649" i="4"/>
  <c r="L649" i="4" s="1"/>
  <c r="O649" i="4" s="1"/>
  <c r="P649" i="4" s="1"/>
  <c r="Q649" i="4" s="1"/>
  <c r="AF649" i="4"/>
  <c r="AG649" i="4" s="1"/>
  <c r="AJ649" i="4" s="1"/>
  <c r="AK649" i="4" s="1"/>
  <c r="AL649" i="4" s="1"/>
  <c r="AC649" i="4" l="1"/>
  <c r="AD649" i="4" s="1"/>
  <c r="AE649" i="4" s="1"/>
  <c r="AM649" i="4" s="1"/>
  <c r="B650" i="4" l="1"/>
  <c r="F650" i="4"/>
  <c r="G650" i="4"/>
  <c r="C650" i="4"/>
  <c r="J650" i="4"/>
  <c r="H650" i="4"/>
  <c r="I650" i="4"/>
  <c r="E650" i="4"/>
  <c r="D650" i="4"/>
  <c r="T650" i="4" l="1"/>
  <c r="U650" i="4" s="1"/>
  <c r="AA650" i="4"/>
  <c r="AB650" i="4" s="1"/>
  <c r="M650" i="4"/>
  <c r="N650" i="4" s="1"/>
  <c r="AH650" i="4"/>
  <c r="AI650" i="4" s="1"/>
  <c r="K650" i="4"/>
  <c r="L650" i="4" s="1"/>
  <c r="O650" i="4" s="1"/>
  <c r="P650" i="4" s="1"/>
  <c r="Q650" i="4" s="1"/>
  <c r="AF650" i="4"/>
  <c r="AG650" i="4" s="1"/>
  <c r="AJ650" i="4" s="1"/>
  <c r="AK650" i="4" s="1"/>
  <c r="AL650" i="4" s="1"/>
  <c r="Y650" i="4"/>
  <c r="Z650" i="4" s="1"/>
  <c r="AC650" i="4" s="1"/>
  <c r="AD650" i="4" s="1"/>
  <c r="AE650" i="4" s="1"/>
  <c r="R650" i="4"/>
  <c r="S650" i="4" s="1"/>
  <c r="V650" i="4" s="1"/>
  <c r="W650" i="4" s="1"/>
  <c r="X650" i="4" s="1"/>
  <c r="C651" i="4" l="1"/>
  <c r="B651" i="4"/>
  <c r="H651" i="4"/>
  <c r="I651" i="4"/>
  <c r="AM650" i="4"/>
  <c r="D651" i="4"/>
  <c r="F651" i="4"/>
  <c r="G651" i="4"/>
  <c r="E651" i="4"/>
  <c r="J651" i="4"/>
  <c r="AF651" i="4" l="1"/>
  <c r="AG651" i="4" s="1"/>
  <c r="R651" i="4"/>
  <c r="S651" i="4" s="1"/>
  <c r="Y651" i="4"/>
  <c r="Z651" i="4" s="1"/>
  <c r="AC651" i="4" s="1"/>
  <c r="AD651" i="4" s="1"/>
  <c r="AE651" i="4" s="1"/>
  <c r="K651" i="4"/>
  <c r="L651" i="4" s="1"/>
  <c r="M651" i="4"/>
  <c r="N651" i="4" s="1"/>
  <c r="AA651" i="4"/>
  <c r="AB651" i="4" s="1"/>
  <c r="AH651" i="4"/>
  <c r="AI651" i="4" s="1"/>
  <c r="T651" i="4"/>
  <c r="U651" i="4" s="1"/>
  <c r="V651" i="4" l="1"/>
  <c r="W651" i="4" s="1"/>
  <c r="X651" i="4" s="1"/>
  <c r="AJ651" i="4"/>
  <c r="AK651" i="4" s="1"/>
  <c r="AL651" i="4" s="1"/>
  <c r="O651" i="4"/>
  <c r="P651" i="4" s="1"/>
  <c r="Q651" i="4" l="1"/>
  <c r="AM651" i="4" s="1"/>
  <c r="G652" i="4"/>
  <c r="C652" i="4"/>
  <c r="F652" i="4"/>
  <c r="B652" i="4"/>
  <c r="D652" i="4"/>
  <c r="I652" i="4"/>
  <c r="H652" i="4"/>
  <c r="J652" i="4"/>
  <c r="E652" i="4"/>
  <c r="T652" i="4" l="1"/>
  <c r="U652" i="4" s="1"/>
  <c r="AH652" i="4"/>
  <c r="AI652" i="4" s="1"/>
  <c r="AA652" i="4"/>
  <c r="AB652" i="4" s="1"/>
  <c r="M652" i="4"/>
  <c r="N652" i="4" s="1"/>
  <c r="AF652" i="4"/>
  <c r="AG652" i="4" s="1"/>
  <c r="K652" i="4"/>
  <c r="L652" i="4" s="1"/>
  <c r="O652" i="4" s="1"/>
  <c r="P652" i="4" s="1"/>
  <c r="Q652" i="4" s="1"/>
  <c r="Y652" i="4"/>
  <c r="Z652" i="4" s="1"/>
  <c r="R652" i="4"/>
  <c r="S652" i="4" s="1"/>
  <c r="V652" i="4" s="1"/>
  <c r="W652" i="4" s="1"/>
  <c r="X652" i="4" s="1"/>
  <c r="AC652" i="4" l="1"/>
  <c r="AD652" i="4" s="1"/>
  <c r="AE652" i="4" s="1"/>
  <c r="AM652" i="4" s="1"/>
  <c r="AP76" i="4" s="1"/>
  <c r="F653" i="4"/>
  <c r="AJ652" i="4"/>
  <c r="AK652" i="4" s="1"/>
  <c r="AL652" i="4" s="1"/>
  <c r="I653" i="4"/>
  <c r="D653" i="4" l="1"/>
  <c r="J653" i="4"/>
  <c r="E653" i="4"/>
  <c r="H653" i="4"/>
  <c r="C653" i="4"/>
  <c r="B653" i="4"/>
  <c r="G653" i="4"/>
  <c r="R653" i="4" l="1"/>
  <c r="S653" i="4" s="1"/>
  <c r="Y653" i="4"/>
  <c r="Z653" i="4" s="1"/>
  <c r="K653" i="4"/>
  <c r="L653" i="4" s="1"/>
  <c r="O653" i="4" s="1"/>
  <c r="P653" i="4" s="1"/>
  <c r="AF653" i="4"/>
  <c r="AG653" i="4" s="1"/>
  <c r="AJ653" i="4" s="1"/>
  <c r="AK653" i="4" s="1"/>
  <c r="AL653" i="4" s="1"/>
  <c r="AH653" i="4"/>
  <c r="AI653" i="4" s="1"/>
  <c r="AA653" i="4"/>
  <c r="AB653" i="4" s="1"/>
  <c r="M653" i="4"/>
  <c r="N653" i="4" s="1"/>
  <c r="T653" i="4"/>
  <c r="U653" i="4" s="1"/>
  <c r="AC653" i="4" l="1"/>
  <c r="AD653" i="4" s="1"/>
  <c r="AE653" i="4" s="1"/>
  <c r="Q653" i="4"/>
  <c r="I654" i="4"/>
  <c r="F654" i="4"/>
  <c r="E654" i="4"/>
  <c r="V653" i="4"/>
  <c r="W653" i="4" s="1"/>
  <c r="AM653" i="4" l="1"/>
  <c r="D654" i="4"/>
  <c r="G654" i="4"/>
  <c r="X653" i="4"/>
  <c r="H654" i="4"/>
  <c r="C654" i="4"/>
  <c r="J654" i="4"/>
  <c r="B654" i="4"/>
  <c r="K654" i="4" l="1"/>
  <c r="L654" i="4" s="1"/>
  <c r="O654" i="4" s="1"/>
  <c r="P654" i="4" s="1"/>
  <c r="R654" i="4"/>
  <c r="S654" i="4" s="1"/>
  <c r="AF654" i="4"/>
  <c r="AG654" i="4" s="1"/>
  <c r="AJ654" i="4" s="1"/>
  <c r="AK654" i="4" s="1"/>
  <c r="AL654" i="4" s="1"/>
  <c r="Y654" i="4"/>
  <c r="Z654" i="4" s="1"/>
  <c r="AC654" i="4" s="1"/>
  <c r="AD654" i="4" s="1"/>
  <c r="AE654" i="4" s="1"/>
  <c r="M654" i="4"/>
  <c r="N654" i="4" s="1"/>
  <c r="AH654" i="4"/>
  <c r="AI654" i="4" s="1"/>
  <c r="AA654" i="4"/>
  <c r="AB654" i="4" s="1"/>
  <c r="T654" i="4"/>
  <c r="U654" i="4" s="1"/>
  <c r="Q654" i="4" l="1"/>
  <c r="V654" i="4"/>
  <c r="W654" i="4" s="1"/>
  <c r="J655" i="4"/>
  <c r="X654" i="4" l="1"/>
  <c r="B655" i="4"/>
  <c r="D655" i="4"/>
  <c r="C655" i="4"/>
  <c r="G655" i="4"/>
  <c r="I655" i="4"/>
  <c r="F655" i="4"/>
  <c r="E655" i="4"/>
  <c r="H655" i="4"/>
  <c r="AM654" i="4"/>
  <c r="M655" i="4" l="1"/>
  <c r="N655" i="4" s="1"/>
  <c r="AA655" i="4"/>
  <c r="AB655" i="4" s="1"/>
  <c r="T655" i="4"/>
  <c r="U655" i="4" s="1"/>
  <c r="AH655" i="4"/>
  <c r="AI655" i="4" s="1"/>
  <c r="Y655" i="4"/>
  <c r="Z655" i="4" s="1"/>
  <c r="AC655" i="4" s="1"/>
  <c r="AD655" i="4" s="1"/>
  <c r="AE655" i="4" s="1"/>
  <c r="R655" i="4"/>
  <c r="S655" i="4" s="1"/>
  <c r="V655" i="4" s="1"/>
  <c r="W655" i="4" s="1"/>
  <c r="X655" i="4" s="1"/>
  <c r="AF655" i="4"/>
  <c r="AG655" i="4" s="1"/>
  <c r="AJ655" i="4" s="1"/>
  <c r="AK655" i="4" s="1"/>
  <c r="AL655" i="4" s="1"/>
  <c r="K655" i="4"/>
  <c r="L655" i="4" s="1"/>
  <c r="O655" i="4" s="1"/>
  <c r="P655" i="4" s="1"/>
  <c r="Q655" i="4" l="1"/>
  <c r="AM655" i="4" s="1"/>
  <c r="J656" i="4"/>
  <c r="C656" i="4"/>
  <c r="I656" i="4"/>
  <c r="F656" i="4"/>
  <c r="B656" i="4"/>
  <c r="D656" i="4"/>
  <c r="G656" i="4"/>
  <c r="E656" i="4"/>
  <c r="H656" i="4"/>
  <c r="AF656" i="4" l="1"/>
  <c r="AG656" i="4" s="1"/>
  <c r="R656" i="4"/>
  <c r="S656" i="4" s="1"/>
  <c r="V656" i="4" s="1"/>
  <c r="W656" i="4" s="1"/>
  <c r="X656" i="4" s="1"/>
  <c r="K656" i="4"/>
  <c r="L656" i="4" s="1"/>
  <c r="O656" i="4" s="1"/>
  <c r="P656" i="4" s="1"/>
  <c r="Q656" i="4" s="1"/>
  <c r="Y656" i="4"/>
  <c r="Z656" i="4" s="1"/>
  <c r="M656" i="4"/>
  <c r="N656" i="4" s="1"/>
  <c r="AA656" i="4"/>
  <c r="AB656" i="4" s="1"/>
  <c r="T656" i="4"/>
  <c r="U656" i="4" s="1"/>
  <c r="AH656" i="4"/>
  <c r="AI656" i="4" s="1"/>
  <c r="AC656" i="4" l="1"/>
  <c r="AD656" i="4" s="1"/>
  <c r="AE656" i="4" s="1"/>
  <c r="AJ656" i="4"/>
  <c r="AK656" i="4" s="1"/>
  <c r="AL656" i="4" s="1"/>
  <c r="AM656" i="4" s="1"/>
  <c r="B657" i="4"/>
  <c r="C657" i="4"/>
  <c r="H657" i="4" l="1"/>
  <c r="F657" i="4"/>
  <c r="I657" i="4"/>
  <c r="J657" i="4"/>
  <c r="E657" i="4"/>
  <c r="G657" i="4"/>
  <c r="D657" i="4"/>
  <c r="AF657" i="4" l="1"/>
  <c r="AG657" i="4" s="1"/>
  <c r="AH657" i="4"/>
  <c r="AI657" i="4" s="1"/>
  <c r="AA657" i="4"/>
  <c r="AB657" i="4" s="1"/>
  <c r="M657" i="4"/>
  <c r="N657" i="4" s="1"/>
  <c r="T657" i="4"/>
  <c r="U657" i="4" s="1"/>
  <c r="Y657" i="4"/>
  <c r="Z657" i="4" s="1"/>
  <c r="R657" i="4"/>
  <c r="S657" i="4" s="1"/>
  <c r="K657" i="4"/>
  <c r="L657" i="4" s="1"/>
  <c r="O657" i="4" s="1"/>
  <c r="P657" i="4" s="1"/>
  <c r="V657" i="4" l="1"/>
  <c r="W657" i="4" s="1"/>
  <c r="D658" i="4"/>
  <c r="Q657" i="4"/>
  <c r="C658" i="4"/>
  <c r="B658" i="4"/>
  <c r="AJ657" i="4"/>
  <c r="AK657" i="4" s="1"/>
  <c r="AL657" i="4" s="1"/>
  <c r="AC657" i="4"/>
  <c r="AD657" i="4" s="1"/>
  <c r="AE657" i="4" s="1"/>
  <c r="F658" i="4"/>
  <c r="K658" i="4" l="1"/>
  <c r="L658" i="4" s="1"/>
  <c r="Y658" i="4"/>
  <c r="Z658" i="4" s="1"/>
  <c r="AF658" i="4"/>
  <c r="AG658" i="4" s="1"/>
  <c r="R658" i="4"/>
  <c r="S658" i="4" s="1"/>
  <c r="AM657" i="4"/>
  <c r="X657" i="4"/>
  <c r="J658" i="4"/>
  <c r="G658" i="4"/>
  <c r="E658" i="4"/>
  <c r="I658" i="4"/>
  <c r="H658" i="4"/>
  <c r="T658" i="4" l="1"/>
  <c r="U658" i="4" s="1"/>
  <c r="V658" i="4" s="1"/>
  <c r="W658" i="4" s="1"/>
  <c r="X658" i="4" s="1"/>
  <c r="AA658" i="4"/>
  <c r="AB658" i="4" s="1"/>
  <c r="AC658" i="4" s="1"/>
  <c r="AD658" i="4" s="1"/>
  <c r="AE658" i="4" s="1"/>
  <c r="M658" i="4"/>
  <c r="N658" i="4" s="1"/>
  <c r="O658" i="4" s="1"/>
  <c r="P658" i="4" s="1"/>
  <c r="AH658" i="4"/>
  <c r="AI658" i="4" s="1"/>
  <c r="AJ658" i="4" s="1"/>
  <c r="AK658" i="4" s="1"/>
  <c r="AL658" i="4" s="1"/>
  <c r="Q658" i="4" l="1"/>
  <c r="AM658" i="4" s="1"/>
  <c r="B659" i="4"/>
  <c r="F659" i="4"/>
  <c r="D659" i="4"/>
  <c r="C659" i="4"/>
  <c r="H659" i="4"/>
  <c r="I659" i="4"/>
  <c r="G659" i="4"/>
  <c r="J659" i="4"/>
  <c r="E659" i="4"/>
  <c r="M659" i="4" l="1"/>
  <c r="N659" i="4" s="1"/>
  <c r="AA659" i="4"/>
  <c r="AB659" i="4" s="1"/>
  <c r="AH659" i="4"/>
  <c r="AI659" i="4" s="1"/>
  <c r="T659" i="4"/>
  <c r="U659" i="4" s="1"/>
  <c r="K659" i="4"/>
  <c r="L659" i="4" s="1"/>
  <c r="O659" i="4" s="1"/>
  <c r="P659" i="4" s="1"/>
  <c r="Q659" i="4" s="1"/>
  <c r="AF659" i="4"/>
  <c r="AG659" i="4" s="1"/>
  <c r="Y659" i="4"/>
  <c r="Z659" i="4" s="1"/>
  <c r="AC659" i="4" s="1"/>
  <c r="AD659" i="4" s="1"/>
  <c r="AE659" i="4" s="1"/>
  <c r="R659" i="4"/>
  <c r="S659" i="4" s="1"/>
  <c r="V659" i="4" s="1"/>
  <c r="W659" i="4" s="1"/>
  <c r="X659" i="4" s="1"/>
  <c r="AJ659" i="4" l="1"/>
  <c r="AK659" i="4" s="1"/>
  <c r="AL659" i="4" s="1"/>
  <c r="E660" i="4"/>
  <c r="AM659" i="4"/>
  <c r="F660" i="4"/>
  <c r="D660" i="4"/>
  <c r="C660" i="4"/>
  <c r="H660" i="4"/>
  <c r="J660" i="4"/>
  <c r="I660" i="4"/>
  <c r="G660" i="4"/>
  <c r="M660" i="4" l="1"/>
  <c r="N660" i="4" s="1"/>
  <c r="AA660" i="4"/>
  <c r="AB660" i="4" s="1"/>
  <c r="AH660" i="4"/>
  <c r="AI660" i="4" s="1"/>
  <c r="T660" i="4"/>
  <c r="U660" i="4" s="1"/>
  <c r="B660" i="4"/>
  <c r="AF660" i="4" l="1"/>
  <c r="AG660" i="4" s="1"/>
  <c r="AJ660" i="4" s="1"/>
  <c r="AK660" i="4" s="1"/>
  <c r="AL660" i="4" s="1"/>
  <c r="K660" i="4"/>
  <c r="L660" i="4" s="1"/>
  <c r="O660" i="4" s="1"/>
  <c r="P660" i="4" s="1"/>
  <c r="Y660" i="4"/>
  <c r="Z660" i="4" s="1"/>
  <c r="AC660" i="4" s="1"/>
  <c r="AD660" i="4" s="1"/>
  <c r="AE660" i="4" s="1"/>
  <c r="R660" i="4"/>
  <c r="S660" i="4" s="1"/>
  <c r="V660" i="4" s="1"/>
  <c r="W660" i="4" s="1"/>
  <c r="X660" i="4" s="1"/>
  <c r="Q660" i="4" l="1"/>
  <c r="AM660" i="4" s="1"/>
  <c r="C661" i="4"/>
  <c r="I661" i="4"/>
  <c r="D661" i="4"/>
  <c r="G661" i="4"/>
  <c r="H661" i="4"/>
  <c r="F661" i="4"/>
  <c r="J661" i="4"/>
  <c r="E661" i="4"/>
  <c r="B661" i="4"/>
  <c r="R661" i="4" l="1"/>
  <c r="S661" i="4" s="1"/>
  <c r="V661" i="4" s="1"/>
  <c r="W661" i="4" s="1"/>
  <c r="X661" i="4" s="1"/>
  <c r="Y661" i="4"/>
  <c r="Z661" i="4" s="1"/>
  <c r="K661" i="4"/>
  <c r="L661" i="4" s="1"/>
  <c r="AF661" i="4"/>
  <c r="AG661" i="4" s="1"/>
  <c r="AJ661" i="4" s="1"/>
  <c r="AK661" i="4" s="1"/>
  <c r="AL661" i="4" s="1"/>
  <c r="AH661" i="4"/>
  <c r="AI661" i="4" s="1"/>
  <c r="M661" i="4"/>
  <c r="N661" i="4" s="1"/>
  <c r="AA661" i="4"/>
  <c r="AB661" i="4" s="1"/>
  <c r="T661" i="4"/>
  <c r="U661" i="4" s="1"/>
  <c r="O661" i="4" l="1"/>
  <c r="P661" i="4" s="1"/>
  <c r="AC661" i="4"/>
  <c r="AD661" i="4" s="1"/>
  <c r="AE661" i="4" s="1"/>
  <c r="Q661" i="4" l="1"/>
  <c r="AM661" i="4" s="1"/>
  <c r="J662" i="4"/>
  <c r="F662" i="4"/>
  <c r="H662" i="4"/>
  <c r="D662" i="4"/>
  <c r="G662" i="4"/>
  <c r="I662" i="4"/>
  <c r="C662" i="4"/>
  <c r="B662" i="4"/>
  <c r="E662" i="4"/>
  <c r="T662" i="4" l="1"/>
  <c r="U662" i="4" s="1"/>
  <c r="AA662" i="4"/>
  <c r="AB662" i="4" s="1"/>
  <c r="AH662" i="4"/>
  <c r="AI662" i="4" s="1"/>
  <c r="M662" i="4"/>
  <c r="N662" i="4" s="1"/>
  <c r="K662" i="4"/>
  <c r="L662" i="4" s="1"/>
  <c r="O662" i="4" s="1"/>
  <c r="P662" i="4" s="1"/>
  <c r="Q662" i="4" s="1"/>
  <c r="Y662" i="4"/>
  <c r="Z662" i="4" s="1"/>
  <c r="AC662" i="4" s="1"/>
  <c r="AD662" i="4" s="1"/>
  <c r="AE662" i="4" s="1"/>
  <c r="R662" i="4"/>
  <c r="S662" i="4" s="1"/>
  <c r="V662" i="4" s="1"/>
  <c r="W662" i="4" s="1"/>
  <c r="X662" i="4" s="1"/>
  <c r="AF662" i="4"/>
  <c r="AG662" i="4" s="1"/>
  <c r="B663" i="4" l="1"/>
  <c r="D663" i="4"/>
  <c r="AM662" i="4"/>
  <c r="AP77" i="4" s="1"/>
  <c r="I663" i="4"/>
  <c r="J663" i="4"/>
  <c r="F663" i="4"/>
  <c r="G663" i="4"/>
  <c r="AJ662" i="4"/>
  <c r="AK662" i="4" s="1"/>
  <c r="AL662" i="4" s="1"/>
  <c r="E663" i="4"/>
  <c r="C663" i="4"/>
  <c r="M663" i="4" l="1"/>
  <c r="N663" i="4" s="1"/>
  <c r="AA663" i="4"/>
  <c r="AB663" i="4" s="1"/>
  <c r="T663" i="4"/>
  <c r="U663" i="4" s="1"/>
  <c r="AH663" i="4"/>
  <c r="AI663" i="4" s="1"/>
  <c r="K663" i="4"/>
  <c r="L663" i="4" s="1"/>
  <c r="O663" i="4" s="1"/>
  <c r="P663" i="4" s="1"/>
  <c r="Q663" i="4" s="1"/>
  <c r="R663" i="4"/>
  <c r="S663" i="4" s="1"/>
  <c r="V663" i="4" s="1"/>
  <c r="W663" i="4" s="1"/>
  <c r="X663" i="4" s="1"/>
  <c r="AF663" i="4"/>
  <c r="AG663" i="4" s="1"/>
  <c r="AJ663" i="4" s="1"/>
  <c r="AK663" i="4" s="1"/>
  <c r="AL663" i="4" s="1"/>
  <c r="Y663" i="4"/>
  <c r="Z663" i="4" s="1"/>
  <c r="AC663" i="4" s="1"/>
  <c r="AD663" i="4" s="1"/>
  <c r="AE663" i="4" s="1"/>
  <c r="H663" i="4"/>
  <c r="E664" i="4" l="1"/>
  <c r="D664" i="4"/>
  <c r="B664" i="4"/>
  <c r="I664" i="4"/>
  <c r="G664" i="4"/>
  <c r="J664" i="4"/>
  <c r="AM663" i="4"/>
  <c r="C664" i="4"/>
  <c r="H664" i="4"/>
  <c r="F664" i="4"/>
  <c r="AF664" i="4" l="1"/>
  <c r="AG664" i="4" s="1"/>
  <c r="R664" i="4"/>
  <c r="S664" i="4" s="1"/>
  <c r="Y664" i="4"/>
  <c r="Z664" i="4" s="1"/>
  <c r="AC664" i="4" s="1"/>
  <c r="AD664" i="4" s="1"/>
  <c r="AE664" i="4" s="1"/>
  <c r="K664" i="4"/>
  <c r="L664" i="4" s="1"/>
  <c r="M664" i="4"/>
  <c r="N664" i="4" s="1"/>
  <c r="T664" i="4"/>
  <c r="U664" i="4" s="1"/>
  <c r="AH664" i="4"/>
  <c r="AI664" i="4" s="1"/>
  <c r="AA664" i="4"/>
  <c r="AB664" i="4" s="1"/>
  <c r="O664" i="4" l="1"/>
  <c r="P664" i="4" s="1"/>
  <c r="V664" i="4"/>
  <c r="W664" i="4" s="1"/>
  <c r="X664" i="4" s="1"/>
  <c r="AJ664" i="4"/>
  <c r="AK664" i="4" s="1"/>
  <c r="AL664" i="4" s="1"/>
  <c r="Q664" i="4" l="1"/>
  <c r="AM664" i="4" s="1"/>
  <c r="B665" i="4"/>
  <c r="D665" i="4"/>
  <c r="I665" i="4"/>
  <c r="E665" i="4"/>
  <c r="G665" i="4"/>
  <c r="H665" i="4"/>
  <c r="C665" i="4"/>
  <c r="J665" i="4"/>
  <c r="F665" i="4"/>
  <c r="R665" i="4" l="1"/>
  <c r="S665" i="4" s="1"/>
  <c r="V665" i="4" s="1"/>
  <c r="W665" i="4" s="1"/>
  <c r="X665" i="4" s="1"/>
  <c r="Y665" i="4"/>
  <c r="Z665" i="4" s="1"/>
  <c r="AC665" i="4" s="1"/>
  <c r="AD665" i="4" s="1"/>
  <c r="AE665" i="4" s="1"/>
  <c r="AF665" i="4"/>
  <c r="AG665" i="4" s="1"/>
  <c r="K665" i="4"/>
  <c r="L665" i="4" s="1"/>
  <c r="AH665" i="4"/>
  <c r="AI665" i="4" s="1"/>
  <c r="AA665" i="4"/>
  <c r="AB665" i="4" s="1"/>
  <c r="T665" i="4"/>
  <c r="U665" i="4" s="1"/>
  <c r="M665" i="4"/>
  <c r="N665" i="4" s="1"/>
  <c r="O665" i="4" l="1"/>
  <c r="P665" i="4" s="1"/>
  <c r="AJ665" i="4"/>
  <c r="AK665" i="4" s="1"/>
  <c r="AL665" i="4" s="1"/>
  <c r="Q665" i="4" l="1"/>
  <c r="AM665" i="4" s="1"/>
  <c r="C666" i="4"/>
  <c r="J666" i="4"/>
  <c r="I666" i="4"/>
  <c r="E666" i="4"/>
  <c r="F666" i="4"/>
  <c r="B666" i="4"/>
  <c r="D666" i="4"/>
  <c r="H666" i="4"/>
  <c r="G666" i="4"/>
  <c r="K666" i="4" l="1"/>
  <c r="L666" i="4" s="1"/>
  <c r="Y666" i="4"/>
  <c r="Z666" i="4" s="1"/>
  <c r="R666" i="4"/>
  <c r="S666" i="4" s="1"/>
  <c r="V666" i="4" s="1"/>
  <c r="W666" i="4" s="1"/>
  <c r="X666" i="4" s="1"/>
  <c r="AF666" i="4"/>
  <c r="AG666" i="4" s="1"/>
  <c r="T666" i="4"/>
  <c r="U666" i="4" s="1"/>
  <c r="AA666" i="4"/>
  <c r="AB666" i="4" s="1"/>
  <c r="M666" i="4"/>
  <c r="N666" i="4" s="1"/>
  <c r="AH666" i="4"/>
  <c r="AI666" i="4" s="1"/>
  <c r="AJ666" i="4" l="1"/>
  <c r="AK666" i="4" s="1"/>
  <c r="AL666" i="4" s="1"/>
  <c r="AC666" i="4"/>
  <c r="AD666" i="4" s="1"/>
  <c r="AE666" i="4" s="1"/>
  <c r="O666" i="4"/>
  <c r="P666" i="4" s="1"/>
  <c r="Q666" i="4" l="1"/>
  <c r="AM666" i="4" s="1"/>
  <c r="D667" i="4"/>
  <c r="J667" i="4"/>
  <c r="H667" i="4"/>
  <c r="C667" i="4"/>
  <c r="E667" i="4"/>
  <c r="B667" i="4"/>
  <c r="F667" i="4"/>
  <c r="G667" i="4"/>
  <c r="I667" i="4"/>
  <c r="K667" i="4" l="1"/>
  <c r="L667" i="4" s="1"/>
  <c r="AF667" i="4"/>
  <c r="AG667" i="4" s="1"/>
  <c r="AJ667" i="4" s="1"/>
  <c r="AK667" i="4" s="1"/>
  <c r="AL667" i="4" s="1"/>
  <c r="R667" i="4"/>
  <c r="S667" i="4" s="1"/>
  <c r="V667" i="4" s="1"/>
  <c r="W667" i="4" s="1"/>
  <c r="X667" i="4" s="1"/>
  <c r="Y667" i="4"/>
  <c r="Z667" i="4" s="1"/>
  <c r="AC667" i="4" s="1"/>
  <c r="AD667" i="4" s="1"/>
  <c r="AE667" i="4" s="1"/>
  <c r="M667" i="4"/>
  <c r="N667" i="4" s="1"/>
  <c r="AA667" i="4"/>
  <c r="AB667" i="4" s="1"/>
  <c r="AH667" i="4"/>
  <c r="AI667" i="4" s="1"/>
  <c r="T667" i="4"/>
  <c r="U667" i="4" s="1"/>
  <c r="O667" i="4" l="1"/>
  <c r="P667" i="4" s="1"/>
  <c r="Q667" i="4" l="1"/>
  <c r="AM667" i="4" s="1"/>
  <c r="F668" i="4"/>
  <c r="G668" i="4"/>
  <c r="H668" i="4"/>
  <c r="D668" i="4"/>
  <c r="B668" i="4"/>
  <c r="C668" i="4"/>
  <c r="J668" i="4"/>
  <c r="E668" i="4"/>
  <c r="I668" i="4"/>
  <c r="AF668" i="4" l="1"/>
  <c r="AG668" i="4" s="1"/>
  <c r="R668" i="4"/>
  <c r="S668" i="4" s="1"/>
  <c r="V668" i="4" s="1"/>
  <c r="W668" i="4" s="1"/>
  <c r="X668" i="4" s="1"/>
  <c r="K668" i="4"/>
  <c r="L668" i="4" s="1"/>
  <c r="O668" i="4" s="1"/>
  <c r="P668" i="4" s="1"/>
  <c r="Q668" i="4" s="1"/>
  <c r="Y668" i="4"/>
  <c r="Z668" i="4" s="1"/>
  <c r="M668" i="4"/>
  <c r="N668" i="4" s="1"/>
  <c r="AH668" i="4"/>
  <c r="AI668" i="4" s="1"/>
  <c r="AA668" i="4"/>
  <c r="AB668" i="4" s="1"/>
  <c r="T668" i="4"/>
  <c r="U668" i="4" s="1"/>
  <c r="AC668" i="4" l="1"/>
  <c r="AD668" i="4" s="1"/>
  <c r="E669" i="4" s="1"/>
  <c r="AJ668" i="4"/>
  <c r="AK668" i="4" s="1"/>
  <c r="AL668" i="4" s="1"/>
  <c r="D669" i="4"/>
  <c r="F669" i="4"/>
  <c r="B669" i="4" l="1"/>
  <c r="C669" i="4"/>
  <c r="I669" i="4"/>
  <c r="G669" i="4"/>
  <c r="M669" i="4" s="1"/>
  <c r="N669" i="4" s="1"/>
  <c r="J669" i="4"/>
  <c r="AE668" i="4"/>
  <c r="AM668" i="4" s="1"/>
  <c r="H669" i="4"/>
  <c r="R669" i="4" l="1"/>
  <c r="S669" i="4" s="1"/>
  <c r="Y669" i="4"/>
  <c r="Z669" i="4" s="1"/>
  <c r="AF669" i="4"/>
  <c r="AG669" i="4" s="1"/>
  <c r="K669" i="4"/>
  <c r="L669" i="4" s="1"/>
  <c r="O669" i="4" s="1"/>
  <c r="P669" i="4" s="1"/>
  <c r="AA669" i="4"/>
  <c r="AB669" i="4" s="1"/>
  <c r="T669" i="4"/>
  <c r="U669" i="4" s="1"/>
  <c r="AH669" i="4"/>
  <c r="AI669" i="4" s="1"/>
  <c r="AJ669" i="4" l="1"/>
  <c r="AK669" i="4" s="1"/>
  <c r="AL669" i="4" s="1"/>
  <c r="AC669" i="4"/>
  <c r="AD669" i="4" s="1"/>
  <c r="AE669" i="4" s="1"/>
  <c r="Q669" i="4"/>
  <c r="V669" i="4"/>
  <c r="W669" i="4" s="1"/>
  <c r="X669" i="4" s="1"/>
  <c r="I670" i="4" l="1"/>
  <c r="AM669" i="4"/>
  <c r="C670" i="4"/>
  <c r="J670" i="4"/>
  <c r="G670" i="4"/>
  <c r="F670" i="4"/>
  <c r="H670" i="4"/>
  <c r="E670" i="4"/>
  <c r="D670" i="4"/>
  <c r="B670" i="4"/>
  <c r="T670" i="4" l="1"/>
  <c r="U670" i="4" s="1"/>
  <c r="AA670" i="4"/>
  <c r="AB670" i="4" s="1"/>
  <c r="AH670" i="4"/>
  <c r="AI670" i="4" s="1"/>
  <c r="M670" i="4"/>
  <c r="N670" i="4" s="1"/>
  <c r="K670" i="4"/>
  <c r="L670" i="4" s="1"/>
  <c r="Y670" i="4"/>
  <c r="Z670" i="4" s="1"/>
  <c r="AF670" i="4"/>
  <c r="AG670" i="4" s="1"/>
  <c r="R670" i="4"/>
  <c r="S670" i="4" s="1"/>
  <c r="V670" i="4" s="1"/>
  <c r="W670" i="4" s="1"/>
  <c r="X670" i="4" s="1"/>
  <c r="AJ670" i="4" l="1"/>
  <c r="AK670" i="4" s="1"/>
  <c r="AL670" i="4" s="1"/>
  <c r="AC670" i="4"/>
  <c r="AD670" i="4" s="1"/>
  <c r="AE670" i="4" s="1"/>
  <c r="O670" i="4"/>
  <c r="P670" i="4" s="1"/>
  <c r="Q670" i="4" l="1"/>
  <c r="AM670" i="4" s="1"/>
  <c r="I671" i="4"/>
  <c r="E671" i="4"/>
  <c r="F671" i="4"/>
  <c r="G671" i="4"/>
  <c r="J671" i="4"/>
  <c r="C671" i="4"/>
  <c r="D671" i="4"/>
  <c r="B671" i="4"/>
  <c r="H671" i="4"/>
  <c r="M671" i="4" l="1"/>
  <c r="N671" i="4" s="1"/>
  <c r="AA671" i="4"/>
  <c r="AB671" i="4" s="1"/>
  <c r="T671" i="4"/>
  <c r="U671" i="4" s="1"/>
  <c r="AH671" i="4"/>
  <c r="AI671" i="4" s="1"/>
  <c r="K671" i="4"/>
  <c r="L671" i="4" s="1"/>
  <c r="O671" i="4" s="1"/>
  <c r="P671" i="4" s="1"/>
  <c r="Q671" i="4" s="1"/>
  <c r="AF671" i="4"/>
  <c r="AG671" i="4" s="1"/>
  <c r="AJ671" i="4" s="1"/>
  <c r="AK671" i="4" s="1"/>
  <c r="AL671" i="4" s="1"/>
  <c r="R671" i="4"/>
  <c r="S671" i="4" s="1"/>
  <c r="V671" i="4" s="1"/>
  <c r="W671" i="4" s="1"/>
  <c r="X671" i="4" s="1"/>
  <c r="Y671" i="4"/>
  <c r="Z671" i="4" s="1"/>
  <c r="AM671" i="4" l="1"/>
  <c r="E672" i="4"/>
  <c r="H672" i="4"/>
  <c r="F672" i="4"/>
  <c r="J672" i="4"/>
  <c r="C672" i="4"/>
  <c r="G672" i="4"/>
  <c r="AC671" i="4"/>
  <c r="AD671" i="4" s="1"/>
  <c r="AE671" i="4" s="1"/>
  <c r="I672" i="4"/>
  <c r="D672" i="4"/>
  <c r="M672" i="4" l="1"/>
  <c r="N672" i="4" s="1"/>
  <c r="AH672" i="4"/>
  <c r="AI672" i="4" s="1"/>
  <c r="T672" i="4"/>
  <c r="U672" i="4" s="1"/>
  <c r="AA672" i="4"/>
  <c r="AB672" i="4" s="1"/>
  <c r="B672" i="4"/>
  <c r="AF672" i="4" l="1"/>
  <c r="AG672" i="4" s="1"/>
  <c r="AJ672" i="4" s="1"/>
  <c r="AK672" i="4" s="1"/>
  <c r="AL672" i="4" s="1"/>
  <c r="Y672" i="4"/>
  <c r="Z672" i="4" s="1"/>
  <c r="AC672" i="4" s="1"/>
  <c r="AD672" i="4" s="1"/>
  <c r="AE672" i="4" s="1"/>
  <c r="R672" i="4"/>
  <c r="S672" i="4" s="1"/>
  <c r="V672" i="4" s="1"/>
  <c r="W672" i="4" s="1"/>
  <c r="X672" i="4" s="1"/>
  <c r="K672" i="4"/>
  <c r="L672" i="4" s="1"/>
  <c r="O672" i="4" s="1"/>
  <c r="P672" i="4" s="1"/>
  <c r="Q672" i="4" l="1"/>
  <c r="AM672" i="4" s="1"/>
  <c r="AP78" i="4" s="1"/>
  <c r="G673" i="4"/>
  <c r="E673" i="4"/>
  <c r="C673" i="4"/>
  <c r="F673" i="4"/>
  <c r="J673" i="4"/>
  <c r="D673" i="4"/>
  <c r="H673" i="4"/>
  <c r="I673" i="4"/>
  <c r="B673" i="4"/>
  <c r="AH673" i="4" l="1"/>
  <c r="AI673" i="4" s="1"/>
  <c r="T673" i="4"/>
  <c r="U673" i="4" s="1"/>
  <c r="AA673" i="4"/>
  <c r="AB673" i="4" s="1"/>
  <c r="M673" i="4"/>
  <c r="N673" i="4" s="1"/>
  <c r="R673" i="4"/>
  <c r="S673" i="4" s="1"/>
  <c r="Y673" i="4"/>
  <c r="Z673" i="4" s="1"/>
  <c r="AF673" i="4"/>
  <c r="AG673" i="4" s="1"/>
  <c r="AJ673" i="4" s="1"/>
  <c r="AK673" i="4" s="1"/>
  <c r="AL673" i="4" s="1"/>
  <c r="K673" i="4"/>
  <c r="L673" i="4" s="1"/>
  <c r="O673" i="4" l="1"/>
  <c r="P673" i="4" s="1"/>
  <c r="AC673" i="4"/>
  <c r="AD673" i="4" s="1"/>
  <c r="AE673" i="4" s="1"/>
  <c r="V673" i="4"/>
  <c r="W673" i="4" s="1"/>
  <c r="X673" i="4" s="1"/>
  <c r="Q673" i="4" l="1"/>
  <c r="AM673" i="4" s="1"/>
  <c r="J674" i="4"/>
  <c r="D674" i="4"/>
  <c r="I674" i="4"/>
  <c r="H674" i="4"/>
  <c r="C674" i="4"/>
  <c r="F674" i="4"/>
  <c r="B674" i="4"/>
  <c r="E674" i="4"/>
  <c r="G674" i="4"/>
  <c r="K674" i="4" l="1"/>
  <c r="L674" i="4" s="1"/>
  <c r="Y674" i="4"/>
  <c r="Z674" i="4" s="1"/>
  <c r="AF674" i="4"/>
  <c r="AG674" i="4" s="1"/>
  <c r="R674" i="4"/>
  <c r="S674" i="4" s="1"/>
  <c r="T674" i="4"/>
  <c r="U674" i="4" s="1"/>
  <c r="AA674" i="4"/>
  <c r="AB674" i="4" s="1"/>
  <c r="AH674" i="4"/>
  <c r="AI674" i="4" s="1"/>
  <c r="M674" i="4"/>
  <c r="N674" i="4" s="1"/>
  <c r="V674" i="4" l="1"/>
  <c r="W674" i="4" s="1"/>
  <c r="X674" i="4" s="1"/>
  <c r="AJ674" i="4"/>
  <c r="AK674" i="4" s="1"/>
  <c r="AL674" i="4" s="1"/>
  <c r="AC674" i="4"/>
  <c r="AD674" i="4" s="1"/>
  <c r="AE674" i="4" s="1"/>
  <c r="O674" i="4"/>
  <c r="P674" i="4" s="1"/>
  <c r="Q674" i="4" l="1"/>
  <c r="AM674" i="4" s="1"/>
  <c r="C675" i="4"/>
  <c r="I675" i="4"/>
  <c r="G675" i="4"/>
  <c r="B675" i="4"/>
  <c r="J675" i="4"/>
  <c r="H675" i="4"/>
  <c r="E675" i="4"/>
  <c r="F675" i="4"/>
  <c r="D675" i="4"/>
  <c r="M675" i="4" l="1"/>
  <c r="N675" i="4" s="1"/>
  <c r="AA675" i="4"/>
  <c r="AB675" i="4" s="1"/>
  <c r="AH675" i="4"/>
  <c r="AI675" i="4" s="1"/>
  <c r="T675" i="4"/>
  <c r="U675" i="4" s="1"/>
  <c r="K675" i="4"/>
  <c r="L675" i="4" s="1"/>
  <c r="O675" i="4" s="1"/>
  <c r="P675" i="4" s="1"/>
  <c r="Q675" i="4" s="1"/>
  <c r="AF675" i="4"/>
  <c r="AG675" i="4" s="1"/>
  <c r="Y675" i="4"/>
  <c r="Z675" i="4" s="1"/>
  <c r="R675" i="4"/>
  <c r="S675" i="4" s="1"/>
  <c r="I676" i="4" l="1"/>
  <c r="B676" i="4"/>
  <c r="V675" i="4"/>
  <c r="W675" i="4" s="1"/>
  <c r="X675" i="4" s="1"/>
  <c r="AC675" i="4"/>
  <c r="AD675" i="4" s="1"/>
  <c r="AE675" i="4" s="1"/>
  <c r="AJ675" i="4"/>
  <c r="AK675" i="4" s="1"/>
  <c r="AL675" i="4" s="1"/>
  <c r="AM675" i="4" s="1"/>
  <c r="H676" i="4" l="1"/>
  <c r="C676" i="4"/>
  <c r="F676" i="4"/>
  <c r="J676" i="4"/>
  <c r="E676" i="4"/>
  <c r="G676" i="4"/>
  <c r="D676" i="4"/>
  <c r="Y676" i="4" l="1"/>
  <c r="Z676" i="4" s="1"/>
  <c r="AC676" i="4" s="1"/>
  <c r="AD676" i="4" s="1"/>
  <c r="AE676" i="4" s="1"/>
  <c r="M676" i="4"/>
  <c r="N676" i="4" s="1"/>
  <c r="AH676" i="4"/>
  <c r="AI676" i="4" s="1"/>
  <c r="T676" i="4"/>
  <c r="U676" i="4" s="1"/>
  <c r="AA676" i="4"/>
  <c r="AB676" i="4" s="1"/>
  <c r="R676" i="4"/>
  <c r="S676" i="4" s="1"/>
  <c r="AF676" i="4"/>
  <c r="AG676" i="4" s="1"/>
  <c r="K676" i="4"/>
  <c r="L676" i="4" s="1"/>
  <c r="O676" i="4" s="1"/>
  <c r="P676" i="4" s="1"/>
  <c r="Q676" i="4" l="1"/>
  <c r="V676" i="4"/>
  <c r="W676" i="4" s="1"/>
  <c r="H677" i="4"/>
  <c r="AJ676" i="4"/>
  <c r="AK676" i="4" s="1"/>
  <c r="AL676" i="4" s="1"/>
  <c r="X676" i="4" l="1"/>
  <c r="E677" i="4"/>
  <c r="D677" i="4"/>
  <c r="G677" i="4"/>
  <c r="F677" i="4"/>
  <c r="C677" i="4"/>
  <c r="I677" i="4"/>
  <c r="J677" i="4"/>
  <c r="B677" i="4"/>
  <c r="AM676" i="4"/>
  <c r="R677" i="4" l="1"/>
  <c r="S677" i="4" s="1"/>
  <c r="Y677" i="4"/>
  <c r="Z677" i="4" s="1"/>
  <c r="K677" i="4"/>
  <c r="L677" i="4" s="1"/>
  <c r="O677" i="4" s="1"/>
  <c r="P677" i="4" s="1"/>
  <c r="AF677" i="4"/>
  <c r="AG677" i="4" s="1"/>
  <c r="AJ677" i="4" s="1"/>
  <c r="AK677" i="4" s="1"/>
  <c r="AL677" i="4" s="1"/>
  <c r="AH677" i="4"/>
  <c r="AI677" i="4" s="1"/>
  <c r="AA677" i="4"/>
  <c r="AB677" i="4" s="1"/>
  <c r="T677" i="4"/>
  <c r="U677" i="4" s="1"/>
  <c r="M677" i="4"/>
  <c r="N677" i="4" s="1"/>
  <c r="Q677" i="4" l="1"/>
  <c r="AC677" i="4"/>
  <c r="AD677" i="4" s="1"/>
  <c r="AE677" i="4" s="1"/>
  <c r="V677" i="4"/>
  <c r="W677" i="4" s="1"/>
  <c r="X677" i="4" s="1"/>
  <c r="E678" i="4"/>
  <c r="D678" i="4"/>
  <c r="I678" i="4"/>
  <c r="G678" i="4"/>
  <c r="C678" i="4"/>
  <c r="B678" i="4" l="1"/>
  <c r="J678" i="4"/>
  <c r="H678" i="4"/>
  <c r="F678" i="4"/>
  <c r="M678" i="4" s="1"/>
  <c r="N678" i="4" s="1"/>
  <c r="AM677" i="4"/>
  <c r="AH678" i="4" l="1"/>
  <c r="AI678" i="4" s="1"/>
  <c r="AA678" i="4"/>
  <c r="AB678" i="4" s="1"/>
  <c r="K678" i="4"/>
  <c r="L678" i="4" s="1"/>
  <c r="O678" i="4" s="1"/>
  <c r="P678" i="4" s="1"/>
  <c r="Y678" i="4"/>
  <c r="Z678" i="4" s="1"/>
  <c r="AF678" i="4"/>
  <c r="AG678" i="4" s="1"/>
  <c r="AJ678" i="4" s="1"/>
  <c r="AK678" i="4" s="1"/>
  <c r="AL678" i="4" s="1"/>
  <c r="R678" i="4"/>
  <c r="S678" i="4" s="1"/>
  <c r="V678" i="4" s="1"/>
  <c r="W678" i="4" s="1"/>
  <c r="X678" i="4" s="1"/>
  <c r="T678" i="4"/>
  <c r="U678" i="4" s="1"/>
  <c r="AC678" i="4" l="1"/>
  <c r="AD678" i="4" s="1"/>
  <c r="Q678" i="4"/>
  <c r="I679" i="4"/>
  <c r="C679" i="4"/>
  <c r="E679" i="4"/>
  <c r="G679" i="4"/>
  <c r="D679" i="4"/>
  <c r="J679" i="4"/>
  <c r="F679" i="4"/>
  <c r="M679" i="4" l="1"/>
  <c r="N679" i="4" s="1"/>
  <c r="AA679" i="4"/>
  <c r="AB679" i="4" s="1"/>
  <c r="AH679" i="4"/>
  <c r="AI679" i="4" s="1"/>
  <c r="T679" i="4"/>
  <c r="U679" i="4" s="1"/>
  <c r="AE678" i="4"/>
  <c r="B679" i="4"/>
  <c r="AM678" i="4"/>
  <c r="H679" i="4"/>
  <c r="K679" i="4" l="1"/>
  <c r="L679" i="4" s="1"/>
  <c r="O679" i="4" s="1"/>
  <c r="P679" i="4" s="1"/>
  <c r="AF679" i="4"/>
  <c r="AG679" i="4" s="1"/>
  <c r="AJ679" i="4" s="1"/>
  <c r="AK679" i="4" s="1"/>
  <c r="AL679" i="4" s="1"/>
  <c r="R679" i="4"/>
  <c r="S679" i="4" s="1"/>
  <c r="V679" i="4" s="1"/>
  <c r="W679" i="4" s="1"/>
  <c r="X679" i="4" s="1"/>
  <c r="Y679" i="4"/>
  <c r="Z679" i="4" s="1"/>
  <c r="AC679" i="4" s="1"/>
  <c r="AD679" i="4" s="1"/>
  <c r="AE679" i="4" s="1"/>
  <c r="B680" i="4" l="1"/>
  <c r="Q679" i="4"/>
  <c r="AM679" i="4" s="1"/>
  <c r="G680" i="4"/>
  <c r="F680" i="4"/>
  <c r="E680" i="4"/>
  <c r="C680" i="4"/>
  <c r="I680" i="4"/>
  <c r="J680" i="4"/>
  <c r="D680" i="4"/>
  <c r="H680" i="4"/>
  <c r="M680" i="4" l="1"/>
  <c r="N680" i="4" s="1"/>
  <c r="AH680" i="4"/>
  <c r="AI680" i="4" s="1"/>
  <c r="T680" i="4"/>
  <c r="U680" i="4" s="1"/>
  <c r="AA680" i="4"/>
  <c r="AB680" i="4" s="1"/>
  <c r="AF680" i="4"/>
  <c r="AG680" i="4" s="1"/>
  <c r="AJ680" i="4" s="1"/>
  <c r="AK680" i="4" s="1"/>
  <c r="AL680" i="4" s="1"/>
  <c r="Y680" i="4"/>
  <c r="Z680" i="4" s="1"/>
  <c r="AC680" i="4" s="1"/>
  <c r="AD680" i="4" s="1"/>
  <c r="AE680" i="4" s="1"/>
  <c r="K680" i="4"/>
  <c r="L680" i="4" s="1"/>
  <c r="O680" i="4" s="1"/>
  <c r="P680" i="4" s="1"/>
  <c r="Q680" i="4" s="1"/>
  <c r="R680" i="4"/>
  <c r="S680" i="4" s="1"/>
  <c r="E681" i="4" l="1"/>
  <c r="G681" i="4"/>
  <c r="J681" i="4"/>
  <c r="C681" i="4"/>
  <c r="F681" i="4"/>
  <c r="AM680" i="4"/>
  <c r="B681" i="4"/>
  <c r="V680" i="4"/>
  <c r="W680" i="4" s="1"/>
  <c r="X680" i="4" s="1"/>
  <c r="H681" i="4"/>
  <c r="I681" i="4"/>
  <c r="R681" i="4" l="1"/>
  <c r="S681" i="4" s="1"/>
  <c r="Y681" i="4"/>
  <c r="Z681" i="4" s="1"/>
  <c r="K681" i="4"/>
  <c r="L681" i="4" s="1"/>
  <c r="AF681" i="4"/>
  <c r="AG681" i="4" s="1"/>
  <c r="AJ681" i="4" s="1"/>
  <c r="AK681" i="4" s="1"/>
  <c r="AL681" i="4" s="1"/>
  <c r="AH681" i="4"/>
  <c r="AI681" i="4" s="1"/>
  <c r="T681" i="4"/>
  <c r="U681" i="4" s="1"/>
  <c r="AA681" i="4"/>
  <c r="AB681" i="4" s="1"/>
  <c r="M681" i="4"/>
  <c r="N681" i="4" s="1"/>
  <c r="D681" i="4"/>
  <c r="O681" i="4" l="1"/>
  <c r="P681" i="4" s="1"/>
  <c r="AC681" i="4"/>
  <c r="AD681" i="4" s="1"/>
  <c r="AE681" i="4" s="1"/>
  <c r="V681" i="4"/>
  <c r="W681" i="4" s="1"/>
  <c r="X681" i="4" s="1"/>
  <c r="D682" i="4"/>
  <c r="Q681" i="4" l="1"/>
  <c r="AM681" i="4" s="1"/>
  <c r="C682" i="4"/>
  <c r="J682" i="4"/>
  <c r="F682" i="4"/>
  <c r="I682" i="4"/>
  <c r="G682" i="4"/>
  <c r="H682" i="4"/>
  <c r="E682" i="4"/>
  <c r="B682" i="4"/>
  <c r="K682" i="4" l="1"/>
  <c r="L682" i="4" s="1"/>
  <c r="Y682" i="4"/>
  <c r="Z682" i="4" s="1"/>
  <c r="AF682" i="4"/>
  <c r="AG682" i="4" s="1"/>
  <c r="R682" i="4"/>
  <c r="S682" i="4" s="1"/>
  <c r="V682" i="4" s="1"/>
  <c r="W682" i="4" s="1"/>
  <c r="X682" i="4" s="1"/>
  <c r="T682" i="4"/>
  <c r="U682" i="4" s="1"/>
  <c r="AA682" i="4"/>
  <c r="AB682" i="4" s="1"/>
  <c r="M682" i="4"/>
  <c r="N682" i="4" s="1"/>
  <c r="AH682" i="4"/>
  <c r="AI682" i="4" s="1"/>
  <c r="AC682" i="4" l="1"/>
  <c r="AD682" i="4" s="1"/>
  <c r="AE682" i="4" s="1"/>
  <c r="O682" i="4"/>
  <c r="P682" i="4" s="1"/>
  <c r="AJ682" i="4"/>
  <c r="AK682" i="4" s="1"/>
  <c r="AL682" i="4" s="1"/>
  <c r="Q682" i="4" l="1"/>
  <c r="AM682" i="4" s="1"/>
  <c r="AP79" i="4" s="1"/>
  <c r="D683" i="4"/>
  <c r="G683" i="4"/>
  <c r="B683" i="4"/>
  <c r="F683" i="4"/>
  <c r="H683" i="4"/>
  <c r="I683" i="4"/>
  <c r="J683" i="4"/>
  <c r="C683" i="4"/>
  <c r="E683" i="4"/>
  <c r="K683" i="4" l="1"/>
  <c r="L683" i="4" s="1"/>
  <c r="O683" i="4" s="1"/>
  <c r="P683" i="4" s="1"/>
  <c r="Q683" i="4" s="1"/>
  <c r="Y683" i="4"/>
  <c r="Z683" i="4" s="1"/>
  <c r="AC683" i="4" s="1"/>
  <c r="AD683" i="4" s="1"/>
  <c r="AE683" i="4" s="1"/>
  <c r="AF683" i="4"/>
  <c r="AG683" i="4" s="1"/>
  <c r="AJ683" i="4" s="1"/>
  <c r="AK683" i="4" s="1"/>
  <c r="AL683" i="4" s="1"/>
  <c r="R683" i="4"/>
  <c r="S683" i="4" s="1"/>
  <c r="V683" i="4" s="1"/>
  <c r="W683" i="4" s="1"/>
  <c r="X683" i="4" s="1"/>
  <c r="B684" i="4"/>
  <c r="M683" i="4"/>
  <c r="N683" i="4" s="1"/>
  <c r="AA683" i="4"/>
  <c r="AB683" i="4" s="1"/>
  <c r="AH683" i="4"/>
  <c r="AI683" i="4" s="1"/>
  <c r="T683" i="4"/>
  <c r="U683" i="4" s="1"/>
  <c r="G684" i="4"/>
  <c r="J684" i="4" l="1"/>
  <c r="D684" i="4"/>
  <c r="AM683" i="4"/>
  <c r="F684" i="4"/>
  <c r="E684" i="4"/>
  <c r="H684" i="4"/>
  <c r="C684" i="4"/>
  <c r="I684" i="4"/>
  <c r="R684" i="4" l="1"/>
  <c r="S684" i="4" s="1"/>
  <c r="K684" i="4"/>
  <c r="L684" i="4" s="1"/>
  <c r="O684" i="4" s="1"/>
  <c r="P684" i="4" s="1"/>
  <c r="AF684" i="4"/>
  <c r="AG684" i="4" s="1"/>
  <c r="AJ684" i="4" s="1"/>
  <c r="AK684" i="4" s="1"/>
  <c r="AL684" i="4" s="1"/>
  <c r="M684" i="4"/>
  <c r="N684" i="4" s="1"/>
  <c r="AH684" i="4"/>
  <c r="AI684" i="4" s="1"/>
  <c r="T684" i="4"/>
  <c r="U684" i="4" s="1"/>
  <c r="AA684" i="4"/>
  <c r="AB684" i="4" s="1"/>
  <c r="Y684" i="4"/>
  <c r="Z684" i="4" s="1"/>
  <c r="AC684" i="4" s="1"/>
  <c r="AD684" i="4" s="1"/>
  <c r="AE684" i="4" s="1"/>
  <c r="Q684" i="4" l="1"/>
  <c r="V684" i="4"/>
  <c r="W684" i="4" s="1"/>
  <c r="X684" i="4" s="1"/>
  <c r="I685" i="4" l="1"/>
  <c r="C685" i="4"/>
  <c r="E685" i="4"/>
  <c r="H685" i="4"/>
  <c r="D685" i="4"/>
  <c r="G685" i="4"/>
  <c r="J685" i="4"/>
  <c r="B685" i="4"/>
  <c r="F685" i="4"/>
  <c r="AM684" i="4"/>
  <c r="R685" i="4" l="1"/>
  <c r="S685" i="4" s="1"/>
  <c r="V685" i="4" s="1"/>
  <c r="W685" i="4" s="1"/>
  <c r="X685" i="4" s="1"/>
  <c r="Y685" i="4"/>
  <c r="Z685" i="4" s="1"/>
  <c r="K685" i="4"/>
  <c r="L685" i="4" s="1"/>
  <c r="O685" i="4" s="1"/>
  <c r="P685" i="4" s="1"/>
  <c r="Q685" i="4" s="1"/>
  <c r="AF685" i="4"/>
  <c r="AG685" i="4" s="1"/>
  <c r="AJ685" i="4" s="1"/>
  <c r="AK685" i="4" s="1"/>
  <c r="AL685" i="4" s="1"/>
  <c r="AH685" i="4"/>
  <c r="AI685" i="4" s="1"/>
  <c r="AA685" i="4"/>
  <c r="AB685" i="4" s="1"/>
  <c r="M685" i="4"/>
  <c r="N685" i="4" s="1"/>
  <c r="T685" i="4"/>
  <c r="U685" i="4" s="1"/>
  <c r="AC685" i="4" l="1"/>
  <c r="AD685" i="4" s="1"/>
  <c r="AE685" i="4" s="1"/>
  <c r="AM685" i="4" s="1"/>
  <c r="G686" i="4"/>
  <c r="H686" i="4"/>
  <c r="E686" i="4"/>
  <c r="AA686" i="4" l="1"/>
  <c r="AB686" i="4" s="1"/>
  <c r="AH686" i="4"/>
  <c r="AI686" i="4" s="1"/>
  <c r="J686" i="4"/>
  <c r="B686" i="4"/>
  <c r="C686" i="4"/>
  <c r="D686" i="4"/>
  <c r="I686" i="4"/>
  <c r="F686" i="4"/>
  <c r="M686" i="4" l="1"/>
  <c r="N686" i="4" s="1"/>
  <c r="T686" i="4"/>
  <c r="U686" i="4" s="1"/>
  <c r="K686" i="4"/>
  <c r="L686" i="4" s="1"/>
  <c r="O686" i="4" s="1"/>
  <c r="P686" i="4" s="1"/>
  <c r="Y686" i="4"/>
  <c r="Z686" i="4" s="1"/>
  <c r="AC686" i="4" s="1"/>
  <c r="AD686" i="4" s="1"/>
  <c r="AE686" i="4" s="1"/>
  <c r="AF686" i="4"/>
  <c r="AG686" i="4" s="1"/>
  <c r="AJ686" i="4" s="1"/>
  <c r="AK686" i="4" s="1"/>
  <c r="AL686" i="4" s="1"/>
  <c r="R686" i="4"/>
  <c r="S686" i="4" s="1"/>
  <c r="Q686" i="4" l="1"/>
  <c r="V686" i="4"/>
  <c r="W686" i="4" s="1"/>
  <c r="X686" i="4" s="1"/>
  <c r="F687" i="4"/>
  <c r="D687" i="4"/>
  <c r="G687" i="4" l="1"/>
  <c r="E687" i="4"/>
  <c r="J687" i="4"/>
  <c r="H687" i="4"/>
  <c r="I687" i="4"/>
  <c r="AM686" i="4"/>
  <c r="B687" i="4"/>
  <c r="C687" i="4"/>
  <c r="M687" i="4" l="1"/>
  <c r="N687" i="4" s="1"/>
  <c r="AA687" i="4"/>
  <c r="AB687" i="4" s="1"/>
  <c r="AH687" i="4"/>
  <c r="AI687" i="4" s="1"/>
  <c r="T687" i="4"/>
  <c r="U687" i="4" s="1"/>
  <c r="K687" i="4"/>
  <c r="L687" i="4" s="1"/>
  <c r="Y687" i="4"/>
  <c r="Z687" i="4" s="1"/>
  <c r="AF687" i="4"/>
  <c r="AG687" i="4" s="1"/>
  <c r="AJ687" i="4" s="1"/>
  <c r="AK687" i="4" s="1"/>
  <c r="AL687" i="4" s="1"/>
  <c r="R687" i="4"/>
  <c r="S687" i="4" s="1"/>
  <c r="V687" i="4" s="1"/>
  <c r="W687" i="4" s="1"/>
  <c r="X687" i="4" s="1"/>
  <c r="AC687" i="4" l="1"/>
  <c r="AD687" i="4" s="1"/>
  <c r="AE687" i="4" s="1"/>
  <c r="O687" i="4"/>
  <c r="P687" i="4" s="1"/>
  <c r="Q687" i="4" l="1"/>
  <c r="AM687" i="4" s="1"/>
  <c r="D688" i="4"/>
  <c r="F688" i="4"/>
  <c r="H688" i="4"/>
  <c r="G688" i="4"/>
  <c r="B688" i="4"/>
  <c r="E688" i="4"/>
  <c r="J688" i="4"/>
  <c r="I688" i="4"/>
  <c r="C688" i="4"/>
  <c r="AF688" i="4" l="1"/>
  <c r="AG688" i="4" s="1"/>
  <c r="Y688" i="4"/>
  <c r="Z688" i="4" s="1"/>
  <c r="K688" i="4"/>
  <c r="L688" i="4" s="1"/>
  <c r="R688" i="4"/>
  <c r="S688" i="4" s="1"/>
  <c r="V688" i="4" s="1"/>
  <c r="W688" i="4" s="1"/>
  <c r="X688" i="4" s="1"/>
  <c r="M688" i="4"/>
  <c r="N688" i="4" s="1"/>
  <c r="AA688" i="4"/>
  <c r="AB688" i="4" s="1"/>
  <c r="AH688" i="4"/>
  <c r="AI688" i="4" s="1"/>
  <c r="T688" i="4"/>
  <c r="U688" i="4" s="1"/>
  <c r="AC688" i="4" l="1"/>
  <c r="AD688" i="4" s="1"/>
  <c r="AE688" i="4" s="1"/>
  <c r="AJ688" i="4"/>
  <c r="AK688" i="4" s="1"/>
  <c r="AL688" i="4" s="1"/>
  <c r="O688" i="4"/>
  <c r="P688" i="4" s="1"/>
  <c r="Q688" i="4" l="1"/>
  <c r="AM688" i="4" s="1"/>
  <c r="B689" i="4"/>
  <c r="I689" i="4"/>
  <c r="E689" i="4"/>
  <c r="G689" i="4"/>
  <c r="C689" i="4"/>
  <c r="H689" i="4"/>
  <c r="D689" i="4"/>
  <c r="J689" i="4"/>
  <c r="F689" i="4"/>
  <c r="R689" i="4" l="1"/>
  <c r="S689" i="4" s="1"/>
  <c r="Y689" i="4"/>
  <c r="Z689" i="4" s="1"/>
  <c r="AC689" i="4" s="1"/>
  <c r="AD689" i="4" s="1"/>
  <c r="AE689" i="4" s="1"/>
  <c r="K689" i="4"/>
  <c r="L689" i="4" s="1"/>
  <c r="AF689" i="4"/>
  <c r="AG689" i="4" s="1"/>
  <c r="AH689" i="4"/>
  <c r="AI689" i="4" s="1"/>
  <c r="AA689" i="4"/>
  <c r="AB689" i="4" s="1"/>
  <c r="M689" i="4"/>
  <c r="N689" i="4" s="1"/>
  <c r="T689" i="4"/>
  <c r="U689" i="4" s="1"/>
  <c r="V689" i="4" l="1"/>
  <c r="W689" i="4" s="1"/>
  <c r="X689" i="4" s="1"/>
  <c r="AJ689" i="4"/>
  <c r="AK689" i="4" s="1"/>
  <c r="AL689" i="4" s="1"/>
  <c r="O689" i="4"/>
  <c r="P689" i="4" s="1"/>
  <c r="Q689" i="4" l="1"/>
  <c r="AM689" i="4" s="1"/>
  <c r="D690" i="4"/>
  <c r="J690" i="4"/>
  <c r="G690" i="4"/>
  <c r="F690" i="4"/>
  <c r="H690" i="4"/>
  <c r="C690" i="4"/>
  <c r="E690" i="4"/>
  <c r="I690" i="4"/>
  <c r="B690" i="4"/>
  <c r="T690" i="4" l="1"/>
  <c r="U690" i="4" s="1"/>
  <c r="AA690" i="4"/>
  <c r="AB690" i="4" s="1"/>
  <c r="M690" i="4"/>
  <c r="N690" i="4" s="1"/>
  <c r="AH690" i="4"/>
  <c r="AI690" i="4" s="1"/>
  <c r="K690" i="4"/>
  <c r="L690" i="4" s="1"/>
  <c r="Y690" i="4"/>
  <c r="Z690" i="4" s="1"/>
  <c r="AC690" i="4" s="1"/>
  <c r="AD690" i="4" s="1"/>
  <c r="AE690" i="4" s="1"/>
  <c r="AF690" i="4"/>
  <c r="AG690" i="4" s="1"/>
  <c r="AJ690" i="4" s="1"/>
  <c r="AK690" i="4" s="1"/>
  <c r="AL690" i="4" s="1"/>
  <c r="R690" i="4"/>
  <c r="S690" i="4" s="1"/>
  <c r="V690" i="4" s="1"/>
  <c r="W690" i="4" s="1"/>
  <c r="X690" i="4" s="1"/>
  <c r="O690" i="4" l="1"/>
  <c r="P690" i="4" s="1"/>
  <c r="Q690" i="4" l="1"/>
  <c r="AM690" i="4" s="1"/>
  <c r="F691" i="4"/>
  <c r="G691" i="4"/>
  <c r="I691" i="4"/>
  <c r="J691" i="4"/>
  <c r="E691" i="4"/>
  <c r="B691" i="4"/>
  <c r="H691" i="4"/>
  <c r="C691" i="4"/>
  <c r="D691" i="4"/>
  <c r="K691" i="4" l="1"/>
  <c r="L691" i="4" s="1"/>
  <c r="Y691" i="4"/>
  <c r="Z691" i="4" s="1"/>
  <c r="AF691" i="4"/>
  <c r="AG691" i="4" s="1"/>
  <c r="AJ691" i="4" s="1"/>
  <c r="AK691" i="4" s="1"/>
  <c r="AL691" i="4" s="1"/>
  <c r="R691" i="4"/>
  <c r="S691" i="4" s="1"/>
  <c r="V691" i="4" s="1"/>
  <c r="W691" i="4" s="1"/>
  <c r="X691" i="4" s="1"/>
  <c r="M691" i="4"/>
  <c r="N691" i="4" s="1"/>
  <c r="AA691" i="4"/>
  <c r="AB691" i="4" s="1"/>
  <c r="AH691" i="4"/>
  <c r="AI691" i="4" s="1"/>
  <c r="T691" i="4"/>
  <c r="U691" i="4" s="1"/>
  <c r="AC691" i="4" l="1"/>
  <c r="AD691" i="4" s="1"/>
  <c r="AE691" i="4" s="1"/>
  <c r="O691" i="4"/>
  <c r="P691" i="4" s="1"/>
  <c r="Q691" i="4" l="1"/>
  <c r="AM691" i="4" s="1"/>
  <c r="C692" i="4"/>
  <c r="H692" i="4"/>
  <c r="B692" i="4"/>
  <c r="G692" i="4"/>
  <c r="J692" i="4"/>
  <c r="E692" i="4"/>
  <c r="D692" i="4"/>
  <c r="F692" i="4"/>
  <c r="I692" i="4"/>
  <c r="M692" i="4" l="1"/>
  <c r="N692" i="4" s="1"/>
  <c r="AA692" i="4"/>
  <c r="AB692" i="4" s="1"/>
  <c r="AH692" i="4"/>
  <c r="AI692" i="4" s="1"/>
  <c r="T692" i="4"/>
  <c r="U692" i="4" s="1"/>
  <c r="AF692" i="4"/>
  <c r="AG692" i="4" s="1"/>
  <c r="Y692" i="4"/>
  <c r="Z692" i="4" s="1"/>
  <c r="K692" i="4"/>
  <c r="L692" i="4" s="1"/>
  <c r="O692" i="4" s="1"/>
  <c r="P692" i="4" s="1"/>
  <c r="Q692" i="4" s="1"/>
  <c r="R692" i="4"/>
  <c r="S692" i="4" s="1"/>
  <c r="V692" i="4" l="1"/>
  <c r="W692" i="4" s="1"/>
  <c r="AC692" i="4"/>
  <c r="AD692" i="4" s="1"/>
  <c r="AE692" i="4" s="1"/>
  <c r="AJ692" i="4"/>
  <c r="AK692" i="4" s="1"/>
  <c r="AL692" i="4" s="1"/>
  <c r="D693" i="4"/>
  <c r="F693" i="4" l="1"/>
  <c r="X692" i="4"/>
  <c r="AM692" i="4" s="1"/>
  <c r="AP80" i="4" s="1"/>
  <c r="C693" i="4"/>
  <c r="G693" i="4"/>
  <c r="E693" i="4"/>
  <c r="H693" i="4"/>
  <c r="B693" i="4"/>
  <c r="I693" i="4"/>
  <c r="J693" i="4"/>
  <c r="R693" i="4" l="1"/>
  <c r="S693" i="4" s="1"/>
  <c r="Y693" i="4"/>
  <c r="Z693" i="4" s="1"/>
  <c r="K693" i="4"/>
  <c r="L693" i="4" s="1"/>
  <c r="O693" i="4" s="1"/>
  <c r="P693" i="4" s="1"/>
  <c r="AF693" i="4"/>
  <c r="AG693" i="4" s="1"/>
  <c r="AH693" i="4"/>
  <c r="AI693" i="4" s="1"/>
  <c r="AA693" i="4"/>
  <c r="AB693" i="4" s="1"/>
  <c r="M693" i="4"/>
  <c r="N693" i="4" s="1"/>
  <c r="T693" i="4"/>
  <c r="U693" i="4" s="1"/>
  <c r="AJ693" i="4" l="1"/>
  <c r="AK693" i="4" s="1"/>
  <c r="AL693" i="4" s="1"/>
  <c r="Q693" i="4"/>
  <c r="AC693" i="4"/>
  <c r="AD693" i="4" s="1"/>
  <c r="AE693" i="4" s="1"/>
  <c r="V693" i="4"/>
  <c r="W693" i="4" s="1"/>
  <c r="X693" i="4" l="1"/>
  <c r="J694" i="4"/>
  <c r="C694" i="4"/>
  <c r="H694" i="4"/>
  <c r="I694" i="4"/>
  <c r="G694" i="4"/>
  <c r="F694" i="4"/>
  <c r="E694" i="4"/>
  <c r="B694" i="4"/>
  <c r="D694" i="4"/>
  <c r="AM693" i="4"/>
  <c r="T694" i="4" l="1"/>
  <c r="U694" i="4" s="1"/>
  <c r="AA694" i="4"/>
  <c r="AB694" i="4" s="1"/>
  <c r="M694" i="4"/>
  <c r="N694" i="4" s="1"/>
  <c r="AH694" i="4"/>
  <c r="AI694" i="4" s="1"/>
  <c r="K694" i="4"/>
  <c r="L694" i="4" s="1"/>
  <c r="O694" i="4" s="1"/>
  <c r="P694" i="4" s="1"/>
  <c r="Q694" i="4" s="1"/>
  <c r="Y694" i="4"/>
  <c r="Z694" i="4" s="1"/>
  <c r="AC694" i="4" s="1"/>
  <c r="AD694" i="4" s="1"/>
  <c r="AE694" i="4" s="1"/>
  <c r="AF694" i="4"/>
  <c r="AG694" i="4" s="1"/>
  <c r="AJ694" i="4" s="1"/>
  <c r="AK694" i="4" s="1"/>
  <c r="AL694" i="4" s="1"/>
  <c r="R694" i="4"/>
  <c r="S694" i="4" s="1"/>
  <c r="V694" i="4" s="1"/>
  <c r="W694" i="4" s="1"/>
  <c r="X694" i="4" s="1"/>
  <c r="C695" i="4" l="1"/>
  <c r="B695" i="4"/>
  <c r="I695" i="4"/>
  <c r="AM694" i="4"/>
  <c r="J695" i="4"/>
  <c r="D695" i="4"/>
  <c r="H695" i="4"/>
  <c r="E695" i="4"/>
  <c r="F695" i="4"/>
  <c r="G695" i="4"/>
  <c r="M695" i="4" l="1"/>
  <c r="N695" i="4" s="1"/>
  <c r="AA695" i="4"/>
  <c r="AB695" i="4" s="1"/>
  <c r="AH695" i="4"/>
  <c r="AI695" i="4" s="1"/>
  <c r="T695" i="4"/>
  <c r="U695" i="4" s="1"/>
  <c r="K695" i="4"/>
  <c r="L695" i="4" s="1"/>
  <c r="O695" i="4" s="1"/>
  <c r="P695" i="4" s="1"/>
  <c r="Q695" i="4" s="1"/>
  <c r="Y695" i="4"/>
  <c r="Z695" i="4" s="1"/>
  <c r="AC695" i="4" s="1"/>
  <c r="AD695" i="4" s="1"/>
  <c r="AE695" i="4" s="1"/>
  <c r="R695" i="4"/>
  <c r="S695" i="4" s="1"/>
  <c r="V695" i="4" s="1"/>
  <c r="W695" i="4" s="1"/>
  <c r="X695" i="4" s="1"/>
  <c r="AF695" i="4"/>
  <c r="AG695" i="4" s="1"/>
  <c r="AJ695" i="4" s="1"/>
  <c r="AK695" i="4" s="1"/>
  <c r="AL695" i="4" s="1"/>
  <c r="F696" i="4" l="1"/>
  <c r="I696" i="4"/>
  <c r="J696" i="4"/>
  <c r="D696" i="4"/>
  <c r="AM695" i="4"/>
  <c r="E696" i="4"/>
  <c r="H696" i="4"/>
  <c r="B696" i="4"/>
  <c r="C696" i="4"/>
  <c r="G696" i="4"/>
  <c r="AF696" i="4" l="1"/>
  <c r="AG696" i="4" s="1"/>
  <c r="R696" i="4"/>
  <c r="S696" i="4" s="1"/>
  <c r="Y696" i="4"/>
  <c r="Z696" i="4" s="1"/>
  <c r="K696" i="4"/>
  <c r="L696" i="4" s="1"/>
  <c r="O696" i="4" s="1"/>
  <c r="P696" i="4" s="1"/>
  <c r="Q696" i="4" s="1"/>
  <c r="M696" i="4"/>
  <c r="N696" i="4" s="1"/>
  <c r="AA696" i="4"/>
  <c r="AB696" i="4" s="1"/>
  <c r="T696" i="4"/>
  <c r="U696" i="4" s="1"/>
  <c r="AH696" i="4"/>
  <c r="AI696" i="4" s="1"/>
  <c r="AC696" i="4" l="1"/>
  <c r="AD696" i="4" s="1"/>
  <c r="AE696" i="4" s="1"/>
  <c r="AM696" i="4" s="1"/>
  <c r="E697" i="4"/>
  <c r="AJ696" i="4"/>
  <c r="AK696" i="4" s="1"/>
  <c r="AL696" i="4" s="1"/>
  <c r="V696" i="4"/>
  <c r="W696" i="4" s="1"/>
  <c r="X696" i="4" s="1"/>
  <c r="D697" i="4" l="1"/>
  <c r="M697" i="4"/>
  <c r="N697" i="4" s="1"/>
  <c r="T697" i="4"/>
  <c r="U697" i="4" s="1"/>
  <c r="B697" i="4"/>
  <c r="I697" i="4"/>
  <c r="J697" i="4"/>
  <c r="F697" i="4"/>
  <c r="G697" i="4"/>
  <c r="AA697" i="4" s="1"/>
  <c r="AB697" i="4" s="1"/>
  <c r="C697" i="4"/>
  <c r="H697" i="4"/>
  <c r="R697" i="4" l="1"/>
  <c r="S697" i="4" s="1"/>
  <c r="V697" i="4" s="1"/>
  <c r="W697" i="4" s="1"/>
  <c r="X697" i="4" s="1"/>
  <c r="Y697" i="4"/>
  <c r="Z697" i="4" s="1"/>
  <c r="AC697" i="4" s="1"/>
  <c r="AD697" i="4" s="1"/>
  <c r="AE697" i="4" s="1"/>
  <c r="K697" i="4"/>
  <c r="L697" i="4" s="1"/>
  <c r="O697" i="4" s="1"/>
  <c r="P697" i="4" s="1"/>
  <c r="D698" i="4" s="1"/>
  <c r="AF697" i="4"/>
  <c r="AG697" i="4" s="1"/>
  <c r="AJ697" i="4" s="1"/>
  <c r="AK697" i="4" s="1"/>
  <c r="AL697" i="4" s="1"/>
  <c r="AH697" i="4"/>
  <c r="AI697" i="4" s="1"/>
  <c r="F698" i="4" l="1"/>
  <c r="H698" i="4"/>
  <c r="C698" i="4"/>
  <c r="Q697" i="4"/>
  <c r="AM697" i="4" s="1"/>
  <c r="E698" i="4"/>
  <c r="J698" i="4"/>
  <c r="B698" i="4"/>
  <c r="G698" i="4"/>
  <c r="I698" i="4"/>
  <c r="K698" i="4" l="1"/>
  <c r="L698" i="4" s="1"/>
  <c r="Y698" i="4"/>
  <c r="Z698" i="4" s="1"/>
  <c r="AC698" i="4" s="1"/>
  <c r="AD698" i="4" s="1"/>
  <c r="AE698" i="4" s="1"/>
  <c r="R698" i="4"/>
  <c r="S698" i="4" s="1"/>
  <c r="AF698" i="4"/>
  <c r="AG698" i="4" s="1"/>
  <c r="AJ698" i="4" s="1"/>
  <c r="AK698" i="4" s="1"/>
  <c r="AL698" i="4" s="1"/>
  <c r="T698" i="4"/>
  <c r="U698" i="4" s="1"/>
  <c r="AA698" i="4"/>
  <c r="AB698" i="4" s="1"/>
  <c r="M698" i="4"/>
  <c r="N698" i="4" s="1"/>
  <c r="AH698" i="4"/>
  <c r="AI698" i="4" s="1"/>
  <c r="V698" i="4" l="1"/>
  <c r="W698" i="4" s="1"/>
  <c r="X698" i="4" s="1"/>
  <c r="O698" i="4"/>
  <c r="P698" i="4" s="1"/>
  <c r="Q698" i="4" l="1"/>
  <c r="AM698" i="4" s="1"/>
  <c r="D699" i="4"/>
  <c r="J699" i="4"/>
  <c r="E699" i="4"/>
  <c r="B699" i="4"/>
  <c r="H699" i="4"/>
  <c r="I699" i="4"/>
  <c r="C699" i="4"/>
  <c r="F699" i="4"/>
  <c r="G699" i="4"/>
  <c r="K699" i="4" l="1"/>
  <c r="L699" i="4" s="1"/>
  <c r="AF699" i="4"/>
  <c r="AG699" i="4" s="1"/>
  <c r="R699" i="4"/>
  <c r="S699" i="4" s="1"/>
  <c r="Y699" i="4"/>
  <c r="Z699" i="4" s="1"/>
  <c r="AC699" i="4" s="1"/>
  <c r="AD699" i="4" s="1"/>
  <c r="AE699" i="4" s="1"/>
  <c r="M699" i="4"/>
  <c r="N699" i="4" s="1"/>
  <c r="AA699" i="4"/>
  <c r="AB699" i="4" s="1"/>
  <c r="T699" i="4"/>
  <c r="U699" i="4" s="1"/>
  <c r="AH699" i="4"/>
  <c r="AI699" i="4" s="1"/>
  <c r="V699" i="4" l="1"/>
  <c r="W699" i="4" s="1"/>
  <c r="X699" i="4" s="1"/>
  <c r="AJ699" i="4"/>
  <c r="AK699" i="4" s="1"/>
  <c r="AL699" i="4" s="1"/>
  <c r="O699" i="4"/>
  <c r="P699" i="4" s="1"/>
  <c r="Q699" i="4" l="1"/>
  <c r="AM699" i="4" s="1"/>
  <c r="E700" i="4"/>
  <c r="F700" i="4"/>
  <c r="B700" i="4"/>
  <c r="C700" i="4"/>
  <c r="D700" i="4"/>
  <c r="G700" i="4"/>
  <c r="J700" i="4"/>
  <c r="I700" i="4"/>
  <c r="H700" i="4"/>
  <c r="AF700" i="4" l="1"/>
  <c r="AG700" i="4" s="1"/>
  <c r="R700" i="4"/>
  <c r="S700" i="4" s="1"/>
  <c r="Y700" i="4"/>
  <c r="Z700" i="4" s="1"/>
  <c r="K700" i="4"/>
  <c r="L700" i="4" s="1"/>
  <c r="M700" i="4"/>
  <c r="N700" i="4" s="1"/>
  <c r="AA700" i="4"/>
  <c r="AB700" i="4" s="1"/>
  <c r="AH700" i="4"/>
  <c r="AI700" i="4" s="1"/>
  <c r="T700" i="4"/>
  <c r="U700" i="4" s="1"/>
  <c r="V700" i="4" l="1"/>
  <c r="W700" i="4" s="1"/>
  <c r="X700" i="4" s="1"/>
  <c r="AJ700" i="4"/>
  <c r="AK700" i="4" s="1"/>
  <c r="AL700" i="4" s="1"/>
  <c r="O700" i="4"/>
  <c r="P700" i="4" s="1"/>
  <c r="AC700" i="4"/>
  <c r="AD700" i="4" s="1"/>
  <c r="AE700" i="4" s="1"/>
  <c r="Q700" i="4" l="1"/>
  <c r="AM700" i="4" s="1"/>
  <c r="J701" i="4"/>
  <c r="I701" i="4"/>
  <c r="C701" i="4"/>
  <c r="F701" i="4"/>
  <c r="D701" i="4"/>
  <c r="B701" i="4"/>
  <c r="G701" i="4"/>
  <c r="H701" i="4"/>
  <c r="E701" i="4"/>
  <c r="R701" i="4" l="1"/>
  <c r="S701" i="4" s="1"/>
  <c r="Y701" i="4"/>
  <c r="Z701" i="4" s="1"/>
  <c r="AF701" i="4"/>
  <c r="AG701" i="4" s="1"/>
  <c r="AJ701" i="4" s="1"/>
  <c r="AK701" i="4" s="1"/>
  <c r="AL701" i="4" s="1"/>
  <c r="K701" i="4"/>
  <c r="L701" i="4" s="1"/>
  <c r="O701" i="4" s="1"/>
  <c r="P701" i="4" s="1"/>
  <c r="Q701" i="4" s="1"/>
  <c r="AH701" i="4"/>
  <c r="AI701" i="4" s="1"/>
  <c r="T701" i="4"/>
  <c r="U701" i="4" s="1"/>
  <c r="AA701" i="4"/>
  <c r="AB701" i="4" s="1"/>
  <c r="M701" i="4"/>
  <c r="N701" i="4" s="1"/>
  <c r="AC701" i="4" l="1"/>
  <c r="AD701" i="4" s="1"/>
  <c r="AE701" i="4" s="1"/>
  <c r="AM701" i="4" s="1"/>
  <c r="C702" i="4"/>
  <c r="V701" i="4"/>
  <c r="W701" i="4" s="1"/>
  <c r="X701" i="4" s="1"/>
  <c r="B702" i="4" l="1"/>
  <c r="E702" i="4"/>
  <c r="G702" i="4"/>
  <c r="D702" i="4"/>
  <c r="J702" i="4"/>
  <c r="H702" i="4"/>
  <c r="F702" i="4"/>
  <c r="I702" i="4"/>
  <c r="T702" i="4" l="1"/>
  <c r="U702" i="4" s="1"/>
  <c r="AA702" i="4"/>
  <c r="AB702" i="4" s="1"/>
  <c r="AH702" i="4"/>
  <c r="AI702" i="4" s="1"/>
  <c r="M702" i="4"/>
  <c r="N702" i="4" s="1"/>
  <c r="K702" i="4"/>
  <c r="L702" i="4" s="1"/>
  <c r="O702" i="4" s="1"/>
  <c r="P702" i="4" s="1"/>
  <c r="Y702" i="4"/>
  <c r="Z702" i="4" s="1"/>
  <c r="AC702" i="4" s="1"/>
  <c r="AD702" i="4" s="1"/>
  <c r="AE702" i="4" s="1"/>
  <c r="AF702" i="4"/>
  <c r="AG702" i="4" s="1"/>
  <c r="AJ702" i="4" s="1"/>
  <c r="AK702" i="4" s="1"/>
  <c r="AL702" i="4" s="1"/>
  <c r="R702" i="4"/>
  <c r="S702" i="4" s="1"/>
  <c r="V702" i="4" s="1"/>
  <c r="W702" i="4" s="1"/>
  <c r="X702" i="4" s="1"/>
  <c r="I703" i="4" l="1"/>
  <c r="E703" i="4"/>
  <c r="B703" i="4"/>
  <c r="G703" i="4"/>
  <c r="Q702" i="4"/>
  <c r="AM702" i="4" s="1"/>
  <c r="AP81" i="4" s="1"/>
  <c r="C703" i="4"/>
  <c r="H703" i="4"/>
  <c r="J703" i="4"/>
  <c r="D703" i="4"/>
  <c r="F703" i="4"/>
  <c r="Y703" i="4" l="1"/>
  <c r="Z703" i="4" s="1"/>
  <c r="AC703" i="4" s="1"/>
  <c r="AD703" i="4" s="1"/>
  <c r="AE703" i="4" s="1"/>
  <c r="R703" i="4"/>
  <c r="S703" i="4" s="1"/>
  <c r="AF703" i="4"/>
  <c r="AG703" i="4" s="1"/>
  <c r="AJ703" i="4" s="1"/>
  <c r="AK703" i="4" s="1"/>
  <c r="AL703" i="4" s="1"/>
  <c r="K703" i="4"/>
  <c r="L703" i="4" s="1"/>
  <c r="AA703" i="4"/>
  <c r="AB703" i="4" s="1"/>
  <c r="AH703" i="4"/>
  <c r="AI703" i="4" s="1"/>
  <c r="T703" i="4"/>
  <c r="U703" i="4" s="1"/>
  <c r="M703" i="4"/>
  <c r="N703" i="4" s="1"/>
  <c r="O703" i="4" l="1"/>
  <c r="P703" i="4" s="1"/>
  <c r="V703" i="4"/>
  <c r="W703" i="4" s="1"/>
  <c r="X703" i="4" s="1"/>
  <c r="Q703" i="4" l="1"/>
  <c r="AM703" i="4" s="1"/>
  <c r="J704" i="4"/>
  <c r="G704" i="4"/>
  <c r="I704" i="4"/>
  <c r="H704" i="4"/>
  <c r="F704" i="4"/>
  <c r="C704" i="4"/>
  <c r="D704" i="4"/>
  <c r="E704" i="4"/>
  <c r="B704" i="4"/>
  <c r="K704" i="4" l="1"/>
  <c r="L704" i="4" s="1"/>
  <c r="Y704" i="4"/>
  <c r="Z704" i="4" s="1"/>
  <c r="AC704" i="4" s="1"/>
  <c r="AD704" i="4" s="1"/>
  <c r="AE704" i="4" s="1"/>
  <c r="AF704" i="4"/>
  <c r="AG704" i="4" s="1"/>
  <c r="AJ704" i="4" s="1"/>
  <c r="AK704" i="4" s="1"/>
  <c r="AL704" i="4" s="1"/>
  <c r="R704" i="4"/>
  <c r="S704" i="4" s="1"/>
  <c r="AA704" i="4"/>
  <c r="AB704" i="4" s="1"/>
  <c r="AH704" i="4"/>
  <c r="AI704" i="4" s="1"/>
  <c r="M704" i="4"/>
  <c r="N704" i="4" s="1"/>
  <c r="T704" i="4"/>
  <c r="U704" i="4" s="1"/>
  <c r="O704" i="4" l="1"/>
  <c r="P704" i="4" s="1"/>
  <c r="V704" i="4"/>
  <c r="W704" i="4" s="1"/>
  <c r="X704" i="4" s="1"/>
  <c r="Q704" i="4" l="1"/>
  <c r="AM704" i="4" s="1"/>
  <c r="D705" i="4"/>
  <c r="J705" i="4"/>
  <c r="H705" i="4"/>
  <c r="F705" i="4"/>
  <c r="I705" i="4"/>
  <c r="C705" i="4"/>
  <c r="G705" i="4"/>
  <c r="E705" i="4"/>
  <c r="B705" i="4"/>
  <c r="AF705" i="4" l="1"/>
  <c r="AG705" i="4" s="1"/>
  <c r="AJ705" i="4" s="1"/>
  <c r="AK705" i="4" s="1"/>
  <c r="AL705" i="4" s="1"/>
  <c r="K705" i="4"/>
  <c r="L705" i="4" s="1"/>
  <c r="R705" i="4"/>
  <c r="S705" i="4" s="1"/>
  <c r="V705" i="4" s="1"/>
  <c r="W705" i="4" s="1"/>
  <c r="X705" i="4" s="1"/>
  <c r="Y705" i="4"/>
  <c r="Z705" i="4" s="1"/>
  <c r="AC705" i="4" s="1"/>
  <c r="AD705" i="4" s="1"/>
  <c r="AE705" i="4" s="1"/>
  <c r="M705" i="4"/>
  <c r="N705" i="4" s="1"/>
  <c r="T705" i="4"/>
  <c r="U705" i="4" s="1"/>
  <c r="AH705" i="4"/>
  <c r="AI705" i="4" s="1"/>
  <c r="AA705" i="4"/>
  <c r="AB705" i="4" s="1"/>
  <c r="O705" i="4" l="1"/>
  <c r="P705" i="4" s="1"/>
  <c r="Q705" i="4" l="1"/>
  <c r="AM705" i="4" s="1"/>
  <c r="G706" i="4"/>
  <c r="D706" i="4"/>
  <c r="I706" i="4"/>
  <c r="F706" i="4"/>
  <c r="H706" i="4"/>
  <c r="J706" i="4"/>
  <c r="C706" i="4"/>
  <c r="B706" i="4"/>
  <c r="E706" i="4"/>
  <c r="M706" i="4" l="1"/>
  <c r="N706" i="4" s="1"/>
  <c r="AA706" i="4"/>
  <c r="AB706" i="4" s="1"/>
  <c r="T706" i="4"/>
  <c r="U706" i="4" s="1"/>
  <c r="AH706" i="4"/>
  <c r="AI706" i="4" s="1"/>
  <c r="AF706" i="4"/>
  <c r="AG706" i="4" s="1"/>
  <c r="K706" i="4"/>
  <c r="L706" i="4" s="1"/>
  <c r="O706" i="4" s="1"/>
  <c r="P706" i="4" s="1"/>
  <c r="Q706" i="4" s="1"/>
  <c r="Y706" i="4"/>
  <c r="Z706" i="4" s="1"/>
  <c r="AC706" i="4" s="1"/>
  <c r="AD706" i="4" s="1"/>
  <c r="AE706" i="4" s="1"/>
  <c r="R706" i="4"/>
  <c r="S706" i="4" s="1"/>
  <c r="AJ706" i="4" l="1"/>
  <c r="AK706" i="4" s="1"/>
  <c r="AL706" i="4" s="1"/>
  <c r="G707" i="4"/>
  <c r="D707" i="4"/>
  <c r="H707" i="4"/>
  <c r="I707" i="4"/>
  <c r="V706" i="4"/>
  <c r="W706" i="4" s="1"/>
  <c r="X706" i="4" s="1"/>
  <c r="AM706" i="4" s="1"/>
  <c r="J707" i="4"/>
  <c r="C707" i="4" l="1"/>
  <c r="B707" i="4"/>
  <c r="E707" i="4"/>
  <c r="F707" i="4"/>
  <c r="T707" i="4" l="1"/>
  <c r="U707" i="4" s="1"/>
  <c r="AA707" i="4"/>
  <c r="AB707" i="4" s="1"/>
  <c r="AH707" i="4"/>
  <c r="AI707" i="4" s="1"/>
  <c r="M707" i="4"/>
  <c r="N707" i="4" s="1"/>
  <c r="Y707" i="4"/>
  <c r="Z707" i="4" s="1"/>
  <c r="AC707" i="4" s="1"/>
  <c r="AD707" i="4" s="1"/>
  <c r="AE707" i="4" s="1"/>
  <c r="K707" i="4"/>
  <c r="L707" i="4" s="1"/>
  <c r="O707" i="4" s="1"/>
  <c r="P707" i="4" s="1"/>
  <c r="R707" i="4"/>
  <c r="S707" i="4" s="1"/>
  <c r="V707" i="4" s="1"/>
  <c r="W707" i="4" s="1"/>
  <c r="X707" i="4" s="1"/>
  <c r="AF707" i="4"/>
  <c r="AG707" i="4" s="1"/>
  <c r="Q707" i="4" l="1"/>
  <c r="H708" i="4"/>
  <c r="J708" i="4"/>
  <c r="D708" i="4"/>
  <c r="F708" i="4"/>
  <c r="E708" i="4"/>
  <c r="AJ707" i="4"/>
  <c r="AK707" i="4" s="1"/>
  <c r="AL707" i="4" s="1"/>
  <c r="M708" i="4" l="1"/>
  <c r="N708" i="4" s="1"/>
  <c r="G708" i="4"/>
  <c r="T708" i="4" s="1"/>
  <c r="U708" i="4" s="1"/>
  <c r="B708" i="4"/>
  <c r="I708" i="4"/>
  <c r="C708" i="4"/>
  <c r="AM707" i="4"/>
  <c r="AH708" i="4" l="1"/>
  <c r="AI708" i="4" s="1"/>
  <c r="K708" i="4"/>
  <c r="L708" i="4" s="1"/>
  <c r="O708" i="4" s="1"/>
  <c r="P708" i="4" s="1"/>
  <c r="R708" i="4"/>
  <c r="S708" i="4" s="1"/>
  <c r="V708" i="4" s="1"/>
  <c r="W708" i="4" s="1"/>
  <c r="X708" i="4" s="1"/>
  <c r="Y708" i="4"/>
  <c r="Z708" i="4" s="1"/>
  <c r="AC708" i="4" s="1"/>
  <c r="AD708" i="4" s="1"/>
  <c r="AE708" i="4" s="1"/>
  <c r="B709" i="4"/>
  <c r="AF708" i="4"/>
  <c r="AG708" i="4" s="1"/>
  <c r="AJ708" i="4" s="1"/>
  <c r="AK708" i="4" s="1"/>
  <c r="AL708" i="4" s="1"/>
  <c r="C709" i="4"/>
  <c r="AA708" i="4"/>
  <c r="AB708" i="4" s="1"/>
  <c r="AF709" i="4" l="1"/>
  <c r="AG709" i="4" s="1"/>
  <c r="Q708" i="4"/>
  <c r="AM708" i="4" s="1"/>
  <c r="E709" i="4"/>
  <c r="H709" i="4"/>
  <c r="J709" i="4"/>
  <c r="F709" i="4"/>
  <c r="D709" i="4"/>
  <c r="R709" i="4" s="1"/>
  <c r="S709" i="4" s="1"/>
  <c r="G709" i="4"/>
  <c r="I709" i="4"/>
  <c r="M709" i="4" l="1"/>
  <c r="N709" i="4" s="1"/>
  <c r="AA709" i="4"/>
  <c r="AB709" i="4" s="1"/>
  <c r="T709" i="4"/>
  <c r="U709" i="4" s="1"/>
  <c r="V709" i="4" s="1"/>
  <c r="W709" i="4" s="1"/>
  <c r="X709" i="4" s="1"/>
  <c r="AH709" i="4"/>
  <c r="AI709" i="4" s="1"/>
  <c r="AJ709" i="4" s="1"/>
  <c r="AK709" i="4" s="1"/>
  <c r="AL709" i="4" s="1"/>
  <c r="K709" i="4"/>
  <c r="L709" i="4" s="1"/>
  <c r="Y709" i="4"/>
  <c r="Z709" i="4" s="1"/>
  <c r="AC709" i="4" s="1"/>
  <c r="AD709" i="4" s="1"/>
  <c r="AE709" i="4" s="1"/>
  <c r="O709" i="4" l="1"/>
  <c r="P709" i="4" s="1"/>
  <c r="Q709" i="4" l="1"/>
  <c r="AM709" i="4" s="1"/>
  <c r="C710" i="4"/>
  <c r="B710" i="4"/>
  <c r="F710" i="4"/>
  <c r="J710" i="4"/>
  <c r="I710" i="4"/>
  <c r="E710" i="4"/>
  <c r="D710" i="4"/>
  <c r="G710" i="4"/>
  <c r="H710" i="4"/>
  <c r="AH710" i="4" l="1"/>
  <c r="AI710" i="4" s="1"/>
  <c r="M710" i="4"/>
  <c r="N710" i="4" s="1"/>
  <c r="T710" i="4"/>
  <c r="U710" i="4" s="1"/>
  <c r="AA710" i="4"/>
  <c r="AB710" i="4" s="1"/>
  <c r="Y710" i="4"/>
  <c r="Z710" i="4" s="1"/>
  <c r="AF710" i="4"/>
  <c r="AG710" i="4" s="1"/>
  <c r="AJ710" i="4" s="1"/>
  <c r="AK710" i="4" s="1"/>
  <c r="AL710" i="4" s="1"/>
  <c r="R710" i="4"/>
  <c r="S710" i="4" s="1"/>
  <c r="V710" i="4" s="1"/>
  <c r="W710" i="4" s="1"/>
  <c r="X710" i="4" s="1"/>
  <c r="K710" i="4"/>
  <c r="L710" i="4" s="1"/>
  <c r="O710" i="4" s="1"/>
  <c r="P710" i="4" s="1"/>
  <c r="Q710" i="4" s="1"/>
  <c r="AC710" i="4" l="1"/>
  <c r="AD710" i="4" s="1"/>
  <c r="J711" i="4"/>
  <c r="E711" i="4"/>
  <c r="G711" i="4"/>
  <c r="I711" i="4"/>
  <c r="D711" i="4"/>
  <c r="AE710" i="4" l="1"/>
  <c r="AM710" i="4" s="1"/>
  <c r="H711" i="4"/>
  <c r="B711" i="4"/>
  <c r="C711" i="4"/>
  <c r="F711" i="4"/>
  <c r="AA711" i="4" l="1"/>
  <c r="AB711" i="4" s="1"/>
  <c r="T711" i="4"/>
  <c r="U711" i="4" s="1"/>
  <c r="M711" i="4"/>
  <c r="N711" i="4" s="1"/>
  <c r="Y711" i="4"/>
  <c r="Z711" i="4" s="1"/>
  <c r="AC711" i="4" s="1"/>
  <c r="AD711" i="4" s="1"/>
  <c r="AE711" i="4" s="1"/>
  <c r="AF711" i="4"/>
  <c r="AG711" i="4" s="1"/>
  <c r="AJ711" i="4" s="1"/>
  <c r="AK711" i="4" s="1"/>
  <c r="AL711" i="4" s="1"/>
  <c r="K711" i="4"/>
  <c r="L711" i="4" s="1"/>
  <c r="R711" i="4"/>
  <c r="S711" i="4" s="1"/>
  <c r="V711" i="4" s="1"/>
  <c r="W711" i="4" s="1"/>
  <c r="X711" i="4" s="1"/>
  <c r="AH711" i="4"/>
  <c r="AI711" i="4" s="1"/>
  <c r="O711" i="4" l="1"/>
  <c r="P711" i="4" s="1"/>
  <c r="Q711" i="4" l="1"/>
  <c r="AM711" i="4" s="1"/>
  <c r="D712" i="4"/>
  <c r="J712" i="4"/>
  <c r="I712" i="4"/>
  <c r="E712" i="4"/>
  <c r="G712" i="4"/>
  <c r="F712" i="4"/>
  <c r="B712" i="4"/>
  <c r="C712" i="4"/>
  <c r="H712" i="4"/>
  <c r="K712" i="4" l="1"/>
  <c r="L712" i="4" s="1"/>
  <c r="AF712" i="4"/>
  <c r="AG712" i="4" s="1"/>
  <c r="AJ712" i="4" s="1"/>
  <c r="AK712" i="4" s="1"/>
  <c r="AL712" i="4" s="1"/>
  <c r="R712" i="4"/>
  <c r="S712" i="4" s="1"/>
  <c r="V712" i="4" s="1"/>
  <c r="W712" i="4" s="1"/>
  <c r="X712" i="4" s="1"/>
  <c r="Y712" i="4"/>
  <c r="Z712" i="4" s="1"/>
  <c r="AA712" i="4"/>
  <c r="AB712" i="4" s="1"/>
  <c r="M712" i="4"/>
  <c r="N712" i="4" s="1"/>
  <c r="T712" i="4"/>
  <c r="U712" i="4" s="1"/>
  <c r="AH712" i="4"/>
  <c r="AI712" i="4" s="1"/>
  <c r="AC712" i="4" l="1"/>
  <c r="AD712" i="4" s="1"/>
  <c r="AE712" i="4" s="1"/>
  <c r="O712" i="4"/>
  <c r="P712" i="4" s="1"/>
  <c r="Q712" i="4" l="1"/>
  <c r="AM712" i="4" s="1"/>
  <c r="AP82" i="4" s="1"/>
  <c r="F713" i="4"/>
  <c r="C713" i="4"/>
  <c r="E713" i="4"/>
  <c r="B713" i="4"/>
  <c r="H713" i="4"/>
  <c r="G713" i="4"/>
  <c r="I713" i="4"/>
  <c r="J713" i="4"/>
  <c r="D713" i="4"/>
  <c r="T713" i="4" l="1"/>
  <c r="U713" i="4" s="1"/>
  <c r="AH713" i="4"/>
  <c r="AI713" i="4" s="1"/>
  <c r="M713" i="4"/>
  <c r="N713" i="4" s="1"/>
  <c r="AA713" i="4"/>
  <c r="AB713" i="4" s="1"/>
  <c r="Y713" i="4"/>
  <c r="Z713" i="4" s="1"/>
  <c r="K713" i="4"/>
  <c r="L713" i="4" s="1"/>
  <c r="R713" i="4"/>
  <c r="S713" i="4" s="1"/>
  <c r="V713" i="4" s="1"/>
  <c r="W713" i="4" s="1"/>
  <c r="X713" i="4" s="1"/>
  <c r="AF713" i="4"/>
  <c r="AG713" i="4" s="1"/>
  <c r="AJ713" i="4" s="1"/>
  <c r="AK713" i="4" s="1"/>
  <c r="AL713" i="4" s="1"/>
  <c r="O713" i="4" l="1"/>
  <c r="P713" i="4" s="1"/>
  <c r="AC713" i="4"/>
  <c r="AD713" i="4" s="1"/>
  <c r="AE713" i="4" s="1"/>
  <c r="Q713" i="4" l="1"/>
  <c r="AM713" i="4" s="1"/>
  <c r="I714" i="4"/>
  <c r="J714" i="4"/>
  <c r="G714" i="4"/>
  <c r="H714" i="4"/>
  <c r="B714" i="4"/>
  <c r="E714" i="4"/>
  <c r="D714" i="4"/>
  <c r="F714" i="4"/>
  <c r="C714" i="4"/>
  <c r="M714" i="4" l="1"/>
  <c r="N714" i="4" s="1"/>
  <c r="AA714" i="4"/>
  <c r="AB714" i="4" s="1"/>
  <c r="T714" i="4"/>
  <c r="U714" i="4" s="1"/>
  <c r="AH714" i="4"/>
  <c r="AI714" i="4" s="1"/>
  <c r="AF714" i="4"/>
  <c r="AG714" i="4" s="1"/>
  <c r="AJ714" i="4" s="1"/>
  <c r="AK714" i="4" s="1"/>
  <c r="AL714" i="4" s="1"/>
  <c r="R714" i="4"/>
  <c r="S714" i="4" s="1"/>
  <c r="V714" i="4" s="1"/>
  <c r="W714" i="4" s="1"/>
  <c r="X714" i="4" s="1"/>
  <c r="Y714" i="4"/>
  <c r="Z714" i="4" s="1"/>
  <c r="K714" i="4"/>
  <c r="L714" i="4" s="1"/>
  <c r="O714" i="4" s="1"/>
  <c r="P714" i="4" s="1"/>
  <c r="Q714" i="4" s="1"/>
  <c r="E715" i="4" l="1"/>
  <c r="I715" i="4"/>
  <c r="C715" i="4"/>
  <c r="G715" i="4"/>
  <c r="AM714" i="4"/>
  <c r="B715" i="4"/>
  <c r="AC714" i="4"/>
  <c r="AD714" i="4" s="1"/>
  <c r="AE714" i="4" s="1"/>
  <c r="D715" i="4"/>
  <c r="AF715" i="4" l="1"/>
  <c r="AG715" i="4" s="1"/>
  <c r="K715" i="4"/>
  <c r="L715" i="4" s="1"/>
  <c r="R715" i="4"/>
  <c r="S715" i="4" s="1"/>
  <c r="Y715" i="4"/>
  <c r="Z715" i="4" s="1"/>
  <c r="H715" i="4"/>
  <c r="F715" i="4"/>
  <c r="J715" i="4"/>
  <c r="M715" i="4" l="1"/>
  <c r="N715" i="4" s="1"/>
  <c r="O715" i="4" s="1"/>
  <c r="P715" i="4" s="1"/>
  <c r="AH715" i="4"/>
  <c r="AI715" i="4" s="1"/>
  <c r="T715" i="4"/>
  <c r="U715" i="4" s="1"/>
  <c r="V715" i="4" s="1"/>
  <c r="W715" i="4" s="1"/>
  <c r="X715" i="4" s="1"/>
  <c r="AJ715" i="4"/>
  <c r="AK715" i="4" s="1"/>
  <c r="AL715" i="4" s="1"/>
  <c r="AC715" i="4"/>
  <c r="AD715" i="4" s="1"/>
  <c r="AE715" i="4" s="1"/>
  <c r="AA715" i="4"/>
  <c r="AB715" i="4" s="1"/>
  <c r="Q715" i="4" l="1"/>
  <c r="AM715" i="4" s="1"/>
  <c r="G716" i="4"/>
  <c r="I716" i="4"/>
  <c r="B716" i="4"/>
  <c r="E716" i="4"/>
  <c r="D716" i="4"/>
  <c r="C716" i="4"/>
  <c r="H716" i="4"/>
  <c r="F716" i="4"/>
  <c r="J716" i="4"/>
  <c r="R716" i="4" l="1"/>
  <c r="S716" i="4" s="1"/>
  <c r="K716" i="4"/>
  <c r="L716" i="4" s="1"/>
  <c r="Y716" i="4"/>
  <c r="Z716" i="4" s="1"/>
  <c r="AF716" i="4"/>
  <c r="AG716" i="4" s="1"/>
  <c r="AJ716" i="4" s="1"/>
  <c r="AK716" i="4" s="1"/>
  <c r="AL716" i="4" s="1"/>
  <c r="AH716" i="4"/>
  <c r="AI716" i="4" s="1"/>
  <c r="T716" i="4"/>
  <c r="U716" i="4" s="1"/>
  <c r="M716" i="4"/>
  <c r="N716" i="4" s="1"/>
  <c r="AA716" i="4"/>
  <c r="AB716" i="4" s="1"/>
  <c r="AC716" i="4" l="1"/>
  <c r="AD716" i="4" s="1"/>
  <c r="AE716" i="4" s="1"/>
  <c r="O716" i="4"/>
  <c r="P716" i="4" s="1"/>
  <c r="V716" i="4"/>
  <c r="W716" i="4" s="1"/>
  <c r="X716" i="4" s="1"/>
  <c r="Q716" i="4" l="1"/>
  <c r="AM716" i="4" s="1"/>
  <c r="H717" i="4"/>
  <c r="J717" i="4"/>
  <c r="F717" i="4"/>
  <c r="C717" i="4"/>
  <c r="G717" i="4"/>
  <c r="D717" i="4"/>
  <c r="I717" i="4"/>
  <c r="E717" i="4"/>
  <c r="B717" i="4"/>
  <c r="R717" i="4" l="1"/>
  <c r="S717" i="4" s="1"/>
  <c r="V717" i="4" s="1"/>
  <c r="W717" i="4" s="1"/>
  <c r="X717" i="4" s="1"/>
  <c r="Y717" i="4"/>
  <c r="Z717" i="4" s="1"/>
  <c r="K717" i="4"/>
  <c r="L717" i="4" s="1"/>
  <c r="O717" i="4" s="1"/>
  <c r="P717" i="4" s="1"/>
  <c r="Q717" i="4" s="1"/>
  <c r="AF717" i="4"/>
  <c r="AG717" i="4" s="1"/>
  <c r="T717" i="4"/>
  <c r="U717" i="4" s="1"/>
  <c r="AA717" i="4"/>
  <c r="AB717" i="4" s="1"/>
  <c r="AH717" i="4"/>
  <c r="AI717" i="4" s="1"/>
  <c r="M717" i="4"/>
  <c r="N717" i="4" s="1"/>
  <c r="AC717" i="4" l="1"/>
  <c r="AD717" i="4" s="1"/>
  <c r="AE717" i="4" s="1"/>
  <c r="AM717" i="4" s="1"/>
  <c r="D718" i="4"/>
  <c r="G718" i="4"/>
  <c r="H718" i="4"/>
  <c r="AJ717" i="4"/>
  <c r="AK717" i="4" s="1"/>
  <c r="AL717" i="4" s="1"/>
  <c r="I718" i="4" l="1"/>
  <c r="C718" i="4"/>
  <c r="B718" i="4"/>
  <c r="J718" i="4"/>
  <c r="F718" i="4"/>
  <c r="E718" i="4"/>
  <c r="AF718" i="4" l="1"/>
  <c r="AG718" i="4" s="1"/>
  <c r="AJ718" i="4" s="1"/>
  <c r="AK718" i="4" s="1"/>
  <c r="AL718" i="4" s="1"/>
  <c r="K718" i="4"/>
  <c r="L718" i="4" s="1"/>
  <c r="O718" i="4" s="1"/>
  <c r="P718" i="4" s="1"/>
  <c r="R718" i="4"/>
  <c r="S718" i="4" s="1"/>
  <c r="V718" i="4" s="1"/>
  <c r="W718" i="4" s="1"/>
  <c r="X718" i="4" s="1"/>
  <c r="Y718" i="4"/>
  <c r="Z718" i="4" s="1"/>
  <c r="T718" i="4"/>
  <c r="U718" i="4" s="1"/>
  <c r="AH718" i="4"/>
  <c r="AI718" i="4" s="1"/>
  <c r="M718" i="4"/>
  <c r="N718" i="4" s="1"/>
  <c r="AA718" i="4"/>
  <c r="AB718" i="4" s="1"/>
  <c r="Q718" i="4" l="1"/>
  <c r="G719" i="4"/>
  <c r="H719" i="4"/>
  <c r="D719" i="4"/>
  <c r="I719" i="4"/>
  <c r="C719" i="4"/>
  <c r="E719" i="4"/>
  <c r="AC718" i="4"/>
  <c r="AD718" i="4" s="1"/>
  <c r="AE718" i="4" s="1"/>
  <c r="F719" i="4"/>
  <c r="AH719" i="4" l="1"/>
  <c r="AI719" i="4" s="1"/>
  <c r="AA719" i="4"/>
  <c r="AB719" i="4" s="1"/>
  <c r="M719" i="4"/>
  <c r="N719" i="4" s="1"/>
  <c r="T719" i="4"/>
  <c r="U719" i="4" s="1"/>
  <c r="AM718" i="4"/>
  <c r="J719" i="4"/>
  <c r="B719" i="4"/>
  <c r="AF719" i="4" l="1"/>
  <c r="AG719" i="4" s="1"/>
  <c r="AJ719" i="4" s="1"/>
  <c r="AK719" i="4" s="1"/>
  <c r="AL719" i="4" s="1"/>
  <c r="Y719" i="4"/>
  <c r="Z719" i="4" s="1"/>
  <c r="AC719" i="4" s="1"/>
  <c r="AD719" i="4" s="1"/>
  <c r="AE719" i="4" s="1"/>
  <c r="R719" i="4"/>
  <c r="S719" i="4" s="1"/>
  <c r="V719" i="4" s="1"/>
  <c r="W719" i="4" s="1"/>
  <c r="X719" i="4" s="1"/>
  <c r="K719" i="4"/>
  <c r="L719" i="4" s="1"/>
  <c r="O719" i="4" s="1"/>
  <c r="P719" i="4" s="1"/>
  <c r="J720" i="4" s="1"/>
  <c r="Q719" i="4" l="1"/>
  <c r="AM719" i="4" s="1"/>
  <c r="E720" i="4"/>
  <c r="D720" i="4"/>
  <c r="F720" i="4"/>
  <c r="G720" i="4"/>
  <c r="C720" i="4"/>
  <c r="I720" i="4"/>
  <c r="H720" i="4"/>
  <c r="B720" i="4"/>
  <c r="AH720" i="4" l="1"/>
  <c r="AI720" i="4" s="1"/>
  <c r="T720" i="4"/>
  <c r="U720" i="4" s="1"/>
  <c r="AA720" i="4"/>
  <c r="AB720" i="4" s="1"/>
  <c r="M720" i="4"/>
  <c r="N720" i="4" s="1"/>
  <c r="R720" i="4"/>
  <c r="S720" i="4" s="1"/>
  <c r="V720" i="4" s="1"/>
  <c r="W720" i="4" s="1"/>
  <c r="X720" i="4" s="1"/>
  <c r="AF720" i="4"/>
  <c r="AG720" i="4" s="1"/>
  <c r="Y720" i="4"/>
  <c r="Z720" i="4" s="1"/>
  <c r="AC720" i="4" s="1"/>
  <c r="AD720" i="4" s="1"/>
  <c r="AE720" i="4" s="1"/>
  <c r="K720" i="4"/>
  <c r="L720" i="4" s="1"/>
  <c r="O720" i="4" s="1"/>
  <c r="P720" i="4" s="1"/>
  <c r="Q720" i="4" l="1"/>
  <c r="G721" i="4"/>
  <c r="F721" i="4"/>
  <c r="AJ720" i="4"/>
  <c r="AK720" i="4" s="1"/>
  <c r="AL720" i="4" s="1"/>
  <c r="I721" i="4"/>
  <c r="J721" i="4" l="1"/>
  <c r="B721" i="4"/>
  <c r="C721" i="4"/>
  <c r="E721" i="4"/>
  <c r="AM720" i="4"/>
  <c r="D721" i="4"/>
  <c r="H721" i="4"/>
  <c r="T721" i="4" l="1"/>
  <c r="U721" i="4" s="1"/>
  <c r="M721" i="4"/>
  <c r="N721" i="4" s="1"/>
  <c r="AH721" i="4"/>
  <c r="AI721" i="4" s="1"/>
  <c r="AA721" i="4"/>
  <c r="AB721" i="4" s="1"/>
  <c r="K721" i="4"/>
  <c r="L721" i="4" s="1"/>
  <c r="O721" i="4" s="1"/>
  <c r="P721" i="4" s="1"/>
  <c r="Y721" i="4"/>
  <c r="Z721" i="4" s="1"/>
  <c r="AC721" i="4" s="1"/>
  <c r="AD721" i="4" s="1"/>
  <c r="AE721" i="4" s="1"/>
  <c r="R721" i="4"/>
  <c r="S721" i="4" s="1"/>
  <c r="V721" i="4" s="1"/>
  <c r="W721" i="4" s="1"/>
  <c r="X721" i="4" s="1"/>
  <c r="AF721" i="4"/>
  <c r="AG721" i="4" s="1"/>
  <c r="AJ721" i="4" s="1"/>
  <c r="AK721" i="4" s="1"/>
  <c r="AL721" i="4" s="1"/>
  <c r="Q721" i="4" l="1"/>
  <c r="AM721" i="4" s="1"/>
  <c r="I722" i="4"/>
  <c r="G722" i="4"/>
  <c r="F722" i="4"/>
  <c r="D722" i="4"/>
  <c r="B722" i="4"/>
  <c r="H722" i="4"/>
  <c r="J722" i="4"/>
  <c r="E722" i="4"/>
  <c r="C722" i="4"/>
  <c r="K722" i="4" l="1"/>
  <c r="L722" i="4" s="1"/>
  <c r="AF722" i="4"/>
  <c r="AG722" i="4" s="1"/>
  <c r="R722" i="4"/>
  <c r="S722" i="4" s="1"/>
  <c r="V722" i="4" s="1"/>
  <c r="W722" i="4" s="1"/>
  <c r="X722" i="4" s="1"/>
  <c r="Y722" i="4"/>
  <c r="Z722" i="4" s="1"/>
  <c r="T722" i="4"/>
  <c r="U722" i="4" s="1"/>
  <c r="AH722" i="4"/>
  <c r="AI722" i="4" s="1"/>
  <c r="M722" i="4"/>
  <c r="N722" i="4" s="1"/>
  <c r="AA722" i="4"/>
  <c r="AB722" i="4" s="1"/>
  <c r="O722" i="4" l="1"/>
  <c r="P722" i="4" s="1"/>
  <c r="AJ722" i="4"/>
  <c r="AK722" i="4" s="1"/>
  <c r="AL722" i="4" s="1"/>
  <c r="AC722" i="4"/>
  <c r="AD722" i="4" s="1"/>
  <c r="AE722" i="4" s="1"/>
  <c r="Q722" i="4" l="1"/>
  <c r="AM722" i="4" s="1"/>
  <c r="AP83" i="4" s="1"/>
  <c r="J723" i="4"/>
  <c r="H723" i="4"/>
  <c r="F723" i="4"/>
  <c r="D723" i="4"/>
  <c r="G723" i="4"/>
  <c r="C723" i="4"/>
  <c r="I723" i="4"/>
  <c r="E723" i="4"/>
  <c r="B723" i="4"/>
  <c r="AF723" i="4" l="1"/>
  <c r="AG723" i="4" s="1"/>
  <c r="AJ723" i="4" s="1"/>
  <c r="AK723" i="4" s="1"/>
  <c r="AL723" i="4" s="1"/>
  <c r="R723" i="4"/>
  <c r="S723" i="4" s="1"/>
  <c r="Y723" i="4"/>
  <c r="Z723" i="4" s="1"/>
  <c r="AC723" i="4" s="1"/>
  <c r="AD723" i="4" s="1"/>
  <c r="AE723" i="4" s="1"/>
  <c r="K723" i="4"/>
  <c r="L723" i="4" s="1"/>
  <c r="AA723" i="4"/>
  <c r="AB723" i="4" s="1"/>
  <c r="M723" i="4"/>
  <c r="N723" i="4" s="1"/>
  <c r="T723" i="4"/>
  <c r="U723" i="4" s="1"/>
  <c r="AH723" i="4"/>
  <c r="AI723" i="4" s="1"/>
  <c r="V723" i="4" l="1"/>
  <c r="W723" i="4" s="1"/>
  <c r="X723" i="4" s="1"/>
  <c r="O723" i="4"/>
  <c r="P723" i="4" s="1"/>
  <c r="Q723" i="4" l="1"/>
  <c r="AM723" i="4" s="1"/>
  <c r="I724" i="4"/>
  <c r="J724" i="4"/>
  <c r="D724" i="4"/>
  <c r="G724" i="4"/>
  <c r="H724" i="4"/>
  <c r="B724" i="4"/>
  <c r="C724" i="4"/>
  <c r="F724" i="4"/>
  <c r="E724" i="4"/>
  <c r="R724" i="4" l="1"/>
  <c r="S724" i="4" s="1"/>
  <c r="Y724" i="4"/>
  <c r="Z724" i="4" s="1"/>
  <c r="AC724" i="4" s="1"/>
  <c r="AD724" i="4" s="1"/>
  <c r="AE724" i="4" s="1"/>
  <c r="AF724" i="4"/>
  <c r="AG724" i="4" s="1"/>
  <c r="AJ724" i="4" s="1"/>
  <c r="AK724" i="4" s="1"/>
  <c r="AL724" i="4" s="1"/>
  <c r="K724" i="4"/>
  <c r="L724" i="4" s="1"/>
  <c r="O724" i="4" s="1"/>
  <c r="P724" i="4" s="1"/>
  <c r="Q724" i="4" s="1"/>
  <c r="AH724" i="4"/>
  <c r="AI724" i="4" s="1"/>
  <c r="AA724" i="4"/>
  <c r="AB724" i="4" s="1"/>
  <c r="T724" i="4"/>
  <c r="U724" i="4" s="1"/>
  <c r="M724" i="4"/>
  <c r="N724" i="4" s="1"/>
  <c r="J725" i="4" l="1"/>
  <c r="D725" i="4"/>
  <c r="G725" i="4"/>
  <c r="H725" i="4"/>
  <c r="AM724" i="4"/>
  <c r="B725" i="4"/>
  <c r="E725" i="4"/>
  <c r="V724" i="4"/>
  <c r="W724" i="4" s="1"/>
  <c r="X724" i="4" s="1"/>
  <c r="F725" i="4"/>
  <c r="C725" i="4"/>
  <c r="T725" i="4" l="1"/>
  <c r="U725" i="4" s="1"/>
  <c r="AH725" i="4"/>
  <c r="AI725" i="4" s="1"/>
  <c r="AA725" i="4"/>
  <c r="AB725" i="4" s="1"/>
  <c r="M725" i="4"/>
  <c r="N725" i="4" s="1"/>
  <c r="Y725" i="4"/>
  <c r="Z725" i="4" s="1"/>
  <c r="AC725" i="4" s="1"/>
  <c r="AD725" i="4" s="1"/>
  <c r="AE725" i="4" s="1"/>
  <c r="R725" i="4"/>
  <c r="S725" i="4" s="1"/>
  <c r="V725" i="4" s="1"/>
  <c r="W725" i="4" s="1"/>
  <c r="X725" i="4" s="1"/>
  <c r="AF725" i="4"/>
  <c r="AG725" i="4" s="1"/>
  <c r="K725" i="4"/>
  <c r="L725" i="4" s="1"/>
  <c r="I725" i="4"/>
  <c r="O725" i="4" l="1"/>
  <c r="P725" i="4" s="1"/>
  <c r="AJ725" i="4"/>
  <c r="AK725" i="4" s="1"/>
  <c r="AL725" i="4" s="1"/>
  <c r="I726" i="4" l="1"/>
  <c r="Q725" i="4"/>
  <c r="AM725" i="4" s="1"/>
  <c r="E726" i="4"/>
  <c r="C726" i="4"/>
  <c r="F726" i="4"/>
  <c r="H726" i="4"/>
  <c r="G726" i="4"/>
  <c r="B726" i="4"/>
  <c r="D726" i="4"/>
  <c r="J726" i="4"/>
  <c r="AF726" i="4" l="1"/>
  <c r="AG726" i="4" s="1"/>
  <c r="Y726" i="4"/>
  <c r="Z726" i="4" s="1"/>
  <c r="K726" i="4"/>
  <c r="L726" i="4" s="1"/>
  <c r="O726" i="4" s="1"/>
  <c r="P726" i="4" s="1"/>
  <c r="Q726" i="4" s="1"/>
  <c r="R726" i="4"/>
  <c r="S726" i="4" s="1"/>
  <c r="V726" i="4" s="1"/>
  <c r="W726" i="4" s="1"/>
  <c r="X726" i="4" s="1"/>
  <c r="M726" i="4"/>
  <c r="N726" i="4" s="1"/>
  <c r="AH726" i="4"/>
  <c r="AI726" i="4" s="1"/>
  <c r="T726" i="4"/>
  <c r="U726" i="4" s="1"/>
  <c r="AA726" i="4"/>
  <c r="AB726" i="4" s="1"/>
  <c r="AC726" i="4" l="1"/>
  <c r="AD726" i="4" s="1"/>
  <c r="I727" i="4" s="1"/>
  <c r="F727" i="4"/>
  <c r="AJ726" i="4"/>
  <c r="AK726" i="4" s="1"/>
  <c r="AL726" i="4" s="1"/>
  <c r="AE726" i="4" l="1"/>
  <c r="AM726" i="4" s="1"/>
  <c r="G727" i="4"/>
  <c r="H727" i="4"/>
  <c r="J727" i="4"/>
  <c r="D727" i="4"/>
  <c r="E727" i="4"/>
  <c r="C727" i="4"/>
  <c r="B727" i="4"/>
  <c r="M727" i="4" l="1"/>
  <c r="N727" i="4" s="1"/>
  <c r="AH727" i="4"/>
  <c r="AI727" i="4" s="1"/>
  <c r="AA727" i="4"/>
  <c r="AB727" i="4" s="1"/>
  <c r="T727" i="4"/>
  <c r="U727" i="4" s="1"/>
  <c r="AF727" i="4"/>
  <c r="AG727" i="4" s="1"/>
  <c r="AJ727" i="4" s="1"/>
  <c r="AK727" i="4" s="1"/>
  <c r="AL727" i="4" s="1"/>
  <c r="Y727" i="4"/>
  <c r="Z727" i="4" s="1"/>
  <c r="AC727" i="4" s="1"/>
  <c r="AD727" i="4" s="1"/>
  <c r="AE727" i="4" s="1"/>
  <c r="K727" i="4"/>
  <c r="L727" i="4" s="1"/>
  <c r="O727" i="4" s="1"/>
  <c r="P727" i="4" s="1"/>
  <c r="D728" i="4" s="1"/>
  <c r="R727" i="4"/>
  <c r="S727" i="4" s="1"/>
  <c r="V727" i="4" s="1"/>
  <c r="W727" i="4" s="1"/>
  <c r="X727" i="4" s="1"/>
  <c r="J728" i="4" l="1"/>
  <c r="H728" i="4"/>
  <c r="C728" i="4"/>
  <c r="Q727" i="4"/>
  <c r="AM727" i="4" s="1"/>
  <c r="I728" i="4"/>
  <c r="F728" i="4"/>
  <c r="E728" i="4"/>
  <c r="B728" i="4"/>
  <c r="G728" i="4"/>
  <c r="AH728" i="4" l="1"/>
  <c r="AI728" i="4" s="1"/>
  <c r="T728" i="4"/>
  <c r="U728" i="4" s="1"/>
  <c r="AA728" i="4"/>
  <c r="AB728" i="4" s="1"/>
  <c r="M728" i="4"/>
  <c r="N728" i="4" s="1"/>
  <c r="R728" i="4"/>
  <c r="S728" i="4" s="1"/>
  <c r="V728" i="4" s="1"/>
  <c r="W728" i="4" s="1"/>
  <c r="X728" i="4" s="1"/>
  <c r="K728" i="4"/>
  <c r="L728" i="4" s="1"/>
  <c r="O728" i="4" s="1"/>
  <c r="P728" i="4" s="1"/>
  <c r="F729" i="4" s="1"/>
  <c r="AF728" i="4"/>
  <c r="AG728" i="4" s="1"/>
  <c r="AJ728" i="4" s="1"/>
  <c r="AK728" i="4" s="1"/>
  <c r="AL728" i="4" s="1"/>
  <c r="Y728" i="4"/>
  <c r="Z728" i="4" s="1"/>
  <c r="AC728" i="4" s="1"/>
  <c r="AD728" i="4" s="1"/>
  <c r="AE728" i="4" s="1"/>
  <c r="I729" i="4" l="1"/>
  <c r="H729" i="4"/>
  <c r="B729" i="4"/>
  <c r="Q728" i="4"/>
  <c r="AM728" i="4" s="1"/>
  <c r="D729" i="4"/>
  <c r="J729" i="4"/>
  <c r="E729" i="4"/>
  <c r="G729" i="4"/>
  <c r="C729" i="4"/>
  <c r="T729" i="4" l="1"/>
  <c r="U729" i="4" s="1"/>
  <c r="AA729" i="4"/>
  <c r="AB729" i="4" s="1"/>
  <c r="M729" i="4"/>
  <c r="N729" i="4" s="1"/>
  <c r="AH729" i="4"/>
  <c r="AI729" i="4" s="1"/>
  <c r="R729" i="4"/>
  <c r="S729" i="4" s="1"/>
  <c r="V729" i="4" s="1"/>
  <c r="W729" i="4" s="1"/>
  <c r="X729" i="4" s="1"/>
  <c r="AF729" i="4"/>
  <c r="AG729" i="4" s="1"/>
  <c r="Y729" i="4"/>
  <c r="Z729" i="4" s="1"/>
  <c r="AC729" i="4" s="1"/>
  <c r="AD729" i="4" s="1"/>
  <c r="AE729" i="4" s="1"/>
  <c r="K729" i="4"/>
  <c r="L729" i="4" s="1"/>
  <c r="O729" i="4" s="1"/>
  <c r="P729" i="4" s="1"/>
  <c r="Q729" i="4" l="1"/>
  <c r="AJ729" i="4"/>
  <c r="AK729" i="4" s="1"/>
  <c r="AL729" i="4" l="1"/>
  <c r="J730" i="4"/>
  <c r="D730" i="4"/>
  <c r="H730" i="4"/>
  <c r="C730" i="4"/>
  <c r="I730" i="4"/>
  <c r="G730" i="4"/>
  <c r="E730" i="4"/>
  <c r="F730" i="4"/>
  <c r="B730" i="4"/>
  <c r="AM729" i="4"/>
  <c r="AA730" i="4" l="1"/>
  <c r="AB730" i="4" s="1"/>
  <c r="T730" i="4"/>
  <c r="U730" i="4" s="1"/>
  <c r="AH730" i="4"/>
  <c r="AI730" i="4" s="1"/>
  <c r="M730" i="4"/>
  <c r="N730" i="4" s="1"/>
  <c r="R730" i="4"/>
  <c r="S730" i="4" s="1"/>
  <c r="V730" i="4" s="1"/>
  <c r="W730" i="4" s="1"/>
  <c r="X730" i="4" s="1"/>
  <c r="AF730" i="4"/>
  <c r="AG730" i="4" s="1"/>
  <c r="AJ730" i="4" s="1"/>
  <c r="AK730" i="4" s="1"/>
  <c r="AL730" i="4" s="1"/>
  <c r="Y730" i="4"/>
  <c r="Z730" i="4" s="1"/>
  <c r="AC730" i="4" s="1"/>
  <c r="AD730" i="4" s="1"/>
  <c r="AE730" i="4" s="1"/>
  <c r="K730" i="4"/>
  <c r="L730" i="4" s="1"/>
  <c r="O730" i="4" l="1"/>
  <c r="P730" i="4" s="1"/>
  <c r="Q730" i="4" l="1"/>
  <c r="AM730" i="4" s="1"/>
  <c r="I731" i="4"/>
  <c r="F731" i="4"/>
  <c r="B731" i="4"/>
  <c r="G731" i="4"/>
  <c r="E731" i="4"/>
  <c r="H731" i="4"/>
  <c r="C731" i="4"/>
  <c r="D731" i="4"/>
  <c r="J731" i="4"/>
  <c r="AH731" i="4" l="1"/>
  <c r="AI731" i="4" s="1"/>
  <c r="AA731" i="4"/>
  <c r="AB731" i="4" s="1"/>
  <c r="M731" i="4"/>
  <c r="N731" i="4" s="1"/>
  <c r="T731" i="4"/>
  <c r="U731" i="4" s="1"/>
  <c r="AF731" i="4"/>
  <c r="AG731" i="4" s="1"/>
  <c r="Y731" i="4"/>
  <c r="Z731" i="4" s="1"/>
  <c r="R731" i="4"/>
  <c r="S731" i="4" s="1"/>
  <c r="V731" i="4" s="1"/>
  <c r="W731" i="4" s="1"/>
  <c r="X731" i="4" s="1"/>
  <c r="K731" i="4"/>
  <c r="L731" i="4" s="1"/>
  <c r="O731" i="4" l="1"/>
  <c r="P731" i="4" s="1"/>
  <c r="AC731" i="4"/>
  <c r="AD731" i="4" s="1"/>
  <c r="AE731" i="4" s="1"/>
  <c r="AJ731" i="4"/>
  <c r="AK731" i="4" s="1"/>
  <c r="AL731" i="4" s="1"/>
  <c r="Q731" i="4" l="1"/>
  <c r="AM731" i="4" s="1"/>
  <c r="C732" i="4"/>
  <c r="D732" i="4"/>
  <c r="H732" i="4"/>
  <c r="E732" i="4"/>
  <c r="F732" i="4"/>
  <c r="B732" i="4"/>
  <c r="I732" i="4"/>
  <c r="J732" i="4"/>
  <c r="G732" i="4"/>
  <c r="R732" i="4" l="1"/>
  <c r="S732" i="4" s="1"/>
  <c r="AF732" i="4"/>
  <c r="AG732" i="4" s="1"/>
  <c r="Y732" i="4"/>
  <c r="Z732" i="4" s="1"/>
  <c r="K732" i="4"/>
  <c r="L732" i="4" s="1"/>
  <c r="AH732" i="4"/>
  <c r="AI732" i="4" s="1"/>
  <c r="AA732" i="4"/>
  <c r="AB732" i="4" s="1"/>
  <c r="M732" i="4"/>
  <c r="N732" i="4" s="1"/>
  <c r="T732" i="4"/>
  <c r="U732" i="4" s="1"/>
  <c r="O732" i="4" l="1"/>
  <c r="P732" i="4" s="1"/>
  <c r="AC732" i="4"/>
  <c r="AD732" i="4" s="1"/>
  <c r="AE732" i="4" s="1"/>
  <c r="AJ732" i="4"/>
  <c r="AK732" i="4" s="1"/>
  <c r="AL732" i="4" s="1"/>
  <c r="V732" i="4"/>
  <c r="W732" i="4" s="1"/>
  <c r="X732" i="4" s="1"/>
  <c r="Q732" i="4" l="1"/>
  <c r="AM732" i="4" s="1"/>
  <c r="AP84" i="4" s="1"/>
  <c r="D733" i="4"/>
  <c r="J733" i="4"/>
  <c r="C733" i="4"/>
  <c r="B733" i="4"/>
  <c r="E733" i="4"/>
  <c r="F733" i="4"/>
  <c r="G733" i="4"/>
  <c r="H733" i="4"/>
  <c r="I733" i="4"/>
  <c r="T733" i="4" l="1"/>
  <c r="U733" i="4" s="1"/>
  <c r="M733" i="4"/>
  <c r="N733" i="4" s="1"/>
  <c r="AA733" i="4"/>
  <c r="AB733" i="4" s="1"/>
  <c r="AH733" i="4"/>
  <c r="AI733" i="4" s="1"/>
  <c r="AF733" i="4"/>
  <c r="AG733" i="4" s="1"/>
  <c r="AJ733" i="4" s="1"/>
  <c r="AK733" i="4" s="1"/>
  <c r="AL733" i="4" s="1"/>
  <c r="Y733" i="4"/>
  <c r="Z733" i="4" s="1"/>
  <c r="K733" i="4"/>
  <c r="L733" i="4" s="1"/>
  <c r="O733" i="4" s="1"/>
  <c r="P733" i="4" s="1"/>
  <c r="Q733" i="4" s="1"/>
  <c r="R733" i="4"/>
  <c r="S733" i="4" s="1"/>
  <c r="V733" i="4" s="1"/>
  <c r="W733" i="4" s="1"/>
  <c r="X733" i="4" s="1"/>
  <c r="AC733" i="4" l="1"/>
  <c r="AD733" i="4" s="1"/>
  <c r="H734" i="4"/>
  <c r="B734" i="4"/>
  <c r="AF734" i="4" l="1"/>
  <c r="AG734" i="4" s="1"/>
  <c r="R734" i="4"/>
  <c r="S734" i="4" s="1"/>
  <c r="AE733" i="4"/>
  <c r="AM733" i="4" s="1"/>
  <c r="E734" i="4"/>
  <c r="D734" i="4"/>
  <c r="C734" i="4"/>
  <c r="Y734" i="4" s="1"/>
  <c r="Z734" i="4" s="1"/>
  <c r="G734" i="4"/>
  <c r="F734" i="4"/>
  <c r="I734" i="4"/>
  <c r="J734" i="4"/>
  <c r="T734" i="4" l="1"/>
  <c r="U734" i="4" s="1"/>
  <c r="M734" i="4"/>
  <c r="N734" i="4" s="1"/>
  <c r="AH734" i="4"/>
  <c r="AI734" i="4" s="1"/>
  <c r="AJ734" i="4" s="1"/>
  <c r="AK734" i="4" s="1"/>
  <c r="AL734" i="4" s="1"/>
  <c r="AA734" i="4"/>
  <c r="AB734" i="4" s="1"/>
  <c r="AC734" i="4" s="1"/>
  <c r="AD734" i="4" s="1"/>
  <c r="V734" i="4"/>
  <c r="W734" i="4" s="1"/>
  <c r="X734" i="4" s="1"/>
  <c r="K734" i="4"/>
  <c r="L734" i="4" s="1"/>
  <c r="O734" i="4" s="1"/>
  <c r="P734" i="4" s="1"/>
  <c r="D735" i="4" s="1"/>
  <c r="AE734" i="4" l="1"/>
  <c r="I735" i="4"/>
  <c r="Q734" i="4"/>
  <c r="AM734" i="4" s="1"/>
  <c r="B735" i="4"/>
  <c r="H735" i="4"/>
  <c r="E735" i="4"/>
  <c r="C735" i="4"/>
  <c r="J735" i="4"/>
  <c r="F735" i="4"/>
  <c r="G735" i="4"/>
  <c r="T735" i="4" l="1"/>
  <c r="U735" i="4" s="1"/>
  <c r="M735" i="4"/>
  <c r="N735" i="4" s="1"/>
  <c r="AH735" i="4"/>
  <c r="AI735" i="4" s="1"/>
  <c r="AA735" i="4"/>
  <c r="AB735" i="4" s="1"/>
  <c r="AF735" i="4"/>
  <c r="AG735" i="4" s="1"/>
  <c r="AJ735" i="4" s="1"/>
  <c r="AK735" i="4" s="1"/>
  <c r="AL735" i="4" s="1"/>
  <c r="K735" i="4"/>
  <c r="L735" i="4" s="1"/>
  <c r="O735" i="4" s="1"/>
  <c r="P735" i="4" s="1"/>
  <c r="Y735" i="4"/>
  <c r="Z735" i="4" s="1"/>
  <c r="R735" i="4"/>
  <c r="S735" i="4" s="1"/>
  <c r="V735" i="4" s="1"/>
  <c r="W735" i="4" s="1"/>
  <c r="X735" i="4" s="1"/>
  <c r="Q735" i="4" l="1"/>
  <c r="J736" i="4"/>
  <c r="G736" i="4"/>
  <c r="B736" i="4"/>
  <c r="H736" i="4"/>
  <c r="C736" i="4"/>
  <c r="AC735" i="4"/>
  <c r="AD735" i="4" s="1"/>
  <c r="AE735" i="4" s="1"/>
  <c r="F736" i="4" l="1"/>
  <c r="I736" i="4"/>
  <c r="D736" i="4"/>
  <c r="R736" i="4" s="1"/>
  <c r="S736" i="4" s="1"/>
  <c r="E736" i="4"/>
  <c r="AM735" i="4"/>
  <c r="AH736" i="4" l="1"/>
  <c r="AI736" i="4" s="1"/>
  <c r="AA736" i="4"/>
  <c r="AB736" i="4" s="1"/>
  <c r="T736" i="4"/>
  <c r="U736" i="4" s="1"/>
  <c r="V736" i="4" s="1"/>
  <c r="W736" i="4" s="1"/>
  <c r="X736" i="4" s="1"/>
  <c r="M736" i="4"/>
  <c r="N736" i="4" s="1"/>
  <c r="Y736" i="4"/>
  <c r="Z736" i="4" s="1"/>
  <c r="AC736" i="4" s="1"/>
  <c r="AD736" i="4" s="1"/>
  <c r="AE736" i="4" s="1"/>
  <c r="AF736" i="4"/>
  <c r="AG736" i="4" s="1"/>
  <c r="AJ736" i="4" s="1"/>
  <c r="AK736" i="4" s="1"/>
  <c r="AL736" i="4" s="1"/>
  <c r="K736" i="4"/>
  <c r="L736" i="4" s="1"/>
  <c r="O736" i="4" l="1"/>
  <c r="P736" i="4" s="1"/>
  <c r="Q736" i="4" l="1"/>
  <c r="AM736" i="4" s="1"/>
  <c r="C737" i="4"/>
  <c r="J737" i="4"/>
  <c r="G737" i="4"/>
  <c r="H737" i="4"/>
  <c r="B737" i="4"/>
  <c r="E737" i="4"/>
  <c r="F737" i="4"/>
  <c r="D737" i="4"/>
  <c r="I737" i="4"/>
  <c r="T737" i="4" l="1"/>
  <c r="U737" i="4" s="1"/>
  <c r="AH737" i="4"/>
  <c r="AI737" i="4" s="1"/>
  <c r="AA737" i="4"/>
  <c r="AB737" i="4" s="1"/>
  <c r="M737" i="4"/>
  <c r="N737" i="4" s="1"/>
  <c r="Y737" i="4"/>
  <c r="Z737" i="4" s="1"/>
  <c r="AF737" i="4"/>
  <c r="AG737" i="4" s="1"/>
  <c r="R737" i="4"/>
  <c r="S737" i="4" s="1"/>
  <c r="V737" i="4" s="1"/>
  <c r="W737" i="4" s="1"/>
  <c r="X737" i="4" s="1"/>
  <c r="K737" i="4"/>
  <c r="L737" i="4" s="1"/>
  <c r="O737" i="4" s="1"/>
  <c r="P737" i="4" s="1"/>
  <c r="Q737" i="4" s="1"/>
  <c r="B738" i="4" l="1"/>
  <c r="AJ737" i="4"/>
  <c r="AK737" i="4" s="1"/>
  <c r="AL737" i="4" s="1"/>
  <c r="AM737" i="4" s="1"/>
  <c r="AC737" i="4"/>
  <c r="AD737" i="4" s="1"/>
  <c r="AE737" i="4" s="1"/>
  <c r="E738" i="4" l="1"/>
  <c r="K738" i="4"/>
  <c r="L738" i="4" s="1"/>
  <c r="G738" i="4"/>
  <c r="D738" i="4"/>
  <c r="F738" i="4"/>
  <c r="C738" i="4"/>
  <c r="H738" i="4"/>
  <c r="I738" i="4"/>
  <c r="J738" i="4"/>
  <c r="R738" i="4" l="1"/>
  <c r="S738" i="4" s="1"/>
  <c r="AF738" i="4"/>
  <c r="AG738" i="4" s="1"/>
  <c r="AJ738" i="4" s="1"/>
  <c r="AK738" i="4" s="1"/>
  <c r="AL738" i="4" s="1"/>
  <c r="Y738" i="4"/>
  <c r="Z738" i="4" s="1"/>
  <c r="AH738" i="4"/>
  <c r="AI738" i="4" s="1"/>
  <c r="T738" i="4"/>
  <c r="U738" i="4" s="1"/>
  <c r="AA738" i="4"/>
  <c r="AB738" i="4" s="1"/>
  <c r="M738" i="4"/>
  <c r="N738" i="4" s="1"/>
  <c r="O738" i="4" s="1"/>
  <c r="P738" i="4" s="1"/>
  <c r="Q738" i="4" l="1"/>
  <c r="F739" i="4"/>
  <c r="I739" i="4"/>
  <c r="E739" i="4"/>
  <c r="V738" i="4"/>
  <c r="W738" i="4" s="1"/>
  <c r="X738" i="4" s="1"/>
  <c r="AC738" i="4"/>
  <c r="AD738" i="4" s="1"/>
  <c r="AE738" i="4" s="1"/>
  <c r="AA739" i="4" l="1"/>
  <c r="AB739" i="4" s="1"/>
  <c r="AH739" i="4"/>
  <c r="AI739" i="4" s="1"/>
  <c r="T739" i="4"/>
  <c r="U739" i="4" s="1"/>
  <c r="J739" i="4"/>
  <c r="G739" i="4"/>
  <c r="D739" i="4"/>
  <c r="C739" i="4"/>
  <c r="B739" i="4"/>
  <c r="H739" i="4"/>
  <c r="AM738" i="4"/>
  <c r="AF739" i="4" l="1"/>
  <c r="AG739" i="4" s="1"/>
  <c r="AJ739" i="4" s="1"/>
  <c r="AK739" i="4" s="1"/>
  <c r="AL739" i="4" s="1"/>
  <c r="R739" i="4"/>
  <c r="S739" i="4" s="1"/>
  <c r="V739" i="4" s="1"/>
  <c r="W739" i="4" s="1"/>
  <c r="X739" i="4" s="1"/>
  <c r="Y739" i="4"/>
  <c r="Z739" i="4" s="1"/>
  <c r="AC739" i="4" s="1"/>
  <c r="AD739" i="4" s="1"/>
  <c r="AE739" i="4" s="1"/>
  <c r="K739" i="4"/>
  <c r="L739" i="4" s="1"/>
  <c r="O739" i="4" s="1"/>
  <c r="P739" i="4" s="1"/>
  <c r="M739" i="4"/>
  <c r="N739" i="4" s="1"/>
  <c r="Q739" i="4" l="1"/>
  <c r="AM739" i="4" s="1"/>
  <c r="E740" i="4"/>
  <c r="I740" i="4"/>
  <c r="F740" i="4"/>
  <c r="H740" i="4"/>
  <c r="D740" i="4"/>
  <c r="J740" i="4"/>
  <c r="G740" i="4"/>
  <c r="C740" i="4"/>
  <c r="B740" i="4"/>
  <c r="AH740" i="4" l="1"/>
  <c r="AI740" i="4" s="1"/>
  <c r="M740" i="4"/>
  <c r="N740" i="4" s="1"/>
  <c r="AA740" i="4"/>
  <c r="AB740" i="4" s="1"/>
  <c r="T740" i="4"/>
  <c r="U740" i="4" s="1"/>
  <c r="R740" i="4"/>
  <c r="S740" i="4" s="1"/>
  <c r="V740" i="4" s="1"/>
  <c r="W740" i="4" s="1"/>
  <c r="X740" i="4" s="1"/>
  <c r="Y740" i="4"/>
  <c r="Z740" i="4" s="1"/>
  <c r="K740" i="4"/>
  <c r="L740" i="4" s="1"/>
  <c r="AF740" i="4"/>
  <c r="AG740" i="4" s="1"/>
  <c r="AJ740" i="4" s="1"/>
  <c r="AK740" i="4" s="1"/>
  <c r="AL740" i="4" s="1"/>
  <c r="O740" i="4" l="1"/>
  <c r="P740" i="4" s="1"/>
  <c r="AC740" i="4"/>
  <c r="AD740" i="4" s="1"/>
  <c r="AE740" i="4" s="1"/>
  <c r="Q740" i="4" l="1"/>
  <c r="AM740" i="4" s="1"/>
  <c r="D741" i="4"/>
  <c r="C741" i="4"/>
  <c r="B741" i="4"/>
  <c r="G741" i="4"/>
  <c r="H741" i="4"/>
  <c r="J741" i="4"/>
  <c r="I741" i="4"/>
  <c r="F741" i="4"/>
  <c r="E741" i="4"/>
  <c r="K741" i="4" l="1"/>
  <c r="L741" i="4" s="1"/>
  <c r="O741" i="4" s="1"/>
  <c r="P741" i="4" s="1"/>
  <c r="Q741" i="4" s="1"/>
  <c r="Y741" i="4"/>
  <c r="Z741" i="4" s="1"/>
  <c r="AC741" i="4" s="1"/>
  <c r="AD741" i="4" s="1"/>
  <c r="AE741" i="4" s="1"/>
  <c r="AF741" i="4"/>
  <c r="AG741" i="4" s="1"/>
  <c r="AJ741" i="4" s="1"/>
  <c r="AK741" i="4" s="1"/>
  <c r="AL741" i="4" s="1"/>
  <c r="R741" i="4"/>
  <c r="S741" i="4" s="1"/>
  <c r="V741" i="4" s="1"/>
  <c r="W741" i="4" s="1"/>
  <c r="X741" i="4" s="1"/>
  <c r="T741" i="4"/>
  <c r="U741" i="4" s="1"/>
  <c r="AA741" i="4"/>
  <c r="AB741" i="4" s="1"/>
  <c r="M741" i="4"/>
  <c r="N741" i="4" s="1"/>
  <c r="AH741" i="4"/>
  <c r="AI741" i="4" s="1"/>
  <c r="C742" i="4" l="1"/>
  <c r="H742" i="4"/>
  <c r="D742" i="4"/>
  <c r="AM741" i="4"/>
  <c r="J742" i="4"/>
  <c r="I742" i="4"/>
  <c r="E742" i="4"/>
  <c r="B742" i="4"/>
  <c r="F742" i="4"/>
  <c r="G742" i="4"/>
  <c r="R742" i="4" l="1"/>
  <c r="S742" i="4" s="1"/>
  <c r="Y742" i="4"/>
  <c r="Z742" i="4" s="1"/>
  <c r="K742" i="4"/>
  <c r="L742" i="4" s="1"/>
  <c r="AF742" i="4"/>
  <c r="AG742" i="4" s="1"/>
  <c r="AA742" i="4"/>
  <c r="AB742" i="4" s="1"/>
  <c r="M742" i="4"/>
  <c r="N742" i="4" s="1"/>
  <c r="AH742" i="4"/>
  <c r="AI742" i="4" s="1"/>
  <c r="T742" i="4"/>
  <c r="U742" i="4" s="1"/>
  <c r="AJ742" i="4" l="1"/>
  <c r="AK742" i="4" s="1"/>
  <c r="AL742" i="4" s="1"/>
  <c r="O742" i="4"/>
  <c r="P742" i="4" s="1"/>
  <c r="AC742" i="4"/>
  <c r="AD742" i="4" s="1"/>
  <c r="AE742" i="4" s="1"/>
  <c r="V742" i="4"/>
  <c r="W742" i="4" s="1"/>
  <c r="X742" i="4" s="1"/>
  <c r="Q742" i="4" l="1"/>
  <c r="AM742" i="4" s="1"/>
  <c r="AP85" i="4" s="1"/>
  <c r="E743" i="4"/>
  <c r="C743" i="4"/>
  <c r="B743" i="4"/>
  <c r="I743" i="4"/>
  <c r="D743" i="4"/>
  <c r="G743" i="4"/>
  <c r="H743" i="4"/>
  <c r="J743" i="4"/>
  <c r="F743" i="4"/>
  <c r="AF743" i="4" l="1"/>
  <c r="AG743" i="4" s="1"/>
  <c r="AJ743" i="4" s="1"/>
  <c r="AK743" i="4" s="1"/>
  <c r="AL743" i="4" s="1"/>
  <c r="R743" i="4"/>
  <c r="S743" i="4" s="1"/>
  <c r="Y743" i="4"/>
  <c r="Z743" i="4" s="1"/>
  <c r="AC743" i="4" s="1"/>
  <c r="AD743" i="4" s="1"/>
  <c r="AE743" i="4" s="1"/>
  <c r="K743" i="4"/>
  <c r="L743" i="4" s="1"/>
  <c r="O743" i="4" s="1"/>
  <c r="P743" i="4" s="1"/>
  <c r="Q743" i="4" s="1"/>
  <c r="AA743" i="4"/>
  <c r="AB743" i="4" s="1"/>
  <c r="M743" i="4"/>
  <c r="N743" i="4" s="1"/>
  <c r="AH743" i="4"/>
  <c r="AI743" i="4" s="1"/>
  <c r="T743" i="4"/>
  <c r="U743" i="4" s="1"/>
  <c r="V743" i="4" l="1"/>
  <c r="W743" i="4" s="1"/>
  <c r="X743" i="4" s="1"/>
  <c r="AM743" i="4" s="1"/>
  <c r="E744" i="4" l="1"/>
  <c r="D744" i="4"/>
  <c r="F744" i="4"/>
  <c r="C744" i="4"/>
  <c r="B744" i="4"/>
  <c r="H744" i="4"/>
  <c r="G744" i="4"/>
  <c r="J744" i="4"/>
  <c r="I744" i="4"/>
  <c r="R744" i="4" l="1"/>
  <c r="S744" i="4" s="1"/>
  <c r="Y744" i="4"/>
  <c r="Z744" i="4" s="1"/>
  <c r="K744" i="4"/>
  <c r="L744" i="4" s="1"/>
  <c r="O744" i="4" s="1"/>
  <c r="P744" i="4" s="1"/>
  <c r="Q744" i="4" s="1"/>
  <c r="AF744" i="4"/>
  <c r="AG744" i="4" s="1"/>
  <c r="AJ744" i="4" s="1"/>
  <c r="AK744" i="4" s="1"/>
  <c r="AL744" i="4" s="1"/>
  <c r="AH744" i="4"/>
  <c r="AI744" i="4" s="1"/>
  <c r="T744" i="4"/>
  <c r="U744" i="4" s="1"/>
  <c r="AA744" i="4"/>
  <c r="AB744" i="4" s="1"/>
  <c r="M744" i="4"/>
  <c r="N744" i="4" s="1"/>
  <c r="AC744" i="4" l="1"/>
  <c r="AD744" i="4" s="1"/>
  <c r="AE744" i="4" s="1"/>
  <c r="V744" i="4"/>
  <c r="W744" i="4" s="1"/>
  <c r="H745" i="4" s="1"/>
  <c r="C745" i="4"/>
  <c r="G745" i="4"/>
  <c r="D745" i="4"/>
  <c r="J745" i="4"/>
  <c r="X744" i="4" l="1"/>
  <c r="AM744" i="4" s="1"/>
  <c r="E745" i="4"/>
  <c r="B745" i="4"/>
  <c r="I745" i="4"/>
  <c r="F745" i="4"/>
  <c r="T745" i="4" l="1"/>
  <c r="U745" i="4" s="1"/>
  <c r="AA745" i="4"/>
  <c r="AB745" i="4" s="1"/>
  <c r="AH745" i="4"/>
  <c r="AI745" i="4" s="1"/>
  <c r="M745" i="4"/>
  <c r="N745" i="4" s="1"/>
  <c r="Y745" i="4"/>
  <c r="Z745" i="4" s="1"/>
  <c r="AC745" i="4" s="1"/>
  <c r="AD745" i="4" s="1"/>
  <c r="AE745" i="4" s="1"/>
  <c r="K745" i="4"/>
  <c r="L745" i="4" s="1"/>
  <c r="AF745" i="4"/>
  <c r="AG745" i="4" s="1"/>
  <c r="R745" i="4"/>
  <c r="S745" i="4" s="1"/>
  <c r="V745" i="4" s="1"/>
  <c r="W745" i="4" s="1"/>
  <c r="X745" i="4" s="1"/>
  <c r="AJ745" i="4" l="1"/>
  <c r="AK745" i="4" s="1"/>
  <c r="AL745" i="4" s="1"/>
  <c r="O745" i="4"/>
  <c r="P745" i="4" s="1"/>
  <c r="Q745" i="4" l="1"/>
  <c r="AM745" i="4" s="1"/>
  <c r="H746" i="4"/>
  <c r="J746" i="4"/>
  <c r="G746" i="4"/>
  <c r="D746" i="4"/>
  <c r="C746" i="4"/>
  <c r="I746" i="4"/>
  <c r="E746" i="4"/>
  <c r="F746" i="4"/>
  <c r="B746" i="4"/>
  <c r="M746" i="4" l="1"/>
  <c r="N746" i="4" s="1"/>
  <c r="AA746" i="4"/>
  <c r="AB746" i="4" s="1"/>
  <c r="AH746" i="4"/>
  <c r="AI746" i="4" s="1"/>
  <c r="T746" i="4"/>
  <c r="U746" i="4" s="1"/>
  <c r="K746" i="4"/>
  <c r="L746" i="4" s="1"/>
  <c r="O746" i="4" s="1"/>
  <c r="P746" i="4" s="1"/>
  <c r="Q746" i="4" s="1"/>
  <c r="AF746" i="4"/>
  <c r="AG746" i="4" s="1"/>
  <c r="AJ746" i="4" s="1"/>
  <c r="AK746" i="4" s="1"/>
  <c r="AL746" i="4" s="1"/>
  <c r="Y746" i="4"/>
  <c r="Z746" i="4" s="1"/>
  <c r="AC746" i="4" s="1"/>
  <c r="AD746" i="4" s="1"/>
  <c r="AE746" i="4" s="1"/>
  <c r="R746" i="4"/>
  <c r="S746" i="4" s="1"/>
  <c r="V746" i="4" s="1"/>
  <c r="W746" i="4" s="1"/>
  <c r="X746" i="4" s="1"/>
  <c r="H747" i="4" l="1"/>
  <c r="G747" i="4"/>
  <c r="B747" i="4"/>
  <c r="C747" i="4"/>
  <c r="I747" i="4"/>
  <c r="J747" i="4"/>
  <c r="E747" i="4"/>
  <c r="AM746" i="4"/>
  <c r="F747" i="4"/>
  <c r="D747" i="4"/>
  <c r="M747" i="4" l="1"/>
  <c r="N747" i="4" s="1"/>
  <c r="AA747" i="4"/>
  <c r="AB747" i="4" s="1"/>
  <c r="T747" i="4"/>
  <c r="U747" i="4" s="1"/>
  <c r="AH747" i="4"/>
  <c r="AI747" i="4" s="1"/>
  <c r="AF747" i="4"/>
  <c r="AG747" i="4" s="1"/>
  <c r="Y747" i="4"/>
  <c r="Z747" i="4" s="1"/>
  <c r="AC747" i="4" s="1"/>
  <c r="AD747" i="4" s="1"/>
  <c r="AE747" i="4" s="1"/>
  <c r="K747" i="4"/>
  <c r="L747" i="4" s="1"/>
  <c r="O747" i="4" s="1"/>
  <c r="P747" i="4" s="1"/>
  <c r="Q747" i="4" s="1"/>
  <c r="R747" i="4"/>
  <c r="S747" i="4" s="1"/>
  <c r="V747" i="4" s="1"/>
  <c r="W747" i="4" s="1"/>
  <c r="X747" i="4" s="1"/>
  <c r="AJ747" i="4" l="1"/>
  <c r="AK747" i="4" s="1"/>
  <c r="AL747" i="4" s="1"/>
  <c r="AM747" i="4" s="1"/>
  <c r="B748" i="4" l="1"/>
  <c r="E748" i="4"/>
  <c r="C748" i="4"/>
  <c r="J748" i="4"/>
  <c r="G748" i="4"/>
  <c r="I748" i="4"/>
  <c r="D748" i="4"/>
  <c r="H748" i="4"/>
  <c r="F748" i="4"/>
  <c r="AH748" i="4" l="1"/>
  <c r="AI748" i="4" s="1"/>
  <c r="AA748" i="4"/>
  <c r="AB748" i="4" s="1"/>
  <c r="T748" i="4"/>
  <c r="U748" i="4" s="1"/>
  <c r="M748" i="4"/>
  <c r="N748" i="4" s="1"/>
  <c r="R748" i="4"/>
  <c r="S748" i="4" s="1"/>
  <c r="Y748" i="4"/>
  <c r="Z748" i="4" s="1"/>
  <c r="AC748" i="4" s="1"/>
  <c r="AD748" i="4" s="1"/>
  <c r="AE748" i="4" s="1"/>
  <c r="K748" i="4"/>
  <c r="L748" i="4" s="1"/>
  <c r="O748" i="4" s="1"/>
  <c r="P748" i="4" s="1"/>
  <c r="Q748" i="4" s="1"/>
  <c r="AF748" i="4"/>
  <c r="AG748" i="4" s="1"/>
  <c r="AJ748" i="4" s="1"/>
  <c r="AK748" i="4" s="1"/>
  <c r="AL748" i="4" s="1"/>
  <c r="V748" i="4" l="1"/>
  <c r="W748" i="4" s="1"/>
  <c r="H749" i="4" s="1"/>
  <c r="F749" i="4"/>
  <c r="C749" i="4"/>
  <c r="J749" i="4"/>
  <c r="I749" i="4"/>
  <c r="G749" i="4"/>
  <c r="X748" i="4" l="1"/>
  <c r="AM748" i="4" s="1"/>
  <c r="B749" i="4"/>
  <c r="E749" i="4"/>
  <c r="D749" i="4"/>
  <c r="K749" i="4" l="1"/>
  <c r="L749" i="4" s="1"/>
  <c r="Y749" i="4"/>
  <c r="Z749" i="4" s="1"/>
  <c r="R749" i="4"/>
  <c r="S749" i="4" s="1"/>
  <c r="AF749" i="4"/>
  <c r="AG749" i="4" s="1"/>
  <c r="AJ749" i="4" s="1"/>
  <c r="AK749" i="4" s="1"/>
  <c r="AL749" i="4" s="1"/>
  <c r="T749" i="4"/>
  <c r="U749" i="4" s="1"/>
  <c r="AA749" i="4"/>
  <c r="AB749" i="4" s="1"/>
  <c r="M749" i="4"/>
  <c r="N749" i="4" s="1"/>
  <c r="AH749" i="4"/>
  <c r="AI749" i="4" s="1"/>
  <c r="AC749" i="4" l="1"/>
  <c r="AD749" i="4" s="1"/>
  <c r="AE749" i="4" s="1"/>
  <c r="V749" i="4"/>
  <c r="W749" i="4" s="1"/>
  <c r="X749" i="4" s="1"/>
  <c r="O749" i="4"/>
  <c r="P749" i="4" s="1"/>
  <c r="Q749" i="4" l="1"/>
  <c r="AM749" i="4" s="1"/>
  <c r="H750" i="4"/>
  <c r="G750" i="4"/>
  <c r="I750" i="4"/>
  <c r="J750" i="4"/>
  <c r="F750" i="4"/>
  <c r="C750" i="4"/>
  <c r="D750" i="4"/>
  <c r="B750" i="4"/>
  <c r="E750" i="4"/>
  <c r="M750" i="4" l="1"/>
  <c r="N750" i="4" s="1"/>
  <c r="AA750" i="4"/>
  <c r="AB750" i="4" s="1"/>
  <c r="T750" i="4"/>
  <c r="U750" i="4" s="1"/>
  <c r="AH750" i="4"/>
  <c r="AI750" i="4" s="1"/>
  <c r="K750" i="4"/>
  <c r="L750" i="4" s="1"/>
  <c r="Y750" i="4"/>
  <c r="Z750" i="4" s="1"/>
  <c r="AC750" i="4" s="1"/>
  <c r="AD750" i="4" s="1"/>
  <c r="AE750" i="4" s="1"/>
  <c r="R750" i="4"/>
  <c r="S750" i="4" s="1"/>
  <c r="V750" i="4" s="1"/>
  <c r="W750" i="4" s="1"/>
  <c r="X750" i="4" s="1"/>
  <c r="AF750" i="4"/>
  <c r="AG750" i="4" s="1"/>
  <c r="O750" i="4" l="1"/>
  <c r="P750" i="4" s="1"/>
  <c r="AJ750" i="4"/>
  <c r="AK750" i="4" s="1"/>
  <c r="AL750" i="4" s="1"/>
  <c r="Q750" i="4" l="1"/>
  <c r="AM750" i="4" s="1"/>
  <c r="D751" i="4"/>
  <c r="E751" i="4"/>
  <c r="C751" i="4"/>
  <c r="F751" i="4"/>
  <c r="G751" i="4"/>
  <c r="H751" i="4"/>
  <c r="J751" i="4"/>
  <c r="I751" i="4"/>
  <c r="B751" i="4"/>
  <c r="AF751" i="4" l="1"/>
  <c r="AG751" i="4" s="1"/>
  <c r="Y751" i="4"/>
  <c r="Z751" i="4" s="1"/>
  <c r="AC751" i="4" s="1"/>
  <c r="AD751" i="4" s="1"/>
  <c r="AE751" i="4" s="1"/>
  <c r="K751" i="4"/>
  <c r="L751" i="4" s="1"/>
  <c r="O751" i="4" s="1"/>
  <c r="P751" i="4" s="1"/>
  <c r="Q751" i="4" s="1"/>
  <c r="R751" i="4"/>
  <c r="S751" i="4" s="1"/>
  <c r="M751" i="4"/>
  <c r="N751" i="4" s="1"/>
  <c r="AA751" i="4"/>
  <c r="AB751" i="4" s="1"/>
  <c r="T751" i="4"/>
  <c r="U751" i="4" s="1"/>
  <c r="AH751" i="4"/>
  <c r="AI751" i="4" s="1"/>
  <c r="AJ751" i="4" l="1"/>
  <c r="AK751" i="4" s="1"/>
  <c r="AL751" i="4" s="1"/>
  <c r="C752" i="4"/>
  <c r="D752" i="4"/>
  <c r="E752" i="4"/>
  <c r="G752" i="4"/>
  <c r="F752" i="4"/>
  <c r="V751" i="4"/>
  <c r="W751" i="4" s="1"/>
  <c r="X751" i="4" s="1"/>
  <c r="AM751" i="4" s="1"/>
  <c r="J752" i="4"/>
  <c r="AH752" i="4" l="1"/>
  <c r="AI752" i="4" s="1"/>
  <c r="AA752" i="4"/>
  <c r="AB752" i="4" s="1"/>
  <c r="M752" i="4"/>
  <c r="N752" i="4" s="1"/>
  <c r="T752" i="4"/>
  <c r="U752" i="4" s="1"/>
  <c r="B752" i="4"/>
  <c r="I752" i="4"/>
  <c r="H752" i="4"/>
  <c r="R752" i="4" l="1"/>
  <c r="S752" i="4" s="1"/>
  <c r="V752" i="4" s="1"/>
  <c r="W752" i="4" s="1"/>
  <c r="X752" i="4" s="1"/>
  <c r="Y752" i="4"/>
  <c r="Z752" i="4" s="1"/>
  <c r="AC752" i="4" s="1"/>
  <c r="AD752" i="4" s="1"/>
  <c r="AE752" i="4" s="1"/>
  <c r="AF752" i="4"/>
  <c r="AG752" i="4" s="1"/>
  <c r="AJ752" i="4" s="1"/>
  <c r="AK752" i="4" s="1"/>
  <c r="AL752" i="4" s="1"/>
  <c r="K752" i="4"/>
  <c r="L752" i="4" s="1"/>
  <c r="O752" i="4" s="1"/>
  <c r="P752" i="4" s="1"/>
  <c r="Q752" i="4" l="1"/>
  <c r="AM752" i="4" s="1"/>
  <c r="AP86" i="4" s="1"/>
  <c r="G753" i="4"/>
  <c r="D753" i="4"/>
  <c r="C753" i="4"/>
  <c r="J753" i="4"/>
  <c r="F753" i="4"/>
  <c r="E753" i="4"/>
  <c r="I753" i="4"/>
  <c r="B753" i="4"/>
  <c r="H753" i="4"/>
  <c r="AH753" i="4" l="1"/>
  <c r="AI753" i="4" s="1"/>
  <c r="M753" i="4"/>
  <c r="N753" i="4" s="1"/>
  <c r="AA753" i="4"/>
  <c r="AB753" i="4" s="1"/>
  <c r="T753" i="4"/>
  <c r="U753" i="4" s="1"/>
  <c r="AF753" i="4"/>
  <c r="AG753" i="4" s="1"/>
  <c r="AJ753" i="4" s="1"/>
  <c r="AK753" i="4" s="1"/>
  <c r="AL753" i="4" s="1"/>
  <c r="Y753" i="4"/>
  <c r="Z753" i="4" s="1"/>
  <c r="AC753" i="4" s="1"/>
  <c r="AD753" i="4" s="1"/>
  <c r="AE753" i="4" s="1"/>
  <c r="R753" i="4"/>
  <c r="S753" i="4" s="1"/>
  <c r="V753" i="4" s="1"/>
  <c r="W753" i="4" s="1"/>
  <c r="X753" i="4" s="1"/>
  <c r="K753" i="4"/>
  <c r="L753" i="4" s="1"/>
  <c r="O753" i="4" l="1"/>
  <c r="P753" i="4" s="1"/>
  <c r="Q753" i="4" l="1"/>
  <c r="AM753" i="4" s="1"/>
  <c r="F754" i="4"/>
  <c r="D754" i="4"/>
  <c r="I754" i="4"/>
  <c r="G754" i="4"/>
  <c r="E754" i="4"/>
  <c r="C754" i="4"/>
  <c r="H754" i="4"/>
  <c r="B754" i="4"/>
  <c r="J754" i="4"/>
  <c r="AH754" i="4" l="1"/>
  <c r="AI754" i="4" s="1"/>
  <c r="M754" i="4"/>
  <c r="N754" i="4" s="1"/>
  <c r="T754" i="4"/>
  <c r="U754" i="4" s="1"/>
  <c r="AA754" i="4"/>
  <c r="AB754" i="4" s="1"/>
  <c r="R754" i="4"/>
  <c r="S754" i="4" s="1"/>
  <c r="V754" i="4" s="1"/>
  <c r="W754" i="4" s="1"/>
  <c r="X754" i="4" s="1"/>
  <c r="AF754" i="4"/>
  <c r="AG754" i="4" s="1"/>
  <c r="AJ754" i="4" s="1"/>
  <c r="AK754" i="4" s="1"/>
  <c r="AL754" i="4" s="1"/>
  <c r="K754" i="4"/>
  <c r="L754" i="4" s="1"/>
  <c r="O754" i="4" s="1"/>
  <c r="P754" i="4" s="1"/>
  <c r="Q754" i="4" s="1"/>
  <c r="AM754" i="4" s="1"/>
  <c r="Y754" i="4"/>
  <c r="Z754" i="4" s="1"/>
  <c r="AC754" i="4" s="1"/>
  <c r="AD754" i="4" s="1"/>
  <c r="AE754" i="4" s="1"/>
  <c r="B755" i="4" l="1"/>
  <c r="J755" i="4"/>
  <c r="D755" i="4"/>
  <c r="I755" i="4"/>
  <c r="E755" i="4"/>
  <c r="G755" i="4"/>
  <c r="C755" i="4"/>
  <c r="F755" i="4"/>
  <c r="H755" i="4"/>
  <c r="T755" i="4" l="1"/>
  <c r="U755" i="4" s="1"/>
  <c r="M755" i="4"/>
  <c r="N755" i="4" s="1"/>
  <c r="AA755" i="4"/>
  <c r="AB755" i="4" s="1"/>
  <c r="AH755" i="4"/>
  <c r="AI755" i="4" s="1"/>
  <c r="K755" i="4"/>
  <c r="L755" i="4" s="1"/>
  <c r="O755" i="4" s="1"/>
  <c r="P755" i="4" s="1"/>
  <c r="Q755" i="4" s="1"/>
  <c r="R755" i="4"/>
  <c r="S755" i="4" s="1"/>
  <c r="V755" i="4" s="1"/>
  <c r="W755" i="4" s="1"/>
  <c r="X755" i="4" s="1"/>
  <c r="AF755" i="4"/>
  <c r="AG755" i="4" s="1"/>
  <c r="AJ755" i="4" s="1"/>
  <c r="AK755" i="4" s="1"/>
  <c r="AL755" i="4" s="1"/>
  <c r="Y755" i="4"/>
  <c r="Z755" i="4" s="1"/>
  <c r="J756" i="4" l="1"/>
  <c r="D756" i="4"/>
  <c r="G756" i="4"/>
  <c r="E756" i="4"/>
  <c r="AM755" i="4"/>
  <c r="F756" i="4"/>
  <c r="AC755" i="4"/>
  <c r="AD755" i="4" s="1"/>
  <c r="AE755" i="4" s="1"/>
  <c r="C756" i="4"/>
  <c r="T756" i="4" l="1"/>
  <c r="U756" i="4" s="1"/>
  <c r="AH756" i="4"/>
  <c r="AI756" i="4" s="1"/>
  <c r="M756" i="4"/>
  <c r="N756" i="4" s="1"/>
  <c r="AA756" i="4"/>
  <c r="AB756" i="4" s="1"/>
  <c r="H756" i="4"/>
  <c r="I756" i="4"/>
  <c r="B756" i="4"/>
  <c r="K756" i="4" l="1"/>
  <c r="L756" i="4" s="1"/>
  <c r="O756" i="4" s="1"/>
  <c r="P756" i="4" s="1"/>
  <c r="R756" i="4"/>
  <c r="S756" i="4" s="1"/>
  <c r="V756" i="4" s="1"/>
  <c r="W756" i="4" s="1"/>
  <c r="X756" i="4" s="1"/>
  <c r="Y756" i="4"/>
  <c r="Z756" i="4" s="1"/>
  <c r="AC756" i="4" s="1"/>
  <c r="AD756" i="4" s="1"/>
  <c r="AE756" i="4" s="1"/>
  <c r="AF756" i="4"/>
  <c r="AG756" i="4" s="1"/>
  <c r="AJ756" i="4" s="1"/>
  <c r="AK756" i="4" s="1"/>
  <c r="AL756" i="4" s="1"/>
  <c r="H757" i="4" l="1"/>
  <c r="I757" i="4"/>
  <c r="B757" i="4"/>
  <c r="Q756" i="4"/>
  <c r="AM756" i="4" s="1"/>
  <c r="F757" i="4"/>
  <c r="D757" i="4"/>
  <c r="J757" i="4"/>
  <c r="E757" i="4"/>
  <c r="C757" i="4"/>
  <c r="G757" i="4"/>
  <c r="AA757" i="4" l="1"/>
  <c r="AB757" i="4" s="1"/>
  <c r="AH757" i="4"/>
  <c r="AI757" i="4" s="1"/>
  <c r="T757" i="4"/>
  <c r="U757" i="4" s="1"/>
  <c r="M757" i="4"/>
  <c r="N757" i="4" s="1"/>
  <c r="AF757" i="4"/>
  <c r="AG757" i="4" s="1"/>
  <c r="R757" i="4"/>
  <c r="S757" i="4" s="1"/>
  <c r="Y757" i="4"/>
  <c r="Z757" i="4" s="1"/>
  <c r="AC757" i="4" s="1"/>
  <c r="AD757" i="4" s="1"/>
  <c r="AE757" i="4" s="1"/>
  <c r="K757" i="4"/>
  <c r="L757" i="4" s="1"/>
  <c r="O757" i="4" l="1"/>
  <c r="P757" i="4" s="1"/>
  <c r="V757" i="4"/>
  <c r="W757" i="4" s="1"/>
  <c r="X757" i="4" s="1"/>
  <c r="AJ757" i="4"/>
  <c r="AK757" i="4" s="1"/>
  <c r="AL757" i="4" s="1"/>
  <c r="Q757" i="4" l="1"/>
  <c r="AM757" i="4" s="1"/>
  <c r="D758" i="4"/>
  <c r="H758" i="4"/>
  <c r="E758" i="4"/>
  <c r="G758" i="4"/>
  <c r="J758" i="4"/>
  <c r="F758" i="4"/>
  <c r="B758" i="4"/>
  <c r="C758" i="4"/>
  <c r="I758" i="4"/>
  <c r="R758" i="4" l="1"/>
  <c r="S758" i="4" s="1"/>
  <c r="Y758" i="4"/>
  <c r="Z758" i="4" s="1"/>
  <c r="AC758" i="4" s="1"/>
  <c r="AD758" i="4" s="1"/>
  <c r="AE758" i="4" s="1"/>
  <c r="AF758" i="4"/>
  <c r="AG758" i="4" s="1"/>
  <c r="K758" i="4"/>
  <c r="L758" i="4" s="1"/>
  <c r="O758" i="4" s="1"/>
  <c r="P758" i="4" s="1"/>
  <c r="Q758" i="4" s="1"/>
  <c r="AH758" i="4"/>
  <c r="AI758" i="4" s="1"/>
  <c r="AA758" i="4"/>
  <c r="AB758" i="4" s="1"/>
  <c r="M758" i="4"/>
  <c r="N758" i="4" s="1"/>
  <c r="T758" i="4"/>
  <c r="U758" i="4" s="1"/>
  <c r="AJ758" i="4" l="1"/>
  <c r="AK758" i="4" s="1"/>
  <c r="AL758" i="4" s="1"/>
  <c r="V758" i="4"/>
  <c r="W758" i="4" s="1"/>
  <c r="X758" i="4" l="1"/>
  <c r="AM758" i="4" s="1"/>
  <c r="B759" i="4"/>
  <c r="I759" i="4"/>
  <c r="J759" i="4"/>
  <c r="D759" i="4"/>
  <c r="G759" i="4"/>
  <c r="F759" i="4"/>
  <c r="H759" i="4"/>
  <c r="C759" i="4"/>
  <c r="E759" i="4"/>
  <c r="T759" i="4" l="1"/>
  <c r="U759" i="4" s="1"/>
  <c r="AH759" i="4"/>
  <c r="AI759" i="4" s="1"/>
  <c r="M759" i="4"/>
  <c r="N759" i="4" s="1"/>
  <c r="AA759" i="4"/>
  <c r="AB759" i="4" s="1"/>
  <c r="Y759" i="4"/>
  <c r="Z759" i="4" s="1"/>
  <c r="R759" i="4"/>
  <c r="S759" i="4" s="1"/>
  <c r="K759" i="4"/>
  <c r="L759" i="4" s="1"/>
  <c r="AF759" i="4"/>
  <c r="AG759" i="4" s="1"/>
  <c r="AJ759" i="4" l="1"/>
  <c r="AK759" i="4" s="1"/>
  <c r="AL759" i="4" s="1"/>
  <c r="O759" i="4"/>
  <c r="P759" i="4" s="1"/>
  <c r="V759" i="4"/>
  <c r="W759" i="4" s="1"/>
  <c r="X759" i="4" s="1"/>
  <c r="AC759" i="4"/>
  <c r="AD759" i="4" s="1"/>
  <c r="AE759" i="4" s="1"/>
  <c r="Q759" i="4" l="1"/>
  <c r="AM759" i="4" s="1"/>
  <c r="H760" i="4"/>
  <c r="C760" i="4"/>
  <c r="J760" i="4"/>
  <c r="F760" i="4"/>
  <c r="B760" i="4"/>
  <c r="D760" i="4"/>
  <c r="E760" i="4"/>
  <c r="G760" i="4"/>
  <c r="I760" i="4"/>
  <c r="M760" i="4" l="1"/>
  <c r="N760" i="4" s="1"/>
  <c r="T760" i="4"/>
  <c r="U760" i="4" s="1"/>
  <c r="AA760" i="4"/>
  <c r="AB760" i="4" s="1"/>
  <c r="AH760" i="4"/>
  <c r="AI760" i="4" s="1"/>
  <c r="AF760" i="4"/>
  <c r="AG760" i="4" s="1"/>
  <c r="AJ760" i="4" s="1"/>
  <c r="AK760" i="4" s="1"/>
  <c r="AL760" i="4" s="1"/>
  <c r="K760" i="4"/>
  <c r="L760" i="4" s="1"/>
  <c r="O760" i="4" s="1"/>
  <c r="P760" i="4" s="1"/>
  <c r="Q760" i="4" s="1"/>
  <c r="Y760" i="4"/>
  <c r="Z760" i="4" s="1"/>
  <c r="R760" i="4"/>
  <c r="S760" i="4" s="1"/>
  <c r="V760" i="4" s="1"/>
  <c r="W760" i="4" s="1"/>
  <c r="X760" i="4" s="1"/>
  <c r="F761" i="4" l="1"/>
  <c r="D761" i="4"/>
  <c r="H761" i="4"/>
  <c r="C761" i="4"/>
  <c r="E761" i="4"/>
  <c r="B761" i="4"/>
  <c r="AC760" i="4"/>
  <c r="AD760" i="4" s="1"/>
  <c r="AA761" i="4" l="1"/>
  <c r="AB761" i="4" s="1"/>
  <c r="AF761" i="4"/>
  <c r="AG761" i="4" s="1"/>
  <c r="R761" i="4"/>
  <c r="S761" i="4" s="1"/>
  <c r="K761" i="4"/>
  <c r="L761" i="4" s="1"/>
  <c r="Y761" i="4"/>
  <c r="Z761" i="4" s="1"/>
  <c r="AE760" i="4"/>
  <c r="AM760" i="4" s="1"/>
  <c r="I761" i="4"/>
  <c r="J761" i="4"/>
  <c r="G761" i="4"/>
  <c r="AC761" i="4" l="1"/>
  <c r="AD761" i="4" s="1"/>
  <c r="AE761" i="4" s="1"/>
  <c r="T761" i="4"/>
  <c r="U761" i="4" s="1"/>
  <c r="V761" i="4" s="1"/>
  <c r="W761" i="4" s="1"/>
  <c r="X761" i="4" s="1"/>
  <c r="AH761" i="4"/>
  <c r="AI761" i="4" s="1"/>
  <c r="AJ761" i="4" s="1"/>
  <c r="AK761" i="4" s="1"/>
  <c r="AL761" i="4" s="1"/>
  <c r="M761" i="4"/>
  <c r="N761" i="4" s="1"/>
  <c r="O761" i="4" s="1"/>
  <c r="P761" i="4" s="1"/>
  <c r="Q761" i="4" l="1"/>
  <c r="AM761" i="4" s="1"/>
  <c r="H762" i="4"/>
  <c r="E762" i="4"/>
  <c r="C762" i="4"/>
  <c r="F762" i="4"/>
  <c r="D762" i="4"/>
  <c r="B762" i="4"/>
  <c r="I762" i="4"/>
  <c r="G762" i="4"/>
  <c r="J762" i="4"/>
  <c r="R762" i="4" l="1"/>
  <c r="S762" i="4" s="1"/>
  <c r="K762" i="4"/>
  <c r="L762" i="4" s="1"/>
  <c r="Y762" i="4"/>
  <c r="Z762" i="4" s="1"/>
  <c r="AF762" i="4"/>
  <c r="AG762" i="4" s="1"/>
  <c r="AJ762" i="4" s="1"/>
  <c r="AK762" i="4" s="1"/>
  <c r="AL762" i="4" s="1"/>
  <c r="AH762" i="4"/>
  <c r="AI762" i="4" s="1"/>
  <c r="T762" i="4"/>
  <c r="U762" i="4" s="1"/>
  <c r="AA762" i="4"/>
  <c r="AB762" i="4" s="1"/>
  <c r="M762" i="4"/>
  <c r="N762" i="4" s="1"/>
  <c r="AC762" i="4" l="1"/>
  <c r="AD762" i="4" s="1"/>
  <c r="AE762" i="4" s="1"/>
  <c r="O762" i="4"/>
  <c r="P762" i="4" s="1"/>
  <c r="V762" i="4"/>
  <c r="W762" i="4" s="1"/>
  <c r="X762" i="4" s="1"/>
  <c r="Q762" i="4" l="1"/>
  <c r="AM762" i="4" s="1"/>
  <c r="AP87" i="4" s="1"/>
  <c r="D763" i="4"/>
  <c r="J763" i="4"/>
  <c r="G763" i="4"/>
  <c r="I763" i="4"/>
  <c r="H763" i="4"/>
  <c r="F763" i="4"/>
  <c r="B763" i="4"/>
  <c r="E763" i="4"/>
  <c r="C763" i="4"/>
  <c r="R763" i="4" l="1"/>
  <c r="S763" i="4" s="1"/>
  <c r="Y763" i="4"/>
  <c r="Z763" i="4" s="1"/>
  <c r="AF763" i="4"/>
  <c r="AG763" i="4" s="1"/>
  <c r="K763" i="4"/>
  <c r="L763" i="4" s="1"/>
  <c r="O763" i="4" s="1"/>
  <c r="P763" i="4" s="1"/>
  <c r="Q763" i="4" s="1"/>
  <c r="T763" i="4"/>
  <c r="U763" i="4" s="1"/>
  <c r="AA763" i="4"/>
  <c r="AB763" i="4" s="1"/>
  <c r="AH763" i="4"/>
  <c r="AI763" i="4" s="1"/>
  <c r="M763" i="4"/>
  <c r="N763" i="4" s="1"/>
  <c r="AJ763" i="4" l="1"/>
  <c r="AK763" i="4" s="1"/>
  <c r="AL763" i="4" s="1"/>
  <c r="AC763" i="4"/>
  <c r="AD763" i="4" s="1"/>
  <c r="AE763" i="4" s="1"/>
  <c r="V763" i="4"/>
  <c r="W763" i="4" s="1"/>
  <c r="X763" i="4" l="1"/>
  <c r="AM763" i="4" s="1"/>
  <c r="J764" i="4"/>
  <c r="B764" i="4"/>
  <c r="F764" i="4"/>
  <c r="H764" i="4"/>
  <c r="E764" i="4"/>
  <c r="G764" i="4"/>
  <c r="C764" i="4"/>
  <c r="D764" i="4"/>
  <c r="I764" i="4"/>
  <c r="AA764" i="4" l="1"/>
  <c r="AB764" i="4" s="1"/>
  <c r="M764" i="4"/>
  <c r="N764" i="4" s="1"/>
  <c r="T764" i="4"/>
  <c r="U764" i="4" s="1"/>
  <c r="AH764" i="4"/>
  <c r="AI764" i="4" s="1"/>
  <c r="R764" i="4"/>
  <c r="S764" i="4" s="1"/>
  <c r="AF764" i="4"/>
  <c r="AG764" i="4" s="1"/>
  <c r="K764" i="4"/>
  <c r="L764" i="4" s="1"/>
  <c r="O764" i="4" s="1"/>
  <c r="P764" i="4" s="1"/>
  <c r="Q764" i="4" s="1"/>
  <c r="Y764" i="4"/>
  <c r="Z764" i="4" s="1"/>
  <c r="AC764" i="4" s="1"/>
  <c r="AD764" i="4" s="1"/>
  <c r="AE764" i="4" s="1"/>
  <c r="AJ764" i="4" l="1"/>
  <c r="AK764" i="4" s="1"/>
  <c r="AL764" i="4" s="1"/>
  <c r="V764" i="4"/>
  <c r="W764" i="4" s="1"/>
  <c r="H765" i="4"/>
  <c r="G765" i="4"/>
  <c r="F765" i="4"/>
  <c r="B765" i="4"/>
  <c r="E765" i="4"/>
  <c r="C765" i="4"/>
  <c r="K765" i="4" l="1"/>
  <c r="L765" i="4" s="1"/>
  <c r="AH765" i="4"/>
  <c r="AI765" i="4" s="1"/>
  <c r="M765" i="4"/>
  <c r="N765" i="4" s="1"/>
  <c r="T765" i="4"/>
  <c r="U765" i="4" s="1"/>
  <c r="AA765" i="4"/>
  <c r="AB765" i="4" s="1"/>
  <c r="X764" i="4"/>
  <c r="AM764" i="4" s="1"/>
  <c r="J765" i="4"/>
  <c r="I765" i="4"/>
  <c r="D765" i="4"/>
  <c r="AF765" i="4" s="1"/>
  <c r="AG765" i="4" s="1"/>
  <c r="AJ765" i="4" s="1"/>
  <c r="AK765" i="4" s="1"/>
  <c r="AL765" i="4" s="1"/>
  <c r="R765" i="4" l="1"/>
  <c r="S765" i="4" s="1"/>
  <c r="V765" i="4" s="1"/>
  <c r="W765" i="4" s="1"/>
  <c r="X765" i="4" s="1"/>
  <c r="Y765" i="4"/>
  <c r="Z765" i="4" s="1"/>
  <c r="AC765" i="4" s="1"/>
  <c r="AD765" i="4" s="1"/>
  <c r="AE765" i="4" s="1"/>
  <c r="O765" i="4"/>
  <c r="P765" i="4" s="1"/>
  <c r="D766" i="4"/>
  <c r="I766" i="4"/>
  <c r="Q765" i="4" l="1"/>
  <c r="AM765" i="4" s="1"/>
  <c r="B766" i="4"/>
  <c r="G766" i="4"/>
  <c r="F766" i="4"/>
  <c r="C766" i="4"/>
  <c r="H766" i="4"/>
  <c r="E766" i="4"/>
  <c r="J766" i="4"/>
  <c r="R766" i="4" l="1"/>
  <c r="S766" i="4" s="1"/>
  <c r="AF766" i="4"/>
  <c r="AG766" i="4" s="1"/>
  <c r="AJ766" i="4" s="1"/>
  <c r="AK766" i="4" s="1"/>
  <c r="AL766" i="4" s="1"/>
  <c r="K766" i="4"/>
  <c r="L766" i="4" s="1"/>
  <c r="Y766" i="4"/>
  <c r="Z766" i="4" s="1"/>
  <c r="AC766" i="4" s="1"/>
  <c r="AD766" i="4" s="1"/>
  <c r="AE766" i="4" s="1"/>
  <c r="AH766" i="4"/>
  <c r="AI766" i="4" s="1"/>
  <c r="T766" i="4"/>
  <c r="U766" i="4" s="1"/>
  <c r="AA766" i="4"/>
  <c r="AB766" i="4" s="1"/>
  <c r="M766" i="4"/>
  <c r="N766" i="4" s="1"/>
  <c r="O766" i="4" l="1"/>
  <c r="P766" i="4" s="1"/>
  <c r="V766" i="4"/>
  <c r="W766" i="4" s="1"/>
  <c r="X766" i="4" s="1"/>
  <c r="Q766" i="4" l="1"/>
  <c r="AM766" i="4" s="1"/>
  <c r="I767" i="4"/>
  <c r="D767" i="4"/>
  <c r="H767" i="4"/>
  <c r="J767" i="4"/>
  <c r="B767" i="4"/>
  <c r="C767" i="4"/>
  <c r="G767" i="4"/>
  <c r="F767" i="4"/>
  <c r="E767" i="4"/>
  <c r="T767" i="4" l="1"/>
  <c r="U767" i="4" s="1"/>
  <c r="M767" i="4"/>
  <c r="N767" i="4" s="1"/>
  <c r="AH767" i="4"/>
  <c r="AI767" i="4" s="1"/>
  <c r="AA767" i="4"/>
  <c r="AB767" i="4" s="1"/>
  <c r="AF767" i="4"/>
  <c r="AG767" i="4" s="1"/>
  <c r="K767" i="4"/>
  <c r="L767" i="4" s="1"/>
  <c r="Y767" i="4"/>
  <c r="Z767" i="4" s="1"/>
  <c r="AC767" i="4" s="1"/>
  <c r="AD767" i="4" s="1"/>
  <c r="AE767" i="4" s="1"/>
  <c r="R767" i="4"/>
  <c r="S767" i="4" s="1"/>
  <c r="V767" i="4" s="1"/>
  <c r="W767" i="4" s="1"/>
  <c r="X767" i="4" s="1"/>
  <c r="O767" i="4" l="1"/>
  <c r="P767" i="4" s="1"/>
  <c r="AJ767" i="4"/>
  <c r="AK767" i="4" s="1"/>
  <c r="AL767" i="4" s="1"/>
  <c r="Q767" i="4" l="1"/>
  <c r="AM767" i="4" s="1"/>
  <c r="G768" i="4"/>
  <c r="F768" i="4"/>
  <c r="D768" i="4"/>
  <c r="C768" i="4"/>
  <c r="I768" i="4"/>
  <c r="J768" i="4"/>
  <c r="H768" i="4"/>
  <c r="B768" i="4"/>
  <c r="E768" i="4"/>
  <c r="T768" i="4" l="1"/>
  <c r="U768" i="4" s="1"/>
  <c r="AA768" i="4"/>
  <c r="AB768" i="4" s="1"/>
  <c r="AH768" i="4"/>
  <c r="AI768" i="4" s="1"/>
  <c r="M768" i="4"/>
  <c r="N768" i="4" s="1"/>
  <c r="K768" i="4"/>
  <c r="L768" i="4" s="1"/>
  <c r="O768" i="4" s="1"/>
  <c r="P768" i="4" s="1"/>
  <c r="Q768" i="4" s="1"/>
  <c r="R768" i="4"/>
  <c r="S768" i="4" s="1"/>
  <c r="V768" i="4" s="1"/>
  <c r="W768" i="4" s="1"/>
  <c r="X768" i="4" s="1"/>
  <c r="AF768" i="4"/>
  <c r="AG768" i="4" s="1"/>
  <c r="AJ768" i="4" s="1"/>
  <c r="AK768" i="4" s="1"/>
  <c r="AL768" i="4" s="1"/>
  <c r="Y768" i="4"/>
  <c r="Z768" i="4" s="1"/>
  <c r="G769" i="4" l="1"/>
  <c r="D769" i="4"/>
  <c r="F769" i="4"/>
  <c r="I769" i="4"/>
  <c r="C769" i="4"/>
  <c r="J769" i="4"/>
  <c r="AC768" i="4"/>
  <c r="AD768" i="4" s="1"/>
  <c r="AE768" i="4" s="1"/>
  <c r="AM768" i="4" s="1"/>
  <c r="H769" i="4"/>
  <c r="B769" i="4" l="1"/>
  <c r="E769" i="4"/>
  <c r="AF769" i="4" l="1"/>
  <c r="AG769" i="4" s="1"/>
  <c r="K769" i="4"/>
  <c r="L769" i="4" s="1"/>
  <c r="O769" i="4" s="1"/>
  <c r="P769" i="4" s="1"/>
  <c r="R769" i="4"/>
  <c r="S769" i="4" s="1"/>
  <c r="Y769" i="4"/>
  <c r="Z769" i="4" s="1"/>
  <c r="AC769" i="4" s="1"/>
  <c r="AD769" i="4" s="1"/>
  <c r="AE769" i="4" s="1"/>
  <c r="T769" i="4"/>
  <c r="U769" i="4" s="1"/>
  <c r="AH769" i="4"/>
  <c r="AI769" i="4" s="1"/>
  <c r="M769" i="4"/>
  <c r="N769" i="4" s="1"/>
  <c r="AA769" i="4"/>
  <c r="AB769" i="4" s="1"/>
  <c r="V769" i="4" l="1"/>
  <c r="W769" i="4" s="1"/>
  <c r="AJ769" i="4"/>
  <c r="AK769" i="4" s="1"/>
  <c r="AL769" i="4" s="1"/>
  <c r="Q769" i="4"/>
  <c r="J770" i="4"/>
  <c r="I770" i="4"/>
  <c r="C770" i="4"/>
  <c r="D770" i="4"/>
  <c r="F770" i="4"/>
  <c r="H770" i="4"/>
  <c r="G770" i="4"/>
  <c r="B770" i="4"/>
  <c r="R770" i="4" l="1"/>
  <c r="S770" i="4" s="1"/>
  <c r="Y770" i="4"/>
  <c r="Z770" i="4" s="1"/>
  <c r="AF770" i="4"/>
  <c r="AG770" i="4" s="1"/>
  <c r="K770" i="4"/>
  <c r="L770" i="4" s="1"/>
  <c r="X769" i="4"/>
  <c r="AM769" i="4" s="1"/>
  <c r="E770" i="4"/>
  <c r="AH770" i="4" l="1"/>
  <c r="AI770" i="4" s="1"/>
  <c r="AA770" i="4"/>
  <c r="AB770" i="4" s="1"/>
  <c r="M770" i="4"/>
  <c r="N770" i="4" s="1"/>
  <c r="O770" i="4" s="1"/>
  <c r="P770" i="4" s="1"/>
  <c r="T770" i="4"/>
  <c r="U770" i="4" s="1"/>
  <c r="V770" i="4" s="1"/>
  <c r="W770" i="4" s="1"/>
  <c r="X770" i="4" s="1"/>
  <c r="AJ770" i="4"/>
  <c r="AK770" i="4" s="1"/>
  <c r="AL770" i="4" s="1"/>
  <c r="AC770" i="4"/>
  <c r="AD770" i="4" s="1"/>
  <c r="AE770" i="4" s="1"/>
  <c r="Q770" i="4" l="1"/>
  <c r="AM770" i="4" s="1"/>
  <c r="F771" i="4"/>
  <c r="G771" i="4"/>
  <c r="D771" i="4"/>
  <c r="I771" i="4"/>
  <c r="C771" i="4"/>
  <c r="J771" i="4"/>
  <c r="H771" i="4"/>
  <c r="B771" i="4"/>
  <c r="E771" i="4"/>
  <c r="T771" i="4" l="1"/>
  <c r="U771" i="4" s="1"/>
  <c r="AH771" i="4"/>
  <c r="AI771" i="4" s="1"/>
  <c r="AA771" i="4"/>
  <c r="AB771" i="4" s="1"/>
  <c r="M771" i="4"/>
  <c r="N771" i="4" s="1"/>
  <c r="Y771" i="4"/>
  <c r="Z771" i="4" s="1"/>
  <c r="AF771" i="4"/>
  <c r="AG771" i="4" s="1"/>
  <c r="AJ771" i="4" s="1"/>
  <c r="AK771" i="4" s="1"/>
  <c r="AL771" i="4" s="1"/>
  <c r="K771" i="4"/>
  <c r="L771" i="4" s="1"/>
  <c r="O771" i="4" s="1"/>
  <c r="P771" i="4" s="1"/>
  <c r="Q771" i="4" s="1"/>
  <c r="R771" i="4"/>
  <c r="S771" i="4" s="1"/>
  <c r="V771" i="4" s="1"/>
  <c r="W771" i="4" s="1"/>
  <c r="X771" i="4" s="1"/>
  <c r="AC771" i="4" l="1"/>
  <c r="AD771" i="4" s="1"/>
  <c r="AE771" i="4" s="1"/>
  <c r="AM771" i="4" s="1"/>
  <c r="G772" i="4"/>
  <c r="D772" i="4"/>
  <c r="J772" i="4" l="1"/>
  <c r="I772" i="4"/>
  <c r="E772" i="4"/>
  <c r="B772" i="4"/>
  <c r="C772" i="4"/>
  <c r="H772" i="4"/>
  <c r="F772" i="4"/>
  <c r="Y772" i="4" l="1"/>
  <c r="Z772" i="4" s="1"/>
  <c r="K772" i="4"/>
  <c r="L772" i="4" s="1"/>
  <c r="AF772" i="4"/>
  <c r="AG772" i="4" s="1"/>
  <c r="AJ772" i="4" s="1"/>
  <c r="AK772" i="4" s="1"/>
  <c r="AL772" i="4" s="1"/>
  <c r="R772" i="4"/>
  <c r="S772" i="4" s="1"/>
  <c r="V772" i="4" s="1"/>
  <c r="W772" i="4" s="1"/>
  <c r="X772" i="4" s="1"/>
  <c r="AH772" i="4"/>
  <c r="AI772" i="4" s="1"/>
  <c r="AA772" i="4"/>
  <c r="AB772" i="4" s="1"/>
  <c r="T772" i="4"/>
  <c r="U772" i="4" s="1"/>
  <c r="M772" i="4"/>
  <c r="N772" i="4" s="1"/>
  <c r="O772" i="4" l="1"/>
  <c r="P772" i="4" s="1"/>
  <c r="AC772" i="4"/>
  <c r="AD772" i="4" s="1"/>
  <c r="AE772" i="4" s="1"/>
  <c r="Q772" i="4" l="1"/>
  <c r="AM772" i="4" s="1"/>
  <c r="AP88" i="4" s="1"/>
  <c r="G773" i="4"/>
  <c r="D773" i="4"/>
  <c r="H773" i="4"/>
  <c r="E773" i="4"/>
  <c r="C773" i="4"/>
  <c r="B773" i="4"/>
  <c r="F773" i="4"/>
  <c r="J773" i="4"/>
  <c r="I773" i="4"/>
  <c r="AF773" i="4" l="1"/>
  <c r="AG773" i="4" s="1"/>
  <c r="K773" i="4"/>
  <c r="L773" i="4" s="1"/>
  <c r="O773" i="4" s="1"/>
  <c r="P773" i="4" s="1"/>
  <c r="Q773" i="4" s="1"/>
  <c r="R773" i="4"/>
  <c r="S773" i="4" s="1"/>
  <c r="V773" i="4" s="1"/>
  <c r="W773" i="4" s="1"/>
  <c r="X773" i="4" s="1"/>
  <c r="Y773" i="4"/>
  <c r="Z773" i="4" s="1"/>
  <c r="AC773" i="4" s="1"/>
  <c r="AD773" i="4" s="1"/>
  <c r="AE773" i="4" s="1"/>
  <c r="M773" i="4"/>
  <c r="N773" i="4" s="1"/>
  <c r="T773" i="4"/>
  <c r="U773" i="4" s="1"/>
  <c r="AH773" i="4"/>
  <c r="AI773" i="4" s="1"/>
  <c r="AA773" i="4"/>
  <c r="AB773" i="4" s="1"/>
  <c r="AJ773" i="4" l="1"/>
  <c r="AK773" i="4" s="1"/>
  <c r="G774" i="4"/>
  <c r="B774" i="4"/>
  <c r="J774" i="4"/>
  <c r="K774" i="4" l="1"/>
  <c r="L774" i="4" s="1"/>
  <c r="AF774" i="4"/>
  <c r="AG774" i="4" s="1"/>
  <c r="Y774" i="4"/>
  <c r="Z774" i="4" s="1"/>
  <c r="AL773" i="4"/>
  <c r="AM773" i="4" s="1"/>
  <c r="D774" i="4"/>
  <c r="C774" i="4"/>
  <c r="R774" i="4" s="1"/>
  <c r="S774" i="4" s="1"/>
  <c r="F774" i="4"/>
  <c r="E774" i="4"/>
  <c r="I774" i="4"/>
  <c r="H774" i="4"/>
  <c r="AC774" i="4" l="1"/>
  <c r="AD774" i="4" s="1"/>
  <c r="AE774" i="4" s="1"/>
  <c r="O774" i="4"/>
  <c r="P774" i="4" s="1"/>
  <c r="AH774" i="4"/>
  <c r="AI774" i="4" s="1"/>
  <c r="AJ774" i="4" s="1"/>
  <c r="AK774" i="4" s="1"/>
  <c r="AL774" i="4" s="1"/>
  <c r="M774" i="4"/>
  <c r="N774" i="4" s="1"/>
  <c r="AA774" i="4"/>
  <c r="AB774" i="4" s="1"/>
  <c r="T774" i="4"/>
  <c r="U774" i="4" s="1"/>
  <c r="V774" i="4" s="1"/>
  <c r="W774" i="4" s="1"/>
  <c r="X774" i="4" l="1"/>
  <c r="C775" i="4"/>
  <c r="I775" i="4"/>
  <c r="D775" i="4"/>
  <c r="F775" i="4"/>
  <c r="Q774" i="4"/>
  <c r="AM774" i="4" s="1"/>
  <c r="J775" i="4"/>
  <c r="B775" i="4"/>
  <c r="G775" i="4"/>
  <c r="E775" i="4"/>
  <c r="H775" i="4"/>
  <c r="T775" i="4" l="1"/>
  <c r="U775" i="4" s="1"/>
  <c r="AA775" i="4"/>
  <c r="AB775" i="4" s="1"/>
  <c r="AH775" i="4"/>
  <c r="AI775" i="4" s="1"/>
  <c r="M775" i="4"/>
  <c r="N775" i="4" s="1"/>
  <c r="K775" i="4"/>
  <c r="L775" i="4" s="1"/>
  <c r="O775" i="4" s="1"/>
  <c r="P775" i="4" s="1"/>
  <c r="Q775" i="4" s="1"/>
  <c r="R775" i="4"/>
  <c r="S775" i="4" s="1"/>
  <c r="AF775" i="4"/>
  <c r="AG775" i="4" s="1"/>
  <c r="Y775" i="4"/>
  <c r="Z775" i="4" s="1"/>
  <c r="AC775" i="4" l="1"/>
  <c r="AD775" i="4" s="1"/>
  <c r="AE775" i="4" s="1"/>
  <c r="AJ775" i="4"/>
  <c r="AK775" i="4" s="1"/>
  <c r="AL775" i="4" s="1"/>
  <c r="B776" i="4"/>
  <c r="V775" i="4"/>
  <c r="W775" i="4" s="1"/>
  <c r="E776" i="4" l="1"/>
  <c r="J776" i="4"/>
  <c r="F776" i="4"/>
  <c r="X775" i="4"/>
  <c r="AM775" i="4" s="1"/>
  <c r="C776" i="4"/>
  <c r="H776" i="4"/>
  <c r="G776" i="4"/>
  <c r="I776" i="4"/>
  <c r="D776" i="4"/>
  <c r="AA776" i="4" l="1"/>
  <c r="AB776" i="4" s="1"/>
  <c r="AH776" i="4"/>
  <c r="AI776" i="4" s="1"/>
  <c r="T776" i="4"/>
  <c r="U776" i="4" s="1"/>
  <c r="M776" i="4"/>
  <c r="N776" i="4" s="1"/>
  <c r="K776" i="4"/>
  <c r="L776" i="4" s="1"/>
  <c r="O776" i="4" s="1"/>
  <c r="P776" i="4" s="1"/>
  <c r="AF776" i="4"/>
  <c r="AG776" i="4" s="1"/>
  <c r="Y776" i="4"/>
  <c r="Z776" i="4" s="1"/>
  <c r="AC776" i="4" s="1"/>
  <c r="AD776" i="4" s="1"/>
  <c r="AE776" i="4" s="1"/>
  <c r="R776" i="4"/>
  <c r="S776" i="4" s="1"/>
  <c r="V776" i="4" s="1"/>
  <c r="W776" i="4" s="1"/>
  <c r="X776" i="4" s="1"/>
  <c r="C777" i="4" l="1"/>
  <c r="AJ776" i="4"/>
  <c r="AK776" i="4" s="1"/>
  <c r="AL776" i="4" s="1"/>
  <c r="Q776" i="4"/>
  <c r="AM776" i="4" s="1"/>
  <c r="G777" i="4" l="1"/>
  <c r="J777" i="4"/>
  <c r="D777" i="4"/>
  <c r="H777" i="4"/>
  <c r="F777" i="4"/>
  <c r="E777" i="4"/>
  <c r="B777" i="4"/>
  <c r="I777" i="4"/>
  <c r="AA777" i="4" l="1"/>
  <c r="AB777" i="4" s="1"/>
  <c r="AH777" i="4"/>
  <c r="AI777" i="4" s="1"/>
  <c r="T777" i="4"/>
  <c r="U777" i="4" s="1"/>
  <c r="M777" i="4"/>
  <c r="N777" i="4" s="1"/>
  <c r="AF777" i="4"/>
  <c r="AG777" i="4" s="1"/>
  <c r="AJ777" i="4" s="1"/>
  <c r="AK777" i="4" s="1"/>
  <c r="AL777" i="4" s="1"/>
  <c r="R777" i="4"/>
  <c r="S777" i="4" s="1"/>
  <c r="V777" i="4" s="1"/>
  <c r="W777" i="4" s="1"/>
  <c r="X777" i="4" s="1"/>
  <c r="Y777" i="4"/>
  <c r="Z777" i="4" s="1"/>
  <c r="AC777" i="4" s="1"/>
  <c r="AD777" i="4" s="1"/>
  <c r="AE777" i="4" s="1"/>
  <c r="K777" i="4"/>
  <c r="L777" i="4" s="1"/>
  <c r="O777" i="4" l="1"/>
  <c r="P777" i="4" s="1"/>
  <c r="Q777" i="4" l="1"/>
  <c r="AM777" i="4" s="1"/>
  <c r="C778" i="4"/>
  <c r="E778" i="4"/>
  <c r="D778" i="4"/>
  <c r="G778" i="4"/>
  <c r="F778" i="4"/>
  <c r="B778" i="4"/>
  <c r="H778" i="4"/>
  <c r="J778" i="4"/>
  <c r="I778" i="4"/>
  <c r="R778" i="4" l="1"/>
  <c r="S778" i="4" s="1"/>
  <c r="Y778" i="4"/>
  <c r="Z778" i="4" s="1"/>
  <c r="K778" i="4"/>
  <c r="L778" i="4" s="1"/>
  <c r="AF778" i="4"/>
  <c r="AG778" i="4" s="1"/>
  <c r="AJ778" i="4" s="1"/>
  <c r="AK778" i="4" s="1"/>
  <c r="AL778" i="4" s="1"/>
  <c r="AH778" i="4"/>
  <c r="AI778" i="4" s="1"/>
  <c r="T778" i="4"/>
  <c r="U778" i="4" s="1"/>
  <c r="M778" i="4"/>
  <c r="N778" i="4" s="1"/>
  <c r="AA778" i="4"/>
  <c r="AB778" i="4" s="1"/>
  <c r="O778" i="4" l="1"/>
  <c r="P778" i="4" s="1"/>
  <c r="AC778" i="4"/>
  <c r="AD778" i="4" s="1"/>
  <c r="AE778" i="4" s="1"/>
  <c r="V778" i="4"/>
  <c r="W778" i="4" s="1"/>
  <c r="X778" i="4" s="1"/>
  <c r="Q778" i="4" l="1"/>
  <c r="AM778" i="4" s="1"/>
  <c r="F779" i="4"/>
  <c r="I779" i="4"/>
  <c r="J779" i="4"/>
  <c r="H779" i="4"/>
  <c r="G779" i="4"/>
  <c r="E779" i="4"/>
  <c r="D779" i="4"/>
  <c r="C779" i="4"/>
  <c r="B779" i="4"/>
  <c r="T779" i="4" l="1"/>
  <c r="U779" i="4" s="1"/>
  <c r="AA779" i="4"/>
  <c r="AB779" i="4" s="1"/>
  <c r="AH779" i="4"/>
  <c r="AI779" i="4" s="1"/>
  <c r="M779" i="4"/>
  <c r="N779" i="4" s="1"/>
  <c r="K779" i="4"/>
  <c r="L779" i="4" s="1"/>
  <c r="Y779" i="4"/>
  <c r="Z779" i="4" s="1"/>
  <c r="AC779" i="4" s="1"/>
  <c r="AD779" i="4" s="1"/>
  <c r="AE779" i="4" s="1"/>
  <c r="AF779" i="4"/>
  <c r="AG779" i="4" s="1"/>
  <c r="AJ779" i="4" s="1"/>
  <c r="AK779" i="4" s="1"/>
  <c r="AL779" i="4" s="1"/>
  <c r="R779" i="4"/>
  <c r="S779" i="4" s="1"/>
  <c r="V779" i="4" s="1"/>
  <c r="W779" i="4" s="1"/>
  <c r="X779" i="4" s="1"/>
  <c r="O779" i="4" l="1"/>
  <c r="P779" i="4" s="1"/>
  <c r="Q779" i="4" l="1"/>
  <c r="AM779" i="4" s="1"/>
  <c r="G780" i="4"/>
  <c r="I780" i="4"/>
  <c r="C780" i="4"/>
  <c r="E780" i="4"/>
  <c r="D780" i="4"/>
  <c r="F780" i="4"/>
  <c r="H780" i="4"/>
  <c r="J780" i="4"/>
  <c r="B780" i="4"/>
  <c r="R780" i="4" l="1"/>
  <c r="S780" i="4" s="1"/>
  <c r="AF780" i="4"/>
  <c r="AG780" i="4" s="1"/>
  <c r="AJ780" i="4" s="1"/>
  <c r="AK780" i="4" s="1"/>
  <c r="AL780" i="4" s="1"/>
  <c r="K780" i="4"/>
  <c r="L780" i="4" s="1"/>
  <c r="O780" i="4" s="1"/>
  <c r="P780" i="4" s="1"/>
  <c r="Q780" i="4" s="1"/>
  <c r="Y780" i="4"/>
  <c r="Z780" i="4" s="1"/>
  <c r="AC780" i="4" s="1"/>
  <c r="AD780" i="4" s="1"/>
  <c r="AE780" i="4" s="1"/>
  <c r="M780" i="4"/>
  <c r="N780" i="4" s="1"/>
  <c r="AH780" i="4"/>
  <c r="AI780" i="4" s="1"/>
  <c r="AA780" i="4"/>
  <c r="AB780" i="4" s="1"/>
  <c r="T780" i="4"/>
  <c r="U780" i="4" s="1"/>
  <c r="V780" i="4" l="1"/>
  <c r="W780" i="4" s="1"/>
  <c r="B781" i="4"/>
  <c r="C781" i="4"/>
  <c r="E781" i="4"/>
  <c r="D781" i="4"/>
  <c r="J781" i="4"/>
  <c r="H781" i="4"/>
  <c r="F781" i="4"/>
  <c r="X780" i="4" l="1"/>
  <c r="AM780" i="4" s="1"/>
  <c r="G781" i="4"/>
  <c r="M781" i="4"/>
  <c r="N781" i="4" s="1"/>
  <c r="AH781" i="4"/>
  <c r="AI781" i="4" s="1"/>
  <c r="AF781" i="4"/>
  <c r="AG781" i="4" s="1"/>
  <c r="Y781" i="4"/>
  <c r="Z781" i="4" s="1"/>
  <c r="K781" i="4"/>
  <c r="L781" i="4" s="1"/>
  <c r="O781" i="4" s="1"/>
  <c r="P781" i="4" s="1"/>
  <c r="Q781" i="4" s="1"/>
  <c r="R781" i="4"/>
  <c r="S781" i="4" s="1"/>
  <c r="I781" i="4"/>
  <c r="AJ781" i="4" l="1"/>
  <c r="AK781" i="4" s="1"/>
  <c r="AL781" i="4" s="1"/>
  <c r="AA781" i="4"/>
  <c r="AB781" i="4" s="1"/>
  <c r="AC781" i="4" s="1"/>
  <c r="AD781" i="4" s="1"/>
  <c r="AE781" i="4" s="1"/>
  <c r="T781" i="4"/>
  <c r="U781" i="4" s="1"/>
  <c r="V781" i="4" s="1"/>
  <c r="W781" i="4" s="1"/>
  <c r="X781" i="4" l="1"/>
  <c r="AM781" i="4" s="1"/>
  <c r="C782" i="4"/>
  <c r="I782" i="4"/>
  <c r="E782" i="4"/>
  <c r="G782" i="4"/>
  <c r="D782" i="4"/>
  <c r="H782" i="4"/>
  <c r="B782" i="4"/>
  <c r="J782" i="4"/>
  <c r="F782" i="4"/>
  <c r="R782" i="4" l="1"/>
  <c r="S782" i="4" s="1"/>
  <c r="Y782" i="4"/>
  <c r="Z782" i="4" s="1"/>
  <c r="AC782" i="4" s="1"/>
  <c r="AD782" i="4" s="1"/>
  <c r="AE782" i="4" s="1"/>
  <c r="K782" i="4"/>
  <c r="L782" i="4" s="1"/>
  <c r="AF782" i="4"/>
  <c r="AG782" i="4" s="1"/>
  <c r="AJ782" i="4" s="1"/>
  <c r="AK782" i="4" s="1"/>
  <c r="AL782" i="4" s="1"/>
  <c r="AH782" i="4"/>
  <c r="AI782" i="4" s="1"/>
  <c r="M782" i="4"/>
  <c r="N782" i="4" s="1"/>
  <c r="T782" i="4"/>
  <c r="U782" i="4" s="1"/>
  <c r="AA782" i="4"/>
  <c r="AB782" i="4" s="1"/>
  <c r="O782" i="4" l="1"/>
  <c r="P782" i="4" s="1"/>
  <c r="V782" i="4"/>
  <c r="W782" i="4" s="1"/>
  <c r="X782" i="4" s="1"/>
  <c r="Q782" i="4" l="1"/>
  <c r="AM782" i="4" s="1"/>
  <c r="AP89" i="4" s="1"/>
  <c r="F783" i="4"/>
  <c r="J783" i="4"/>
  <c r="C783" i="4"/>
  <c r="B783" i="4"/>
  <c r="H783" i="4"/>
  <c r="D783" i="4"/>
  <c r="G783" i="4"/>
  <c r="I783" i="4"/>
  <c r="E783" i="4"/>
  <c r="T783" i="4" l="1"/>
  <c r="U783" i="4" s="1"/>
  <c r="AA783" i="4"/>
  <c r="AB783" i="4" s="1"/>
  <c r="M783" i="4"/>
  <c r="N783" i="4" s="1"/>
  <c r="AH783" i="4"/>
  <c r="AI783" i="4" s="1"/>
  <c r="K783" i="4"/>
  <c r="L783" i="4" s="1"/>
  <c r="AF783" i="4"/>
  <c r="AG783" i="4" s="1"/>
  <c r="AJ783" i="4" s="1"/>
  <c r="AK783" i="4" s="1"/>
  <c r="AL783" i="4" s="1"/>
  <c r="R783" i="4"/>
  <c r="S783" i="4" s="1"/>
  <c r="V783" i="4" s="1"/>
  <c r="W783" i="4" s="1"/>
  <c r="X783" i="4" s="1"/>
  <c r="Y783" i="4"/>
  <c r="Z783" i="4" s="1"/>
  <c r="AC783" i="4" s="1"/>
  <c r="AD783" i="4" s="1"/>
  <c r="AE783" i="4" s="1"/>
  <c r="O783" i="4" l="1"/>
  <c r="P783" i="4" s="1"/>
  <c r="Q783" i="4" l="1"/>
  <c r="AM783" i="4" s="1"/>
  <c r="G784" i="4"/>
  <c r="I784" i="4"/>
  <c r="H784" i="4"/>
  <c r="E784" i="4"/>
  <c r="D784" i="4"/>
  <c r="C784" i="4"/>
  <c r="B784" i="4"/>
  <c r="J784" i="4"/>
  <c r="F784" i="4"/>
  <c r="R784" i="4" l="1"/>
  <c r="S784" i="4" s="1"/>
  <c r="V784" i="4" s="1"/>
  <c r="W784" i="4" s="1"/>
  <c r="X784" i="4" s="1"/>
  <c r="AF784" i="4"/>
  <c r="AG784" i="4" s="1"/>
  <c r="AJ784" i="4" s="1"/>
  <c r="AK784" i="4" s="1"/>
  <c r="AL784" i="4" s="1"/>
  <c r="Y784" i="4"/>
  <c r="Z784" i="4" s="1"/>
  <c r="AC784" i="4" s="1"/>
  <c r="AD784" i="4" s="1"/>
  <c r="AE784" i="4" s="1"/>
  <c r="K784" i="4"/>
  <c r="L784" i="4" s="1"/>
  <c r="O784" i="4" s="1"/>
  <c r="P784" i="4" s="1"/>
  <c r="Q784" i="4" s="1"/>
  <c r="AM784" i="4" s="1"/>
  <c r="M784" i="4"/>
  <c r="N784" i="4" s="1"/>
  <c r="AA784" i="4"/>
  <c r="AB784" i="4" s="1"/>
  <c r="AH784" i="4"/>
  <c r="AI784" i="4" s="1"/>
  <c r="T784" i="4"/>
  <c r="U784" i="4" s="1"/>
  <c r="C785" i="4" l="1"/>
  <c r="I785" i="4"/>
  <c r="G785" i="4"/>
  <c r="F785" i="4"/>
  <c r="H785" i="4"/>
  <c r="B785" i="4"/>
  <c r="E785" i="4"/>
  <c r="J785" i="4"/>
  <c r="D785" i="4"/>
  <c r="AF785" i="4" l="1"/>
  <c r="AG785" i="4" s="1"/>
  <c r="K785" i="4"/>
  <c r="L785" i="4" s="1"/>
  <c r="O785" i="4" s="1"/>
  <c r="P785" i="4" s="1"/>
  <c r="Q785" i="4" s="1"/>
  <c r="R785" i="4"/>
  <c r="S785" i="4" s="1"/>
  <c r="Y785" i="4"/>
  <c r="Z785" i="4" s="1"/>
  <c r="AC785" i="4" s="1"/>
  <c r="AD785" i="4" s="1"/>
  <c r="AE785" i="4" s="1"/>
  <c r="T785" i="4"/>
  <c r="U785" i="4" s="1"/>
  <c r="M785" i="4"/>
  <c r="N785" i="4" s="1"/>
  <c r="AA785" i="4"/>
  <c r="AB785" i="4" s="1"/>
  <c r="AH785" i="4"/>
  <c r="AI785" i="4" s="1"/>
  <c r="V785" i="4" l="1"/>
  <c r="W785" i="4" s="1"/>
  <c r="AJ785" i="4"/>
  <c r="AK785" i="4" s="1"/>
  <c r="AL785" i="4" s="1"/>
  <c r="C786" i="4"/>
  <c r="B786" i="4"/>
  <c r="X785" i="4" l="1"/>
  <c r="AM785" i="4" s="1"/>
  <c r="I786" i="4"/>
  <c r="G786" i="4"/>
  <c r="H786" i="4"/>
  <c r="D786" i="4"/>
  <c r="K786" i="4" s="1"/>
  <c r="L786" i="4" s="1"/>
  <c r="F786" i="4"/>
  <c r="J786" i="4"/>
  <c r="E786" i="4"/>
  <c r="AH786" i="4" l="1"/>
  <c r="AI786" i="4" s="1"/>
  <c r="AA786" i="4"/>
  <c r="AB786" i="4" s="1"/>
  <c r="T786" i="4"/>
  <c r="U786" i="4" s="1"/>
  <c r="M786" i="4"/>
  <c r="N786" i="4" s="1"/>
  <c r="O786" i="4" s="1"/>
  <c r="P786" i="4" s="1"/>
  <c r="AF786" i="4"/>
  <c r="AG786" i="4" s="1"/>
  <c r="AJ786" i="4" s="1"/>
  <c r="AK786" i="4" s="1"/>
  <c r="AL786" i="4" s="1"/>
  <c r="Y786" i="4"/>
  <c r="Z786" i="4" s="1"/>
  <c r="AC786" i="4" s="1"/>
  <c r="AD786" i="4" s="1"/>
  <c r="AE786" i="4" s="1"/>
  <c r="R786" i="4"/>
  <c r="S786" i="4" s="1"/>
  <c r="V786" i="4" s="1"/>
  <c r="W786" i="4" s="1"/>
  <c r="X786" i="4" s="1"/>
  <c r="Q786" i="4" l="1"/>
  <c r="AM786" i="4" s="1"/>
  <c r="B787" i="4"/>
  <c r="C787" i="4"/>
  <c r="D787" i="4"/>
  <c r="H787" i="4"/>
  <c r="E787" i="4"/>
  <c r="I787" i="4"/>
  <c r="F787" i="4"/>
  <c r="G787" i="4"/>
  <c r="J787" i="4"/>
  <c r="T787" i="4" l="1"/>
  <c r="U787" i="4" s="1"/>
  <c r="AA787" i="4"/>
  <c r="AB787" i="4" s="1"/>
  <c r="M787" i="4"/>
  <c r="N787" i="4" s="1"/>
  <c r="AH787" i="4"/>
  <c r="AI787" i="4" s="1"/>
  <c r="K787" i="4"/>
  <c r="L787" i="4" s="1"/>
  <c r="O787" i="4" s="1"/>
  <c r="P787" i="4" s="1"/>
  <c r="Q787" i="4" s="1"/>
  <c r="R787" i="4"/>
  <c r="S787" i="4" s="1"/>
  <c r="V787" i="4" s="1"/>
  <c r="W787" i="4" s="1"/>
  <c r="X787" i="4" s="1"/>
  <c r="AF787" i="4"/>
  <c r="AG787" i="4" s="1"/>
  <c r="Y787" i="4"/>
  <c r="Z787" i="4" s="1"/>
  <c r="AC787" i="4" s="1"/>
  <c r="AD787" i="4" s="1"/>
  <c r="AE787" i="4" s="1"/>
  <c r="AJ787" i="4" l="1"/>
  <c r="AK787" i="4" s="1"/>
  <c r="B788" i="4"/>
  <c r="E788" i="4"/>
  <c r="G788" i="4"/>
  <c r="C788" i="4"/>
  <c r="I788" i="4"/>
  <c r="Y788" i="4" l="1"/>
  <c r="Z788" i="4" s="1"/>
  <c r="AF788" i="4"/>
  <c r="AG788" i="4" s="1"/>
  <c r="R788" i="4"/>
  <c r="S788" i="4" s="1"/>
  <c r="K788" i="4"/>
  <c r="L788" i="4" s="1"/>
  <c r="AA788" i="4"/>
  <c r="AB788" i="4" s="1"/>
  <c r="AL787" i="4"/>
  <c r="AM787" i="4" s="1"/>
  <c r="J788" i="4"/>
  <c r="H788" i="4"/>
  <c r="D788" i="4"/>
  <c r="F788" i="4"/>
  <c r="AH788" i="4" s="1"/>
  <c r="AI788" i="4" s="1"/>
  <c r="O788" i="4" l="1"/>
  <c r="P788" i="4" s="1"/>
  <c r="AJ788" i="4"/>
  <c r="AK788" i="4" s="1"/>
  <c r="AL788" i="4" s="1"/>
  <c r="T788" i="4"/>
  <c r="U788" i="4" s="1"/>
  <c r="V788" i="4" s="1"/>
  <c r="W788" i="4" s="1"/>
  <c r="AC788" i="4"/>
  <c r="AD788" i="4" s="1"/>
  <c r="AE788" i="4" s="1"/>
  <c r="M788" i="4"/>
  <c r="N788" i="4" s="1"/>
  <c r="X788" i="4" l="1"/>
  <c r="F789" i="4"/>
  <c r="J789" i="4"/>
  <c r="Q788" i="4"/>
  <c r="AM788" i="4" s="1"/>
  <c r="C789" i="4"/>
  <c r="G789" i="4"/>
  <c r="E789" i="4"/>
  <c r="B789" i="4"/>
  <c r="I789" i="4"/>
  <c r="D789" i="4"/>
  <c r="H789" i="4"/>
  <c r="M789" i="4" l="1"/>
  <c r="N789" i="4" s="1"/>
  <c r="T789" i="4"/>
  <c r="U789" i="4" s="1"/>
  <c r="AH789" i="4"/>
  <c r="AI789" i="4" s="1"/>
  <c r="AA789" i="4"/>
  <c r="AB789" i="4" s="1"/>
  <c r="AF789" i="4"/>
  <c r="AG789" i="4" s="1"/>
  <c r="R789" i="4"/>
  <c r="S789" i="4" s="1"/>
  <c r="V789" i="4" s="1"/>
  <c r="W789" i="4" s="1"/>
  <c r="X789" i="4" s="1"/>
  <c r="Y789" i="4"/>
  <c r="Z789" i="4" s="1"/>
  <c r="K789" i="4"/>
  <c r="L789" i="4" s="1"/>
  <c r="O789" i="4" s="1"/>
  <c r="P789" i="4" s="1"/>
  <c r="Q789" i="4" s="1"/>
  <c r="AC789" i="4" l="1"/>
  <c r="AD789" i="4" s="1"/>
  <c r="E790" i="4"/>
  <c r="C790" i="4"/>
  <c r="G790" i="4"/>
  <c r="AJ789" i="4"/>
  <c r="AK789" i="4" s="1"/>
  <c r="AL789" i="4" s="1"/>
  <c r="AE789" i="4" l="1"/>
  <c r="AM789" i="4" s="1"/>
  <c r="B790" i="4"/>
  <c r="D790" i="4"/>
  <c r="J790" i="4"/>
  <c r="F790" i="4"/>
  <c r="T790" i="4" s="1"/>
  <c r="U790" i="4" s="1"/>
  <c r="I790" i="4"/>
  <c r="H790" i="4"/>
  <c r="AA790" i="4" l="1"/>
  <c r="AB790" i="4" s="1"/>
  <c r="M790" i="4"/>
  <c r="N790" i="4" s="1"/>
  <c r="AH790" i="4"/>
  <c r="AI790" i="4" s="1"/>
  <c r="R790" i="4"/>
  <c r="S790" i="4" s="1"/>
  <c r="V790" i="4" s="1"/>
  <c r="W790" i="4" s="1"/>
  <c r="X790" i="4" s="1"/>
  <c r="Y790" i="4"/>
  <c r="Z790" i="4" s="1"/>
  <c r="AC790" i="4" s="1"/>
  <c r="AD790" i="4" s="1"/>
  <c r="AE790" i="4" s="1"/>
  <c r="AF790" i="4"/>
  <c r="AG790" i="4" s="1"/>
  <c r="K790" i="4"/>
  <c r="L790" i="4" s="1"/>
  <c r="O790" i="4" l="1"/>
  <c r="P790" i="4" s="1"/>
  <c r="AJ790" i="4"/>
  <c r="AK790" i="4" s="1"/>
  <c r="AL790" i="4" s="1"/>
  <c r="Q790" i="4" l="1"/>
  <c r="AM790" i="4" s="1"/>
  <c r="G791" i="4"/>
  <c r="C791" i="4"/>
  <c r="E791" i="4"/>
  <c r="H791" i="4"/>
  <c r="I791" i="4"/>
  <c r="F791" i="4"/>
  <c r="B791" i="4"/>
  <c r="D791" i="4"/>
  <c r="J791" i="4"/>
  <c r="K791" i="4" l="1"/>
  <c r="L791" i="4" s="1"/>
  <c r="AF791" i="4"/>
  <c r="AG791" i="4" s="1"/>
  <c r="Y791" i="4"/>
  <c r="Z791" i="4" s="1"/>
  <c r="AC791" i="4" s="1"/>
  <c r="AD791" i="4" s="1"/>
  <c r="AE791" i="4" s="1"/>
  <c r="R791" i="4"/>
  <c r="S791" i="4" s="1"/>
  <c r="V791" i="4" s="1"/>
  <c r="W791" i="4" s="1"/>
  <c r="X791" i="4" s="1"/>
  <c r="T791" i="4"/>
  <c r="U791" i="4" s="1"/>
  <c r="AA791" i="4"/>
  <c r="AB791" i="4" s="1"/>
  <c r="AH791" i="4"/>
  <c r="AI791" i="4" s="1"/>
  <c r="M791" i="4"/>
  <c r="N791" i="4" s="1"/>
  <c r="AJ791" i="4" l="1"/>
  <c r="AK791" i="4" s="1"/>
  <c r="AL791" i="4" s="1"/>
  <c r="O791" i="4"/>
  <c r="P791" i="4" s="1"/>
  <c r="Q791" i="4" l="1"/>
  <c r="AM791" i="4" s="1"/>
  <c r="E792" i="4"/>
  <c r="D792" i="4"/>
  <c r="B792" i="4"/>
  <c r="F792" i="4"/>
  <c r="G792" i="4"/>
  <c r="I792" i="4"/>
  <c r="H792" i="4"/>
  <c r="C792" i="4"/>
  <c r="J792" i="4"/>
  <c r="K792" i="4" l="1"/>
  <c r="L792" i="4" s="1"/>
  <c r="O792" i="4" s="1"/>
  <c r="P792" i="4" s="1"/>
  <c r="Q792" i="4" s="1"/>
  <c r="AF792" i="4"/>
  <c r="AG792" i="4" s="1"/>
  <c r="R792" i="4"/>
  <c r="S792" i="4" s="1"/>
  <c r="V792" i="4" s="1"/>
  <c r="W792" i="4" s="1"/>
  <c r="X792" i="4" s="1"/>
  <c r="Y792" i="4"/>
  <c r="Z792" i="4" s="1"/>
  <c r="AC792" i="4" s="1"/>
  <c r="AD792" i="4" s="1"/>
  <c r="AE792" i="4" s="1"/>
  <c r="M792" i="4"/>
  <c r="N792" i="4" s="1"/>
  <c r="T792" i="4"/>
  <c r="U792" i="4" s="1"/>
  <c r="AH792" i="4"/>
  <c r="AI792" i="4" s="1"/>
  <c r="AA792" i="4"/>
  <c r="AB792" i="4" s="1"/>
  <c r="AJ792" i="4" l="1"/>
  <c r="AK792" i="4" s="1"/>
  <c r="AL792" i="4" s="1"/>
  <c r="E793" i="4"/>
  <c r="D793" i="4"/>
  <c r="AM792" i="4"/>
  <c r="AP90" i="4" s="1"/>
  <c r="G793" i="4"/>
  <c r="I793" i="4"/>
  <c r="H793" i="4"/>
  <c r="J793" i="4" l="1"/>
  <c r="B793" i="4"/>
  <c r="C793" i="4"/>
  <c r="F793" i="4"/>
  <c r="T793" i="4" s="1"/>
  <c r="U793" i="4" s="1"/>
  <c r="M793" i="4" l="1"/>
  <c r="N793" i="4" s="1"/>
  <c r="AH793" i="4"/>
  <c r="AI793" i="4" s="1"/>
  <c r="AA793" i="4"/>
  <c r="AB793" i="4" s="1"/>
  <c r="AF793" i="4"/>
  <c r="AG793" i="4" s="1"/>
  <c r="AJ793" i="4" s="1"/>
  <c r="AK793" i="4" s="1"/>
  <c r="AL793" i="4" s="1"/>
  <c r="R793" i="4"/>
  <c r="S793" i="4" s="1"/>
  <c r="V793" i="4" s="1"/>
  <c r="W793" i="4" s="1"/>
  <c r="X793" i="4" s="1"/>
  <c r="Y793" i="4"/>
  <c r="Z793" i="4" s="1"/>
  <c r="K793" i="4"/>
  <c r="L793" i="4" s="1"/>
  <c r="O793" i="4" s="1"/>
  <c r="P793" i="4" s="1"/>
  <c r="AC793" i="4" l="1"/>
  <c r="AD793" i="4" s="1"/>
  <c r="Q793" i="4"/>
  <c r="G794" i="4"/>
  <c r="I794" i="4"/>
  <c r="D794" i="4"/>
  <c r="H794" i="4"/>
  <c r="E794" i="4"/>
  <c r="F794" i="4"/>
  <c r="AH794" i="4" l="1"/>
  <c r="AI794" i="4" s="1"/>
  <c r="T794" i="4"/>
  <c r="U794" i="4" s="1"/>
  <c r="M794" i="4"/>
  <c r="N794" i="4" s="1"/>
  <c r="AA794" i="4"/>
  <c r="AB794" i="4" s="1"/>
  <c r="AE793" i="4"/>
  <c r="AM793" i="4" s="1"/>
  <c r="J794" i="4"/>
  <c r="B794" i="4"/>
  <c r="C794" i="4"/>
  <c r="R794" i="4" l="1"/>
  <c r="S794" i="4" s="1"/>
  <c r="V794" i="4" s="1"/>
  <c r="W794" i="4" s="1"/>
  <c r="X794" i="4" s="1"/>
  <c r="Y794" i="4"/>
  <c r="Z794" i="4" s="1"/>
  <c r="AC794" i="4" s="1"/>
  <c r="AD794" i="4" s="1"/>
  <c r="AE794" i="4" s="1"/>
  <c r="K794" i="4"/>
  <c r="L794" i="4" s="1"/>
  <c r="O794" i="4" s="1"/>
  <c r="P794" i="4" s="1"/>
  <c r="AF794" i="4"/>
  <c r="AG794" i="4" s="1"/>
  <c r="AJ794" i="4" s="1"/>
  <c r="AK794" i="4" s="1"/>
  <c r="AL794" i="4" s="1"/>
  <c r="B795" i="4" l="1"/>
  <c r="Q794" i="4"/>
  <c r="AM794" i="4" s="1"/>
  <c r="F795" i="4"/>
  <c r="E795" i="4"/>
  <c r="H795" i="4"/>
  <c r="D795" i="4"/>
  <c r="I795" i="4"/>
  <c r="G795" i="4"/>
  <c r="J795" i="4"/>
  <c r="C795" i="4"/>
  <c r="T795" i="4" l="1"/>
  <c r="U795" i="4" s="1"/>
  <c r="AH795" i="4"/>
  <c r="AI795" i="4" s="1"/>
  <c r="AA795" i="4"/>
  <c r="AB795" i="4" s="1"/>
  <c r="M795" i="4"/>
  <c r="N795" i="4" s="1"/>
  <c r="K795" i="4"/>
  <c r="L795" i="4" s="1"/>
  <c r="O795" i="4" s="1"/>
  <c r="P795" i="4" s="1"/>
  <c r="Q795" i="4" s="1"/>
  <c r="Y795" i="4"/>
  <c r="Z795" i="4" s="1"/>
  <c r="AC795" i="4" s="1"/>
  <c r="AD795" i="4" s="1"/>
  <c r="AE795" i="4" s="1"/>
  <c r="R795" i="4"/>
  <c r="S795" i="4" s="1"/>
  <c r="V795" i="4" s="1"/>
  <c r="W795" i="4" s="1"/>
  <c r="X795" i="4" s="1"/>
  <c r="AF795" i="4"/>
  <c r="AG795" i="4" s="1"/>
  <c r="AM795" i="4" l="1"/>
  <c r="H796" i="4"/>
  <c r="J796" i="4"/>
  <c r="F796" i="4"/>
  <c r="C796" i="4"/>
  <c r="I796" i="4"/>
  <c r="D796" i="4"/>
  <c r="AJ795" i="4"/>
  <c r="AK795" i="4" s="1"/>
  <c r="AL795" i="4" s="1"/>
  <c r="E796" i="4"/>
  <c r="G796" i="4"/>
  <c r="AA796" i="4" l="1"/>
  <c r="AB796" i="4" s="1"/>
  <c r="M796" i="4"/>
  <c r="N796" i="4" s="1"/>
  <c r="T796" i="4"/>
  <c r="U796" i="4" s="1"/>
  <c r="AH796" i="4"/>
  <c r="AI796" i="4" s="1"/>
  <c r="B796" i="4"/>
  <c r="AF796" i="4" l="1"/>
  <c r="AG796" i="4" s="1"/>
  <c r="AJ796" i="4" s="1"/>
  <c r="AK796" i="4" s="1"/>
  <c r="AL796" i="4" s="1"/>
  <c r="R796" i="4"/>
  <c r="S796" i="4" s="1"/>
  <c r="V796" i="4" s="1"/>
  <c r="W796" i="4" s="1"/>
  <c r="X796" i="4" s="1"/>
  <c r="Y796" i="4"/>
  <c r="Z796" i="4" s="1"/>
  <c r="AC796" i="4" s="1"/>
  <c r="AD796" i="4" s="1"/>
  <c r="AE796" i="4" s="1"/>
  <c r="K796" i="4"/>
  <c r="L796" i="4" s="1"/>
  <c r="O796" i="4" s="1"/>
  <c r="P796" i="4" s="1"/>
  <c r="Q796" i="4" l="1"/>
  <c r="AM796" i="4" s="1"/>
  <c r="D797" i="4"/>
  <c r="C797" i="4"/>
  <c r="E797" i="4"/>
  <c r="I797" i="4"/>
  <c r="J797" i="4"/>
  <c r="H797" i="4"/>
  <c r="F797" i="4"/>
  <c r="G797" i="4"/>
  <c r="B797" i="4"/>
  <c r="AH797" i="4" l="1"/>
  <c r="AI797" i="4" s="1"/>
  <c r="AA797" i="4"/>
  <c r="AB797" i="4" s="1"/>
  <c r="T797" i="4"/>
  <c r="U797" i="4" s="1"/>
  <c r="M797" i="4"/>
  <c r="N797" i="4" s="1"/>
  <c r="R797" i="4"/>
  <c r="S797" i="4" s="1"/>
  <c r="Y797" i="4"/>
  <c r="Z797" i="4" s="1"/>
  <c r="AC797" i="4" s="1"/>
  <c r="AD797" i="4" s="1"/>
  <c r="AE797" i="4" s="1"/>
  <c r="K797" i="4"/>
  <c r="L797" i="4" s="1"/>
  <c r="AF797" i="4"/>
  <c r="AG797" i="4" s="1"/>
  <c r="AJ797" i="4" l="1"/>
  <c r="AK797" i="4" s="1"/>
  <c r="AL797" i="4" s="1"/>
  <c r="O797" i="4"/>
  <c r="P797" i="4" s="1"/>
  <c r="V797" i="4"/>
  <c r="W797" i="4" s="1"/>
  <c r="X797" i="4" s="1"/>
  <c r="Q797" i="4" l="1"/>
  <c r="AM797" i="4" s="1"/>
  <c r="H798" i="4"/>
  <c r="G798" i="4"/>
  <c r="I798" i="4"/>
  <c r="J798" i="4"/>
  <c r="B798" i="4"/>
  <c r="D798" i="4"/>
  <c r="E798" i="4"/>
  <c r="F798" i="4"/>
  <c r="C798" i="4"/>
  <c r="Y798" i="4" l="1"/>
  <c r="Z798" i="4" s="1"/>
  <c r="AF798" i="4"/>
  <c r="AG798" i="4" s="1"/>
  <c r="R798" i="4"/>
  <c r="S798" i="4" s="1"/>
  <c r="K798" i="4"/>
  <c r="L798" i="4" s="1"/>
  <c r="O798" i="4" s="1"/>
  <c r="P798" i="4" s="1"/>
  <c r="Q798" i="4" s="1"/>
  <c r="T798" i="4"/>
  <c r="U798" i="4" s="1"/>
  <c r="AH798" i="4"/>
  <c r="AI798" i="4" s="1"/>
  <c r="AA798" i="4"/>
  <c r="AB798" i="4" s="1"/>
  <c r="M798" i="4"/>
  <c r="N798" i="4" s="1"/>
  <c r="V798" i="4" l="1"/>
  <c r="W798" i="4" s="1"/>
  <c r="AJ798" i="4"/>
  <c r="AK798" i="4" s="1"/>
  <c r="AL798" i="4" s="1"/>
  <c r="H799" i="4"/>
  <c r="AC798" i="4"/>
  <c r="AD798" i="4" s="1"/>
  <c r="AE798" i="4" s="1"/>
  <c r="X798" i="4" l="1"/>
  <c r="AM798" i="4" s="1"/>
  <c r="G799" i="4"/>
  <c r="D799" i="4"/>
  <c r="C799" i="4"/>
  <c r="B799" i="4"/>
  <c r="F799" i="4"/>
  <c r="J799" i="4"/>
  <c r="E799" i="4"/>
  <c r="I799" i="4"/>
  <c r="AF799" i="4" l="1"/>
  <c r="AG799" i="4" s="1"/>
  <c r="AJ799" i="4" s="1"/>
  <c r="AK799" i="4" s="1"/>
  <c r="AL799" i="4" s="1"/>
  <c r="K799" i="4"/>
  <c r="L799" i="4" s="1"/>
  <c r="O799" i="4" s="1"/>
  <c r="P799" i="4" s="1"/>
  <c r="Y799" i="4"/>
  <c r="Z799" i="4" s="1"/>
  <c r="R799" i="4"/>
  <c r="S799" i="4" s="1"/>
  <c r="M799" i="4"/>
  <c r="N799" i="4" s="1"/>
  <c r="AH799" i="4"/>
  <c r="AI799" i="4" s="1"/>
  <c r="T799" i="4"/>
  <c r="U799" i="4" s="1"/>
  <c r="AA799" i="4"/>
  <c r="AB799" i="4" s="1"/>
  <c r="Q799" i="4" l="1"/>
  <c r="B800" i="4"/>
  <c r="G800" i="4"/>
  <c r="I800" i="4"/>
  <c r="D800" i="4"/>
  <c r="C800" i="4"/>
  <c r="V799" i="4"/>
  <c r="W799" i="4" s="1"/>
  <c r="X799" i="4" s="1"/>
  <c r="AC799" i="4"/>
  <c r="AD799" i="4" s="1"/>
  <c r="AE799" i="4" s="1"/>
  <c r="J800" i="4"/>
  <c r="AF800" i="4" l="1"/>
  <c r="AG800" i="4" s="1"/>
  <c r="R800" i="4"/>
  <c r="S800" i="4" s="1"/>
  <c r="K800" i="4"/>
  <c r="L800" i="4" s="1"/>
  <c r="Y800" i="4"/>
  <c r="Z800" i="4" s="1"/>
  <c r="E800" i="4"/>
  <c r="F800" i="4"/>
  <c r="H800" i="4"/>
  <c r="AM799" i="4"/>
  <c r="M800" i="4" l="1"/>
  <c r="N800" i="4" s="1"/>
  <c r="O800" i="4" s="1"/>
  <c r="P800" i="4" s="1"/>
  <c r="AA800" i="4"/>
  <c r="AB800" i="4" s="1"/>
  <c r="AC800" i="4" s="1"/>
  <c r="AD800" i="4" s="1"/>
  <c r="AE800" i="4" s="1"/>
  <c r="AH800" i="4"/>
  <c r="AI800" i="4" s="1"/>
  <c r="AJ800" i="4" s="1"/>
  <c r="AK800" i="4" s="1"/>
  <c r="AL800" i="4" s="1"/>
  <c r="T800" i="4"/>
  <c r="U800" i="4" s="1"/>
  <c r="V800" i="4" s="1"/>
  <c r="W800" i="4" s="1"/>
  <c r="X800" i="4" s="1"/>
  <c r="Q800" i="4" l="1"/>
  <c r="AM800" i="4" s="1"/>
  <c r="D801" i="4"/>
  <c r="J801" i="4"/>
  <c r="I801" i="4"/>
  <c r="C801" i="4"/>
  <c r="G801" i="4"/>
  <c r="B801" i="4"/>
  <c r="F801" i="4"/>
  <c r="H801" i="4"/>
  <c r="E801" i="4"/>
  <c r="R801" i="4" l="1"/>
  <c r="S801" i="4" s="1"/>
  <c r="K801" i="4"/>
  <c r="L801" i="4" s="1"/>
  <c r="Y801" i="4"/>
  <c r="Z801" i="4" s="1"/>
  <c r="AC801" i="4" s="1"/>
  <c r="AD801" i="4" s="1"/>
  <c r="AE801" i="4" s="1"/>
  <c r="AF801" i="4"/>
  <c r="AG801" i="4" s="1"/>
  <c r="AH801" i="4"/>
  <c r="AI801" i="4" s="1"/>
  <c r="T801" i="4"/>
  <c r="U801" i="4" s="1"/>
  <c r="AA801" i="4"/>
  <c r="AB801" i="4" s="1"/>
  <c r="M801" i="4"/>
  <c r="N801" i="4" s="1"/>
  <c r="AJ801" i="4" l="1"/>
  <c r="AK801" i="4" s="1"/>
  <c r="AL801" i="4" s="1"/>
  <c r="O801" i="4"/>
  <c r="P801" i="4" s="1"/>
  <c r="V801" i="4"/>
  <c r="W801" i="4" s="1"/>
  <c r="X801" i="4" s="1"/>
  <c r="Q801" i="4" l="1"/>
  <c r="AM801" i="4" s="1"/>
  <c r="H802" i="4"/>
  <c r="E802" i="4"/>
  <c r="B802" i="4"/>
  <c r="D802" i="4"/>
  <c r="J802" i="4"/>
  <c r="F802" i="4"/>
  <c r="G802" i="4"/>
  <c r="C802" i="4"/>
  <c r="I802" i="4"/>
  <c r="T802" i="4" l="1"/>
  <c r="U802" i="4" s="1"/>
  <c r="AA802" i="4"/>
  <c r="AB802" i="4" s="1"/>
  <c r="M802" i="4"/>
  <c r="N802" i="4" s="1"/>
  <c r="AH802" i="4"/>
  <c r="AI802" i="4" s="1"/>
  <c r="R802" i="4"/>
  <c r="S802" i="4" s="1"/>
  <c r="V802" i="4" s="1"/>
  <c r="W802" i="4" s="1"/>
  <c r="X802" i="4" s="1"/>
  <c r="Y802" i="4"/>
  <c r="Z802" i="4" s="1"/>
  <c r="AC802" i="4" s="1"/>
  <c r="AD802" i="4" s="1"/>
  <c r="AE802" i="4" s="1"/>
  <c r="AF802" i="4"/>
  <c r="AG802" i="4" s="1"/>
  <c r="K802" i="4"/>
  <c r="L802" i="4" s="1"/>
  <c r="O802" i="4" s="1"/>
  <c r="P802" i="4" s="1"/>
  <c r="Q802" i="4" s="1"/>
  <c r="AJ802" i="4" l="1"/>
  <c r="AK802" i="4" s="1"/>
  <c r="AL802" i="4" s="1"/>
  <c r="AM802" i="4" s="1"/>
  <c r="AP91" i="4" s="1"/>
  <c r="H803" i="4" l="1"/>
  <c r="F803" i="4"/>
  <c r="J803" i="4"/>
  <c r="D803" i="4"/>
  <c r="G803" i="4"/>
  <c r="I803" i="4"/>
  <c r="B803" i="4"/>
  <c r="C803" i="4"/>
  <c r="E803" i="4"/>
  <c r="R803" i="4" l="1"/>
  <c r="S803" i="4" s="1"/>
  <c r="AF803" i="4"/>
  <c r="AG803" i="4" s="1"/>
  <c r="Y803" i="4"/>
  <c r="Z803" i="4" s="1"/>
  <c r="AC803" i="4" s="1"/>
  <c r="AD803" i="4" s="1"/>
  <c r="AE803" i="4" s="1"/>
  <c r="K803" i="4"/>
  <c r="L803" i="4" s="1"/>
  <c r="AA803" i="4"/>
  <c r="AB803" i="4" s="1"/>
  <c r="M803" i="4"/>
  <c r="N803" i="4" s="1"/>
  <c r="AH803" i="4"/>
  <c r="AI803" i="4" s="1"/>
  <c r="T803" i="4"/>
  <c r="U803" i="4" s="1"/>
  <c r="O803" i="4" l="1"/>
  <c r="P803" i="4" s="1"/>
  <c r="AJ803" i="4"/>
  <c r="AK803" i="4" s="1"/>
  <c r="AL803" i="4" s="1"/>
  <c r="V803" i="4"/>
  <c r="W803" i="4" s="1"/>
  <c r="X803" i="4" s="1"/>
  <c r="Q803" i="4" l="1"/>
  <c r="AM803" i="4" s="1"/>
  <c r="C804" i="4"/>
  <c r="J804" i="4"/>
  <c r="H804" i="4"/>
  <c r="G804" i="4"/>
  <c r="D804" i="4"/>
  <c r="F804" i="4"/>
  <c r="E804" i="4"/>
  <c r="B804" i="4"/>
  <c r="I804" i="4"/>
  <c r="AH804" i="4" l="1"/>
  <c r="AI804" i="4" s="1"/>
  <c r="M804" i="4"/>
  <c r="N804" i="4" s="1"/>
  <c r="AA804" i="4"/>
  <c r="AB804" i="4" s="1"/>
  <c r="T804" i="4"/>
  <c r="U804" i="4" s="1"/>
  <c r="AF804" i="4"/>
  <c r="AG804" i="4" s="1"/>
  <c r="AJ804" i="4" s="1"/>
  <c r="AK804" i="4" s="1"/>
  <c r="AL804" i="4" s="1"/>
  <c r="Y804" i="4"/>
  <c r="Z804" i="4" s="1"/>
  <c r="AC804" i="4" s="1"/>
  <c r="AD804" i="4" s="1"/>
  <c r="AE804" i="4" s="1"/>
  <c r="K804" i="4"/>
  <c r="L804" i="4" s="1"/>
  <c r="O804" i="4" s="1"/>
  <c r="P804" i="4" s="1"/>
  <c r="Q804" i="4" s="1"/>
  <c r="R804" i="4"/>
  <c r="S804" i="4" s="1"/>
  <c r="H805" i="4" l="1"/>
  <c r="B805" i="4"/>
  <c r="J805" i="4"/>
  <c r="G805" i="4"/>
  <c r="E805" i="4"/>
  <c r="C805" i="4"/>
  <c r="D805" i="4"/>
  <c r="V804" i="4"/>
  <c r="W804" i="4" s="1"/>
  <c r="X804" i="4" s="1"/>
  <c r="AM804" i="4" s="1"/>
  <c r="I805" i="4"/>
  <c r="F805" i="4"/>
  <c r="AH805" i="4" l="1"/>
  <c r="AI805" i="4" s="1"/>
  <c r="T805" i="4"/>
  <c r="U805" i="4" s="1"/>
  <c r="M805" i="4"/>
  <c r="N805" i="4" s="1"/>
  <c r="AA805" i="4"/>
  <c r="AB805" i="4" s="1"/>
  <c r="R805" i="4"/>
  <c r="S805" i="4" s="1"/>
  <c r="AF805" i="4"/>
  <c r="AG805" i="4" s="1"/>
  <c r="AJ805" i="4" s="1"/>
  <c r="AK805" i="4" s="1"/>
  <c r="AL805" i="4" s="1"/>
  <c r="K805" i="4"/>
  <c r="L805" i="4" s="1"/>
  <c r="Y805" i="4"/>
  <c r="Z805" i="4" s="1"/>
  <c r="AC805" i="4" s="1"/>
  <c r="AD805" i="4" s="1"/>
  <c r="AE805" i="4" s="1"/>
  <c r="O805" i="4" l="1"/>
  <c r="P805" i="4" s="1"/>
  <c r="V805" i="4"/>
  <c r="W805" i="4" s="1"/>
  <c r="X805" i="4" s="1"/>
  <c r="Q805" i="4" l="1"/>
  <c r="AM805" i="4" s="1"/>
  <c r="C806" i="4"/>
  <c r="H806" i="4"/>
  <c r="E806" i="4"/>
  <c r="B806" i="4"/>
  <c r="G806" i="4"/>
  <c r="D806" i="4"/>
  <c r="J806" i="4"/>
  <c r="F806" i="4"/>
  <c r="I806" i="4"/>
  <c r="T806" i="4" l="1"/>
  <c r="U806" i="4" s="1"/>
  <c r="M806" i="4"/>
  <c r="N806" i="4" s="1"/>
  <c r="AA806" i="4"/>
  <c r="AB806" i="4" s="1"/>
  <c r="AH806" i="4"/>
  <c r="AI806" i="4" s="1"/>
  <c r="AF806" i="4"/>
  <c r="AG806" i="4" s="1"/>
  <c r="R806" i="4"/>
  <c r="S806" i="4" s="1"/>
  <c r="V806" i="4" s="1"/>
  <c r="W806" i="4" s="1"/>
  <c r="X806" i="4" s="1"/>
  <c r="Y806" i="4"/>
  <c r="Z806" i="4" s="1"/>
  <c r="AC806" i="4" s="1"/>
  <c r="AD806" i="4" s="1"/>
  <c r="AE806" i="4" s="1"/>
  <c r="K806" i="4"/>
  <c r="L806" i="4" s="1"/>
  <c r="O806" i="4" s="1"/>
  <c r="P806" i="4" s="1"/>
  <c r="Q806" i="4" s="1"/>
  <c r="H807" i="4" l="1"/>
  <c r="E807" i="4"/>
  <c r="B807" i="4"/>
  <c r="AJ806" i="4"/>
  <c r="AK806" i="4" s="1"/>
  <c r="AL806" i="4" s="1"/>
  <c r="AM806" i="4" s="1"/>
  <c r="G807" i="4"/>
  <c r="D807" i="4"/>
  <c r="I807" i="4"/>
  <c r="J807" i="4"/>
  <c r="T807" i="4" l="1"/>
  <c r="U807" i="4" s="1"/>
  <c r="C807" i="4"/>
  <c r="F807" i="4"/>
  <c r="AA807" i="4" s="1"/>
  <c r="AB807" i="4" s="1"/>
  <c r="AH807" i="4" l="1"/>
  <c r="AI807" i="4" s="1"/>
  <c r="M807" i="4"/>
  <c r="N807" i="4" s="1"/>
  <c r="R807" i="4"/>
  <c r="S807" i="4" s="1"/>
  <c r="V807" i="4" s="1"/>
  <c r="W807" i="4" s="1"/>
  <c r="X807" i="4" s="1"/>
  <c r="Y807" i="4"/>
  <c r="Z807" i="4" s="1"/>
  <c r="AC807" i="4" s="1"/>
  <c r="AD807" i="4" s="1"/>
  <c r="AE807" i="4" s="1"/>
  <c r="K807" i="4"/>
  <c r="L807" i="4" s="1"/>
  <c r="O807" i="4" s="1"/>
  <c r="P807" i="4" s="1"/>
  <c r="AF807" i="4"/>
  <c r="AG807" i="4" s="1"/>
  <c r="AJ807" i="4" s="1"/>
  <c r="AK807" i="4" s="1"/>
  <c r="AL807" i="4" s="1"/>
  <c r="Q807" i="4" l="1"/>
  <c r="AM807" i="4" s="1"/>
  <c r="D808" i="4"/>
  <c r="B808" i="4"/>
  <c r="E808" i="4"/>
  <c r="G808" i="4"/>
  <c r="J808" i="4"/>
  <c r="H808" i="4"/>
  <c r="I808" i="4"/>
  <c r="F808" i="4"/>
  <c r="C808" i="4"/>
  <c r="T808" i="4" l="1"/>
  <c r="U808" i="4" s="1"/>
  <c r="AH808" i="4"/>
  <c r="AI808" i="4" s="1"/>
  <c r="AA808" i="4"/>
  <c r="AB808" i="4" s="1"/>
  <c r="M808" i="4"/>
  <c r="N808" i="4" s="1"/>
  <c r="AF808" i="4"/>
  <c r="AG808" i="4" s="1"/>
  <c r="K808" i="4"/>
  <c r="L808" i="4" s="1"/>
  <c r="Y808" i="4"/>
  <c r="Z808" i="4" s="1"/>
  <c r="R808" i="4"/>
  <c r="S808" i="4" s="1"/>
  <c r="V808" i="4" s="1"/>
  <c r="W808" i="4" s="1"/>
  <c r="X808" i="4" s="1"/>
  <c r="AC808" i="4" l="1"/>
  <c r="AD808" i="4" s="1"/>
  <c r="AE808" i="4" s="1"/>
  <c r="O808" i="4"/>
  <c r="P808" i="4" s="1"/>
  <c r="AJ808" i="4"/>
  <c r="AK808" i="4" s="1"/>
  <c r="AL808" i="4" s="1"/>
  <c r="Q808" i="4" l="1"/>
  <c r="AM808" i="4" s="1"/>
  <c r="I809" i="4"/>
  <c r="B809" i="4"/>
  <c r="F809" i="4"/>
  <c r="E809" i="4"/>
  <c r="G809" i="4"/>
  <c r="J809" i="4"/>
  <c r="C809" i="4"/>
  <c r="D809" i="4"/>
  <c r="H809" i="4"/>
  <c r="AH809" i="4" l="1"/>
  <c r="AI809" i="4" s="1"/>
  <c r="AA809" i="4"/>
  <c r="AB809" i="4" s="1"/>
  <c r="M809" i="4"/>
  <c r="N809" i="4" s="1"/>
  <c r="T809" i="4"/>
  <c r="U809" i="4" s="1"/>
  <c r="R809" i="4"/>
  <c r="S809" i="4" s="1"/>
  <c r="V809" i="4" s="1"/>
  <c r="W809" i="4" s="1"/>
  <c r="X809" i="4" s="1"/>
  <c r="AF809" i="4"/>
  <c r="AG809" i="4" s="1"/>
  <c r="AJ809" i="4" s="1"/>
  <c r="AK809" i="4" s="1"/>
  <c r="AL809" i="4" s="1"/>
  <c r="Y809" i="4"/>
  <c r="Z809" i="4" s="1"/>
  <c r="K809" i="4"/>
  <c r="L809" i="4" s="1"/>
  <c r="O809" i="4" l="1"/>
  <c r="P809" i="4" s="1"/>
  <c r="AC809" i="4"/>
  <c r="AD809" i="4" s="1"/>
  <c r="AE809" i="4" s="1"/>
  <c r="Q809" i="4" l="1"/>
  <c r="AM809" i="4" s="1"/>
  <c r="C810" i="4"/>
  <c r="B810" i="4"/>
  <c r="D810" i="4"/>
  <c r="E810" i="4"/>
  <c r="F810" i="4"/>
  <c r="H810" i="4"/>
  <c r="I810" i="4"/>
  <c r="J810" i="4"/>
  <c r="G810" i="4"/>
  <c r="T810" i="4" l="1"/>
  <c r="U810" i="4" s="1"/>
  <c r="AH810" i="4"/>
  <c r="AI810" i="4" s="1"/>
  <c r="M810" i="4"/>
  <c r="N810" i="4" s="1"/>
  <c r="AA810" i="4"/>
  <c r="AB810" i="4" s="1"/>
  <c r="Y810" i="4"/>
  <c r="Z810" i="4" s="1"/>
  <c r="AF810" i="4"/>
  <c r="AG810" i="4" s="1"/>
  <c r="AJ810" i="4" s="1"/>
  <c r="AK810" i="4" s="1"/>
  <c r="AL810" i="4" s="1"/>
  <c r="R810" i="4"/>
  <c r="S810" i="4" s="1"/>
  <c r="V810" i="4" s="1"/>
  <c r="W810" i="4" s="1"/>
  <c r="X810" i="4" s="1"/>
  <c r="K810" i="4"/>
  <c r="L810" i="4" s="1"/>
  <c r="O810" i="4" s="1"/>
  <c r="P810" i="4" s="1"/>
  <c r="Q810" i="4" s="1"/>
  <c r="AC810" i="4" l="1"/>
  <c r="AD810" i="4" s="1"/>
  <c r="AE810" i="4" l="1"/>
  <c r="AM810" i="4" s="1"/>
  <c r="G811" i="4"/>
  <c r="F811" i="4"/>
  <c r="I811" i="4"/>
  <c r="H811" i="4"/>
  <c r="J811" i="4"/>
  <c r="E811" i="4"/>
  <c r="B811" i="4"/>
  <c r="C811" i="4"/>
  <c r="D811" i="4"/>
  <c r="AH811" i="4" l="1"/>
  <c r="AI811" i="4" s="1"/>
  <c r="T811" i="4"/>
  <c r="U811" i="4" s="1"/>
  <c r="AA811" i="4"/>
  <c r="AB811" i="4" s="1"/>
  <c r="M811" i="4"/>
  <c r="N811" i="4" s="1"/>
  <c r="Y811" i="4"/>
  <c r="Z811" i="4" s="1"/>
  <c r="K811" i="4"/>
  <c r="L811" i="4" s="1"/>
  <c r="AF811" i="4"/>
  <c r="AG811" i="4" s="1"/>
  <c r="AJ811" i="4" s="1"/>
  <c r="AK811" i="4" s="1"/>
  <c r="AL811" i="4" s="1"/>
  <c r="R811" i="4"/>
  <c r="S811" i="4" s="1"/>
  <c r="V811" i="4" s="1"/>
  <c r="W811" i="4" s="1"/>
  <c r="X811" i="4" s="1"/>
  <c r="O811" i="4" l="1"/>
  <c r="P811" i="4" s="1"/>
  <c r="AC811" i="4"/>
  <c r="AD811" i="4" s="1"/>
  <c r="AE811" i="4" s="1"/>
  <c r="Q811" i="4" l="1"/>
  <c r="AM811" i="4" s="1"/>
  <c r="E812" i="4"/>
  <c r="C812" i="4"/>
  <c r="B812" i="4"/>
  <c r="F812" i="4"/>
  <c r="H812" i="4"/>
  <c r="G812" i="4"/>
  <c r="J812" i="4"/>
  <c r="I812" i="4"/>
  <c r="D812" i="4"/>
  <c r="AF812" i="4" l="1"/>
  <c r="AG812" i="4" s="1"/>
  <c r="K812" i="4"/>
  <c r="L812" i="4" s="1"/>
  <c r="O812" i="4" s="1"/>
  <c r="P812" i="4" s="1"/>
  <c r="Q812" i="4" s="1"/>
  <c r="Y812" i="4"/>
  <c r="Z812" i="4" s="1"/>
  <c r="AC812" i="4" s="1"/>
  <c r="AD812" i="4" s="1"/>
  <c r="AE812" i="4" s="1"/>
  <c r="R812" i="4"/>
  <c r="S812" i="4" s="1"/>
  <c r="V812" i="4" s="1"/>
  <c r="W812" i="4" s="1"/>
  <c r="X812" i="4" s="1"/>
  <c r="M812" i="4"/>
  <c r="N812" i="4" s="1"/>
  <c r="AA812" i="4"/>
  <c r="AB812" i="4" s="1"/>
  <c r="AH812" i="4"/>
  <c r="AI812" i="4" s="1"/>
  <c r="T812" i="4"/>
  <c r="U812" i="4" s="1"/>
  <c r="AJ812" i="4" l="1"/>
  <c r="AK812" i="4" s="1"/>
  <c r="AL812" i="4" s="1"/>
  <c r="AM812" i="4" s="1"/>
  <c r="AP92" i="4" s="1"/>
  <c r="B813" i="4"/>
  <c r="E813" i="4"/>
  <c r="H813" i="4" l="1"/>
  <c r="F813" i="4"/>
  <c r="J813" i="4"/>
  <c r="D813" i="4"/>
  <c r="R813" i="4" s="1"/>
  <c r="S813" i="4" s="1"/>
  <c r="G813" i="4"/>
  <c r="I813" i="4"/>
  <c r="C813" i="4"/>
  <c r="K813" i="4" s="1"/>
  <c r="L813" i="4" s="1"/>
  <c r="AF813" i="4" l="1"/>
  <c r="AG813" i="4" s="1"/>
  <c r="T813" i="4"/>
  <c r="U813" i="4" s="1"/>
  <c r="V813" i="4" s="1"/>
  <c r="W813" i="4" s="1"/>
  <c r="X813" i="4" s="1"/>
  <c r="AA813" i="4"/>
  <c r="AB813" i="4" s="1"/>
  <c r="M813" i="4"/>
  <c r="N813" i="4" s="1"/>
  <c r="O813" i="4" s="1"/>
  <c r="P813" i="4" s="1"/>
  <c r="Y813" i="4"/>
  <c r="Z813" i="4" s="1"/>
  <c r="AC813" i="4" s="1"/>
  <c r="AD813" i="4" s="1"/>
  <c r="AE813" i="4" s="1"/>
  <c r="AH813" i="4"/>
  <c r="AI813" i="4" s="1"/>
  <c r="Q813" i="4" l="1"/>
  <c r="J814" i="4"/>
  <c r="F814" i="4"/>
  <c r="H814" i="4"/>
  <c r="AJ813" i="4"/>
  <c r="AK813" i="4" s="1"/>
  <c r="AL813" i="4" s="1"/>
  <c r="D814" i="4" l="1"/>
  <c r="C814" i="4"/>
  <c r="E814" i="4"/>
  <c r="B814" i="4"/>
  <c r="G814" i="4"/>
  <c r="I814" i="4"/>
  <c r="AM813" i="4"/>
  <c r="K814" i="4" l="1"/>
  <c r="L814" i="4" s="1"/>
  <c r="Y814" i="4"/>
  <c r="Z814" i="4" s="1"/>
  <c r="AC814" i="4" s="1"/>
  <c r="AD814" i="4" s="1"/>
  <c r="AE814" i="4" s="1"/>
  <c r="AF814" i="4"/>
  <c r="AG814" i="4" s="1"/>
  <c r="AJ814" i="4" s="1"/>
  <c r="AK814" i="4" s="1"/>
  <c r="AL814" i="4" s="1"/>
  <c r="R814" i="4"/>
  <c r="S814" i="4" s="1"/>
  <c r="V814" i="4" s="1"/>
  <c r="W814" i="4" s="1"/>
  <c r="X814" i="4" s="1"/>
  <c r="T814" i="4"/>
  <c r="U814" i="4" s="1"/>
  <c r="AH814" i="4"/>
  <c r="AI814" i="4" s="1"/>
  <c r="AA814" i="4"/>
  <c r="AB814" i="4" s="1"/>
  <c r="M814" i="4"/>
  <c r="N814" i="4" s="1"/>
  <c r="O814" i="4" l="1"/>
  <c r="P814" i="4" s="1"/>
  <c r="Q814" i="4" l="1"/>
  <c r="AM814" i="4" s="1"/>
  <c r="H815" i="4"/>
  <c r="F815" i="4"/>
  <c r="J815" i="4"/>
  <c r="G815" i="4"/>
  <c r="B815" i="4"/>
  <c r="D815" i="4"/>
  <c r="C815" i="4"/>
  <c r="I815" i="4"/>
  <c r="E815" i="4"/>
  <c r="R815" i="4" l="1"/>
  <c r="S815" i="4" s="1"/>
  <c r="AF815" i="4"/>
  <c r="AG815" i="4" s="1"/>
  <c r="AJ815" i="4" s="1"/>
  <c r="AK815" i="4" s="1"/>
  <c r="AL815" i="4" s="1"/>
  <c r="Y815" i="4"/>
  <c r="Z815" i="4" s="1"/>
  <c r="K815" i="4"/>
  <c r="L815" i="4" s="1"/>
  <c r="O815" i="4" s="1"/>
  <c r="P815" i="4" s="1"/>
  <c r="Q815" i="4" s="1"/>
  <c r="AA815" i="4"/>
  <c r="AB815" i="4" s="1"/>
  <c r="AH815" i="4"/>
  <c r="AI815" i="4" s="1"/>
  <c r="T815" i="4"/>
  <c r="U815" i="4" s="1"/>
  <c r="M815" i="4"/>
  <c r="N815" i="4" s="1"/>
  <c r="AC815" i="4" l="1"/>
  <c r="AD815" i="4" s="1"/>
  <c r="AE815" i="4" s="1"/>
  <c r="V815" i="4"/>
  <c r="W815" i="4" s="1"/>
  <c r="X815" i="4" l="1"/>
  <c r="AM815" i="4" s="1"/>
  <c r="C816" i="4"/>
  <c r="G816" i="4"/>
  <c r="J816" i="4"/>
  <c r="D816" i="4"/>
  <c r="I816" i="4"/>
  <c r="B816" i="4"/>
  <c r="E816" i="4"/>
  <c r="H816" i="4"/>
  <c r="F816" i="4"/>
  <c r="AF816" i="4" l="1"/>
  <c r="AG816" i="4" s="1"/>
  <c r="R816" i="4"/>
  <c r="S816" i="4" s="1"/>
  <c r="Y816" i="4"/>
  <c r="Z816" i="4" s="1"/>
  <c r="AC816" i="4" s="1"/>
  <c r="AD816" i="4" s="1"/>
  <c r="AE816" i="4" s="1"/>
  <c r="K816" i="4"/>
  <c r="L816" i="4" s="1"/>
  <c r="O816" i="4" s="1"/>
  <c r="P816" i="4" s="1"/>
  <c r="Q816" i="4" s="1"/>
  <c r="AA816" i="4"/>
  <c r="AB816" i="4" s="1"/>
  <c r="M816" i="4"/>
  <c r="N816" i="4" s="1"/>
  <c r="AH816" i="4"/>
  <c r="AI816" i="4" s="1"/>
  <c r="T816" i="4"/>
  <c r="U816" i="4" s="1"/>
  <c r="V816" i="4" l="1"/>
  <c r="W816" i="4" s="1"/>
  <c r="E817" i="4"/>
  <c r="AJ816" i="4"/>
  <c r="AK816" i="4" s="1"/>
  <c r="AL816" i="4" s="1"/>
  <c r="H817" i="4"/>
  <c r="B817" i="4"/>
  <c r="J817" i="4" l="1"/>
  <c r="I817" i="4"/>
  <c r="X816" i="4"/>
  <c r="AM816" i="4" s="1"/>
  <c r="D817" i="4"/>
  <c r="AF817" i="4" s="1"/>
  <c r="AG817" i="4" s="1"/>
  <c r="G817" i="4"/>
  <c r="F817" i="4"/>
  <c r="C817" i="4"/>
  <c r="K817" i="4" s="1"/>
  <c r="L817" i="4" s="1"/>
  <c r="AH817" i="4" l="1"/>
  <c r="AI817" i="4" s="1"/>
  <c r="AJ817" i="4" s="1"/>
  <c r="AK817" i="4" s="1"/>
  <c r="AL817" i="4" s="1"/>
  <c r="M817" i="4"/>
  <c r="N817" i="4" s="1"/>
  <c r="O817" i="4" s="1"/>
  <c r="P817" i="4" s="1"/>
  <c r="T817" i="4"/>
  <c r="U817" i="4" s="1"/>
  <c r="Y817" i="4"/>
  <c r="Z817" i="4" s="1"/>
  <c r="AA817" i="4"/>
  <c r="AB817" i="4" s="1"/>
  <c r="R817" i="4"/>
  <c r="S817" i="4" s="1"/>
  <c r="V817" i="4" s="1"/>
  <c r="W817" i="4" s="1"/>
  <c r="X817" i="4" s="1"/>
  <c r="Q817" i="4" l="1"/>
  <c r="B818" i="4"/>
  <c r="J818" i="4"/>
  <c r="F818" i="4"/>
  <c r="I818" i="4"/>
  <c r="G818" i="4"/>
  <c r="AC817" i="4"/>
  <c r="AD817" i="4" s="1"/>
  <c r="AE817" i="4" s="1"/>
  <c r="E818" i="4" l="1"/>
  <c r="C818" i="4"/>
  <c r="H818" i="4"/>
  <c r="D818" i="4"/>
  <c r="Y818" i="4" s="1"/>
  <c r="Z818" i="4" s="1"/>
  <c r="AM817" i="4"/>
  <c r="R818" i="4" l="1"/>
  <c r="S818" i="4" s="1"/>
  <c r="AF818" i="4"/>
  <c r="AG818" i="4" s="1"/>
  <c r="T818" i="4"/>
  <c r="U818" i="4" s="1"/>
  <c r="AH818" i="4"/>
  <c r="AI818" i="4" s="1"/>
  <c r="AA818" i="4"/>
  <c r="AB818" i="4" s="1"/>
  <c r="AC818" i="4" s="1"/>
  <c r="AD818" i="4" s="1"/>
  <c r="AE818" i="4" s="1"/>
  <c r="M818" i="4"/>
  <c r="N818" i="4" s="1"/>
  <c r="K818" i="4"/>
  <c r="L818" i="4" s="1"/>
  <c r="O818" i="4" s="1"/>
  <c r="P818" i="4" s="1"/>
  <c r="AJ818" i="4" l="1"/>
  <c r="AK818" i="4" s="1"/>
  <c r="AL818" i="4" s="1"/>
  <c r="Q818" i="4"/>
  <c r="I819" i="4"/>
  <c r="J819" i="4"/>
  <c r="F819" i="4"/>
  <c r="G819" i="4"/>
  <c r="V818" i="4"/>
  <c r="W818" i="4" s="1"/>
  <c r="X818" i="4" s="1"/>
  <c r="E819" i="4"/>
  <c r="M819" i="4" l="1"/>
  <c r="N819" i="4" s="1"/>
  <c r="AA819" i="4"/>
  <c r="AB819" i="4" s="1"/>
  <c r="T819" i="4"/>
  <c r="U819" i="4" s="1"/>
  <c r="AH819" i="4"/>
  <c r="AI819" i="4" s="1"/>
  <c r="AM818" i="4"/>
  <c r="C819" i="4"/>
  <c r="H819" i="4"/>
  <c r="B819" i="4"/>
  <c r="D819" i="4"/>
  <c r="AF819" i="4" l="1"/>
  <c r="AG819" i="4" s="1"/>
  <c r="AJ819" i="4" s="1"/>
  <c r="AK819" i="4" s="1"/>
  <c r="AL819" i="4" s="1"/>
  <c r="R819" i="4"/>
  <c r="S819" i="4" s="1"/>
  <c r="V819" i="4" s="1"/>
  <c r="W819" i="4" s="1"/>
  <c r="X819" i="4" s="1"/>
  <c r="K819" i="4"/>
  <c r="L819" i="4" s="1"/>
  <c r="O819" i="4" s="1"/>
  <c r="P819" i="4" s="1"/>
  <c r="Y819" i="4"/>
  <c r="Z819" i="4" s="1"/>
  <c r="AC819" i="4" s="1"/>
  <c r="AD819" i="4" s="1"/>
  <c r="AE819" i="4" s="1"/>
  <c r="C820" i="4" l="1"/>
  <c r="H820" i="4"/>
  <c r="Q819" i="4"/>
  <c r="AM819" i="4" s="1"/>
  <c r="F820" i="4"/>
  <c r="J820" i="4"/>
  <c r="G820" i="4"/>
  <c r="I820" i="4"/>
  <c r="E820" i="4"/>
  <c r="B820" i="4"/>
  <c r="D820" i="4"/>
  <c r="T820" i="4" l="1"/>
  <c r="U820" i="4" s="1"/>
  <c r="AH820" i="4"/>
  <c r="AI820" i="4" s="1"/>
  <c r="AA820" i="4"/>
  <c r="AB820" i="4" s="1"/>
  <c r="M820" i="4"/>
  <c r="N820" i="4" s="1"/>
  <c r="AF820" i="4"/>
  <c r="AG820" i="4" s="1"/>
  <c r="AJ820" i="4" s="1"/>
  <c r="AK820" i="4" s="1"/>
  <c r="AL820" i="4" s="1"/>
  <c r="K820" i="4"/>
  <c r="L820" i="4" s="1"/>
  <c r="O820" i="4" s="1"/>
  <c r="P820" i="4" s="1"/>
  <c r="Q820" i="4" s="1"/>
  <c r="R820" i="4"/>
  <c r="S820" i="4" s="1"/>
  <c r="V820" i="4" s="1"/>
  <c r="W820" i="4" s="1"/>
  <c r="X820" i="4" s="1"/>
  <c r="Y820" i="4"/>
  <c r="Z820" i="4" s="1"/>
  <c r="AC820" i="4" s="1"/>
  <c r="AD820" i="4" s="1"/>
  <c r="AE820" i="4" s="1"/>
  <c r="AM820" i="4" l="1"/>
  <c r="I821" i="4"/>
  <c r="F821" i="4"/>
  <c r="J821" i="4"/>
  <c r="E821" i="4"/>
  <c r="H821" i="4"/>
  <c r="G821" i="4"/>
  <c r="B821" i="4"/>
  <c r="C821" i="4"/>
  <c r="D821" i="4"/>
  <c r="R821" i="4" l="1"/>
  <c r="S821" i="4" s="1"/>
  <c r="K821" i="4"/>
  <c r="L821" i="4" s="1"/>
  <c r="Y821" i="4"/>
  <c r="Z821" i="4" s="1"/>
  <c r="AF821" i="4"/>
  <c r="AG821" i="4" s="1"/>
  <c r="AJ821" i="4" s="1"/>
  <c r="AK821" i="4" s="1"/>
  <c r="AL821" i="4" s="1"/>
  <c r="AH821" i="4"/>
  <c r="AI821" i="4" s="1"/>
  <c r="T821" i="4"/>
  <c r="U821" i="4" s="1"/>
  <c r="M821" i="4"/>
  <c r="N821" i="4" s="1"/>
  <c r="AA821" i="4"/>
  <c r="AB821" i="4" s="1"/>
  <c r="AC821" i="4" l="1"/>
  <c r="AD821" i="4" s="1"/>
  <c r="AE821" i="4" s="1"/>
  <c r="O821" i="4"/>
  <c r="P821" i="4" s="1"/>
  <c r="V821" i="4"/>
  <c r="W821" i="4" s="1"/>
  <c r="X821" i="4" s="1"/>
  <c r="Q821" i="4" l="1"/>
  <c r="AM821" i="4" s="1"/>
  <c r="G822" i="4"/>
  <c r="I822" i="4"/>
  <c r="C822" i="4"/>
  <c r="E822" i="4"/>
  <c r="B822" i="4"/>
  <c r="H822" i="4"/>
  <c r="J822" i="4"/>
  <c r="F822" i="4"/>
  <c r="D822" i="4"/>
  <c r="T822" i="4" l="1"/>
  <c r="U822" i="4" s="1"/>
  <c r="AA822" i="4"/>
  <c r="AB822" i="4" s="1"/>
  <c r="M822" i="4"/>
  <c r="N822" i="4" s="1"/>
  <c r="AH822" i="4"/>
  <c r="AI822" i="4" s="1"/>
  <c r="K822" i="4"/>
  <c r="L822" i="4" s="1"/>
  <c r="AF822" i="4"/>
  <c r="AG822" i="4" s="1"/>
  <c r="R822" i="4"/>
  <c r="S822" i="4" s="1"/>
  <c r="V822" i="4" s="1"/>
  <c r="W822" i="4" s="1"/>
  <c r="X822" i="4" s="1"/>
  <c r="Y822" i="4"/>
  <c r="Z822" i="4" s="1"/>
  <c r="AC822" i="4" s="1"/>
  <c r="AD822" i="4" s="1"/>
  <c r="AE822" i="4" s="1"/>
  <c r="AJ822" i="4" l="1"/>
  <c r="AK822" i="4" s="1"/>
  <c r="AL822" i="4" s="1"/>
  <c r="O822" i="4"/>
  <c r="P822" i="4" s="1"/>
  <c r="Q822" i="4" l="1"/>
  <c r="AM822" i="4" s="1"/>
  <c r="AP93" i="4" s="1"/>
  <c r="H823" i="4"/>
  <c r="F823" i="4"/>
  <c r="E823" i="4"/>
  <c r="B823" i="4"/>
  <c r="J823" i="4"/>
  <c r="C823" i="4"/>
  <c r="G823" i="4"/>
  <c r="I823" i="4"/>
  <c r="D823" i="4"/>
  <c r="K823" i="4" l="1"/>
  <c r="L823" i="4" s="1"/>
  <c r="O823" i="4" s="1"/>
  <c r="P823" i="4" s="1"/>
  <c r="Q823" i="4" s="1"/>
  <c r="R823" i="4"/>
  <c r="S823" i="4" s="1"/>
  <c r="AF823" i="4"/>
  <c r="AG823" i="4" s="1"/>
  <c r="Y823" i="4"/>
  <c r="Z823" i="4" s="1"/>
  <c r="AC823" i="4" s="1"/>
  <c r="AD823" i="4" s="1"/>
  <c r="AE823" i="4" s="1"/>
  <c r="M823" i="4"/>
  <c r="N823" i="4" s="1"/>
  <c r="AA823" i="4"/>
  <c r="AB823" i="4" s="1"/>
  <c r="AH823" i="4"/>
  <c r="AI823" i="4" s="1"/>
  <c r="T823" i="4"/>
  <c r="U823" i="4" s="1"/>
  <c r="AJ823" i="4" l="1"/>
  <c r="AK823" i="4" s="1"/>
  <c r="AL823" i="4" s="1"/>
  <c r="V823" i="4"/>
  <c r="W823" i="4" s="1"/>
  <c r="C824" i="4"/>
  <c r="I824" i="4"/>
  <c r="X823" i="4" l="1"/>
  <c r="AM823" i="4" s="1"/>
  <c r="E824" i="4"/>
  <c r="B824" i="4"/>
  <c r="J824" i="4"/>
  <c r="H824" i="4"/>
  <c r="F824" i="4"/>
  <c r="G824" i="4"/>
  <c r="D824" i="4"/>
  <c r="AF824" i="4" l="1"/>
  <c r="AG824" i="4" s="1"/>
  <c r="K824" i="4"/>
  <c r="L824" i="4" s="1"/>
  <c r="O824" i="4" s="1"/>
  <c r="P824" i="4" s="1"/>
  <c r="Y824" i="4"/>
  <c r="Z824" i="4" s="1"/>
  <c r="AC824" i="4" s="1"/>
  <c r="AD824" i="4" s="1"/>
  <c r="AE824" i="4" s="1"/>
  <c r="R824" i="4"/>
  <c r="S824" i="4" s="1"/>
  <c r="V824" i="4" s="1"/>
  <c r="W824" i="4" s="1"/>
  <c r="X824" i="4" s="1"/>
  <c r="T824" i="4"/>
  <c r="U824" i="4" s="1"/>
  <c r="AA824" i="4"/>
  <c r="AB824" i="4" s="1"/>
  <c r="M824" i="4"/>
  <c r="N824" i="4" s="1"/>
  <c r="AH824" i="4"/>
  <c r="AI824" i="4" s="1"/>
  <c r="AJ824" i="4" l="1"/>
  <c r="AK824" i="4" s="1"/>
  <c r="AL824" i="4" s="1"/>
  <c r="Q824" i="4"/>
  <c r="AM824" i="4" s="1"/>
  <c r="I825" i="4"/>
  <c r="C825" i="4"/>
  <c r="H825" i="4"/>
  <c r="E825" i="4"/>
  <c r="D825" i="4"/>
  <c r="F825" i="4"/>
  <c r="B825" i="4" l="1"/>
  <c r="J825" i="4"/>
  <c r="G825" i="4"/>
  <c r="T825" i="4" s="1"/>
  <c r="U825" i="4" s="1"/>
  <c r="M825" i="4" l="1"/>
  <c r="N825" i="4" s="1"/>
  <c r="AA825" i="4"/>
  <c r="AB825" i="4" s="1"/>
  <c r="AH825" i="4"/>
  <c r="AI825" i="4" s="1"/>
  <c r="R825" i="4"/>
  <c r="S825" i="4" s="1"/>
  <c r="V825" i="4" s="1"/>
  <c r="W825" i="4" s="1"/>
  <c r="X825" i="4" s="1"/>
  <c r="Y825" i="4"/>
  <c r="Z825" i="4" s="1"/>
  <c r="AC825" i="4" s="1"/>
  <c r="AD825" i="4" s="1"/>
  <c r="AE825" i="4" s="1"/>
  <c r="K825" i="4"/>
  <c r="L825" i="4" s="1"/>
  <c r="O825" i="4" s="1"/>
  <c r="P825" i="4" s="1"/>
  <c r="AF825" i="4"/>
  <c r="AG825" i="4" s="1"/>
  <c r="Q825" i="4" l="1"/>
  <c r="H826" i="4"/>
  <c r="F826" i="4"/>
  <c r="D826" i="4"/>
  <c r="I826" i="4"/>
  <c r="C826" i="4"/>
  <c r="E826" i="4"/>
  <c r="J826" i="4"/>
  <c r="AJ825" i="4"/>
  <c r="AK825" i="4" s="1"/>
  <c r="AL825" i="4" s="1"/>
  <c r="G826" i="4"/>
  <c r="B826" i="4"/>
  <c r="T826" i="4" l="1"/>
  <c r="U826" i="4" s="1"/>
  <c r="AA826" i="4"/>
  <c r="AB826" i="4" s="1"/>
  <c r="AH826" i="4"/>
  <c r="AI826" i="4" s="1"/>
  <c r="M826" i="4"/>
  <c r="N826" i="4" s="1"/>
  <c r="K826" i="4"/>
  <c r="L826" i="4" s="1"/>
  <c r="O826" i="4" s="1"/>
  <c r="P826" i="4" s="1"/>
  <c r="Q826" i="4" s="1"/>
  <c r="R826" i="4"/>
  <c r="S826" i="4" s="1"/>
  <c r="V826" i="4" s="1"/>
  <c r="W826" i="4" s="1"/>
  <c r="X826" i="4" s="1"/>
  <c r="Y826" i="4"/>
  <c r="Z826" i="4" s="1"/>
  <c r="AF826" i="4"/>
  <c r="AG826" i="4" s="1"/>
  <c r="AM825" i="4"/>
  <c r="C827" i="4" l="1"/>
  <c r="I827" i="4"/>
  <c r="G827" i="4"/>
  <c r="F827" i="4"/>
  <c r="J827" i="4"/>
  <c r="AM826" i="4"/>
  <c r="AJ826" i="4"/>
  <c r="AK826" i="4" s="1"/>
  <c r="AL826" i="4" s="1"/>
  <c r="AC826" i="4"/>
  <c r="AD826" i="4" s="1"/>
  <c r="AE826" i="4" s="1"/>
  <c r="E827" i="4"/>
  <c r="H827" i="4"/>
  <c r="D827" i="4" l="1"/>
  <c r="M827" i="4"/>
  <c r="N827" i="4" s="1"/>
  <c r="AH827" i="4"/>
  <c r="AI827" i="4" s="1"/>
  <c r="AA827" i="4"/>
  <c r="AB827" i="4" s="1"/>
  <c r="T827" i="4"/>
  <c r="U827" i="4" s="1"/>
  <c r="B827" i="4"/>
  <c r="Y827" i="4" l="1"/>
  <c r="Z827" i="4" s="1"/>
  <c r="AC827" i="4" s="1"/>
  <c r="AD827" i="4" s="1"/>
  <c r="AE827" i="4" s="1"/>
  <c r="R827" i="4"/>
  <c r="S827" i="4" s="1"/>
  <c r="V827" i="4" s="1"/>
  <c r="W827" i="4" s="1"/>
  <c r="X827" i="4" s="1"/>
  <c r="AF827" i="4"/>
  <c r="AG827" i="4" s="1"/>
  <c r="AJ827" i="4" s="1"/>
  <c r="AK827" i="4" s="1"/>
  <c r="AL827" i="4" s="1"/>
  <c r="K827" i="4"/>
  <c r="L827" i="4" s="1"/>
  <c r="O827" i="4" s="1"/>
  <c r="P827" i="4" s="1"/>
  <c r="Q827" i="4" l="1"/>
  <c r="AM827" i="4" s="1"/>
  <c r="F828" i="4"/>
  <c r="C828" i="4"/>
  <c r="H828" i="4"/>
  <c r="G828" i="4"/>
  <c r="E828" i="4"/>
  <c r="J828" i="4"/>
  <c r="I828" i="4"/>
  <c r="D828" i="4"/>
  <c r="B828" i="4"/>
  <c r="M828" i="4" l="1"/>
  <c r="N828" i="4" s="1"/>
  <c r="AA828" i="4"/>
  <c r="AB828" i="4" s="1"/>
  <c r="AH828" i="4"/>
  <c r="AI828" i="4" s="1"/>
  <c r="T828" i="4"/>
  <c r="U828" i="4" s="1"/>
  <c r="AF828" i="4"/>
  <c r="AG828" i="4" s="1"/>
  <c r="AJ828" i="4" s="1"/>
  <c r="AK828" i="4" s="1"/>
  <c r="AL828" i="4" s="1"/>
  <c r="R828" i="4"/>
  <c r="S828" i="4" s="1"/>
  <c r="V828" i="4" s="1"/>
  <c r="W828" i="4" s="1"/>
  <c r="X828" i="4" s="1"/>
  <c r="Y828" i="4"/>
  <c r="Z828" i="4" s="1"/>
  <c r="AC828" i="4" s="1"/>
  <c r="AD828" i="4" s="1"/>
  <c r="AE828" i="4" s="1"/>
  <c r="K828" i="4"/>
  <c r="L828" i="4" s="1"/>
  <c r="O828" i="4" s="1"/>
  <c r="P828" i="4" s="1"/>
  <c r="Q828" i="4" s="1"/>
  <c r="AM828" i="4" s="1"/>
  <c r="G829" i="4" l="1"/>
  <c r="F829" i="4"/>
  <c r="I829" i="4"/>
  <c r="B829" i="4"/>
  <c r="E829" i="4"/>
  <c r="H829" i="4"/>
  <c r="D829" i="4"/>
  <c r="C829" i="4"/>
  <c r="J829" i="4"/>
  <c r="R829" i="4" l="1"/>
  <c r="S829" i="4" s="1"/>
  <c r="Y829" i="4"/>
  <c r="Z829" i="4" s="1"/>
  <c r="AF829" i="4"/>
  <c r="AG829" i="4" s="1"/>
  <c r="AJ829" i="4" s="1"/>
  <c r="AK829" i="4" s="1"/>
  <c r="AL829" i="4" s="1"/>
  <c r="K829" i="4"/>
  <c r="L829" i="4" s="1"/>
  <c r="O829" i="4" s="1"/>
  <c r="P829" i="4" s="1"/>
  <c r="Q829" i="4" s="1"/>
  <c r="AH829" i="4"/>
  <c r="AI829" i="4" s="1"/>
  <c r="M829" i="4"/>
  <c r="N829" i="4" s="1"/>
  <c r="AA829" i="4"/>
  <c r="AB829" i="4" s="1"/>
  <c r="T829" i="4"/>
  <c r="U829" i="4" s="1"/>
  <c r="AC829" i="4" l="1"/>
  <c r="AD829" i="4" s="1"/>
  <c r="AE829" i="4" s="1"/>
  <c r="V829" i="4"/>
  <c r="W829" i="4" s="1"/>
  <c r="C830" i="4"/>
  <c r="X829" i="4" l="1"/>
  <c r="AM829" i="4" s="1"/>
  <c r="J830" i="4"/>
  <c r="E830" i="4"/>
  <c r="H830" i="4"/>
  <c r="F830" i="4"/>
  <c r="D830" i="4"/>
  <c r="B830" i="4"/>
  <c r="G830" i="4"/>
  <c r="I830" i="4"/>
  <c r="Y830" i="4" l="1"/>
  <c r="Z830" i="4" s="1"/>
  <c r="K830" i="4"/>
  <c r="L830" i="4" s="1"/>
  <c r="O830" i="4" s="1"/>
  <c r="P830" i="4" s="1"/>
  <c r="R830" i="4"/>
  <c r="S830" i="4" s="1"/>
  <c r="V830" i="4" s="1"/>
  <c r="W830" i="4" s="1"/>
  <c r="X830" i="4" s="1"/>
  <c r="AF830" i="4"/>
  <c r="AG830" i="4" s="1"/>
  <c r="T830" i="4"/>
  <c r="U830" i="4" s="1"/>
  <c r="M830" i="4"/>
  <c r="N830" i="4" s="1"/>
  <c r="AA830" i="4"/>
  <c r="AB830" i="4" s="1"/>
  <c r="AH830" i="4"/>
  <c r="AI830" i="4" s="1"/>
  <c r="Q830" i="4" l="1"/>
  <c r="AC830" i="4"/>
  <c r="AD830" i="4" s="1"/>
  <c r="AJ830" i="4"/>
  <c r="AK830" i="4" s="1"/>
  <c r="AL830" i="4" s="1"/>
  <c r="E831" i="4" l="1"/>
  <c r="H831" i="4"/>
  <c r="J831" i="4"/>
  <c r="AE830" i="4"/>
  <c r="I831" i="4"/>
  <c r="G831" i="4"/>
  <c r="B831" i="4"/>
  <c r="C831" i="4"/>
  <c r="D831" i="4"/>
  <c r="F831" i="4"/>
  <c r="AM830" i="4"/>
  <c r="K831" i="4" l="1"/>
  <c r="L831" i="4" s="1"/>
  <c r="O831" i="4" s="1"/>
  <c r="P831" i="4" s="1"/>
  <c r="Q831" i="4" s="1"/>
  <c r="R831" i="4"/>
  <c r="S831" i="4" s="1"/>
  <c r="Y831" i="4"/>
  <c r="Z831" i="4" s="1"/>
  <c r="AC831" i="4" s="1"/>
  <c r="AD831" i="4" s="1"/>
  <c r="AE831" i="4" s="1"/>
  <c r="AF831" i="4"/>
  <c r="AG831" i="4" s="1"/>
  <c r="AA831" i="4"/>
  <c r="AB831" i="4" s="1"/>
  <c r="T831" i="4"/>
  <c r="U831" i="4" s="1"/>
  <c r="AH831" i="4"/>
  <c r="AI831" i="4" s="1"/>
  <c r="M831" i="4"/>
  <c r="N831" i="4" s="1"/>
  <c r="V831" i="4" l="1"/>
  <c r="W831" i="4" s="1"/>
  <c r="D832" i="4"/>
  <c r="F832" i="4"/>
  <c r="H832" i="4"/>
  <c r="C832" i="4"/>
  <c r="J832" i="4"/>
  <c r="AJ831" i="4"/>
  <c r="AK831" i="4" s="1"/>
  <c r="AL831" i="4" s="1"/>
  <c r="G832" i="4"/>
  <c r="E832" i="4" l="1"/>
  <c r="I832" i="4"/>
  <c r="X831" i="4"/>
  <c r="AM831" i="4" s="1"/>
  <c r="B832" i="4"/>
  <c r="R832" i="4" l="1"/>
  <c r="S832" i="4" s="1"/>
  <c r="Y832" i="4"/>
  <c r="Z832" i="4" s="1"/>
  <c r="K832" i="4"/>
  <c r="L832" i="4" s="1"/>
  <c r="AF832" i="4"/>
  <c r="AG832" i="4" s="1"/>
  <c r="AJ832" i="4" s="1"/>
  <c r="AK832" i="4" s="1"/>
  <c r="AL832" i="4" s="1"/>
  <c r="M832" i="4"/>
  <c r="N832" i="4" s="1"/>
  <c r="AA832" i="4"/>
  <c r="AB832" i="4" s="1"/>
  <c r="T832" i="4"/>
  <c r="U832" i="4" s="1"/>
  <c r="AH832" i="4"/>
  <c r="AI832" i="4" s="1"/>
  <c r="O832" i="4" l="1"/>
  <c r="P832" i="4" s="1"/>
  <c r="V832" i="4"/>
  <c r="W832" i="4" s="1"/>
  <c r="X832" i="4" s="1"/>
  <c r="AC832" i="4"/>
  <c r="AD832" i="4" s="1"/>
  <c r="AE832" i="4" s="1"/>
  <c r="Q832" i="4" l="1"/>
  <c r="AM832" i="4" s="1"/>
  <c r="AP94" i="4" s="1"/>
  <c r="F833" i="4"/>
  <c r="C833" i="4"/>
  <c r="G833" i="4"/>
  <c r="J833" i="4"/>
  <c r="H833" i="4"/>
  <c r="D833" i="4"/>
  <c r="I833" i="4"/>
  <c r="E833" i="4"/>
  <c r="B833" i="4"/>
  <c r="Y833" i="4" l="1"/>
  <c r="Z833" i="4" s="1"/>
  <c r="AC833" i="4" s="1"/>
  <c r="AD833" i="4" s="1"/>
  <c r="AE833" i="4" s="1"/>
  <c r="AF833" i="4"/>
  <c r="AG833" i="4" s="1"/>
  <c r="AJ833" i="4" s="1"/>
  <c r="AK833" i="4" s="1"/>
  <c r="AL833" i="4" s="1"/>
  <c r="K833" i="4"/>
  <c r="L833" i="4" s="1"/>
  <c r="R833" i="4"/>
  <c r="S833" i="4" s="1"/>
  <c r="V833" i="4" s="1"/>
  <c r="W833" i="4" s="1"/>
  <c r="X833" i="4" s="1"/>
  <c r="AH833" i="4"/>
  <c r="AI833" i="4" s="1"/>
  <c r="AA833" i="4"/>
  <c r="AB833" i="4" s="1"/>
  <c r="M833" i="4"/>
  <c r="N833" i="4" s="1"/>
  <c r="T833" i="4"/>
  <c r="U833" i="4" s="1"/>
  <c r="O833" i="4" l="1"/>
  <c r="P833" i="4" s="1"/>
  <c r="Q833" i="4" l="1"/>
  <c r="AM833" i="4" s="1"/>
  <c r="I834" i="4"/>
  <c r="B834" i="4"/>
  <c r="C834" i="4"/>
  <c r="D834" i="4"/>
  <c r="E834" i="4"/>
  <c r="G834" i="4"/>
  <c r="F834" i="4"/>
  <c r="H834" i="4"/>
  <c r="J834" i="4"/>
  <c r="AH834" i="4" l="1"/>
  <c r="AI834" i="4" s="1"/>
  <c r="T834" i="4"/>
  <c r="U834" i="4" s="1"/>
  <c r="AA834" i="4"/>
  <c r="AB834" i="4" s="1"/>
  <c r="M834" i="4"/>
  <c r="N834" i="4" s="1"/>
  <c r="Y834" i="4"/>
  <c r="Z834" i="4" s="1"/>
  <c r="AF834" i="4"/>
  <c r="AG834" i="4" s="1"/>
  <c r="AJ834" i="4" s="1"/>
  <c r="AK834" i="4" s="1"/>
  <c r="AL834" i="4" s="1"/>
  <c r="K834" i="4"/>
  <c r="L834" i="4" s="1"/>
  <c r="O834" i="4" s="1"/>
  <c r="P834" i="4" s="1"/>
  <c r="Q834" i="4" s="1"/>
  <c r="R834" i="4"/>
  <c r="S834" i="4" s="1"/>
  <c r="V834" i="4" s="1"/>
  <c r="W834" i="4" s="1"/>
  <c r="X834" i="4" s="1"/>
  <c r="AC834" i="4" l="1"/>
  <c r="AD834" i="4" s="1"/>
  <c r="H835" i="4"/>
  <c r="AE834" i="4" l="1"/>
  <c r="AM834" i="4" s="1"/>
  <c r="B835" i="4"/>
  <c r="C835" i="4"/>
  <c r="I835" i="4"/>
  <c r="G835" i="4"/>
  <c r="D835" i="4"/>
  <c r="E835" i="4"/>
  <c r="J835" i="4"/>
  <c r="F835" i="4"/>
  <c r="AA835" i="4" l="1"/>
  <c r="AB835" i="4" s="1"/>
  <c r="M835" i="4"/>
  <c r="N835" i="4" s="1"/>
  <c r="AH835" i="4"/>
  <c r="AI835" i="4" s="1"/>
  <c r="T835" i="4"/>
  <c r="U835" i="4" s="1"/>
  <c r="K835" i="4"/>
  <c r="L835" i="4" s="1"/>
  <c r="O835" i="4" s="1"/>
  <c r="P835" i="4" s="1"/>
  <c r="AF835" i="4"/>
  <c r="AG835" i="4" s="1"/>
  <c r="AJ835" i="4" s="1"/>
  <c r="AK835" i="4" s="1"/>
  <c r="AL835" i="4" s="1"/>
  <c r="R835" i="4"/>
  <c r="S835" i="4" s="1"/>
  <c r="V835" i="4" s="1"/>
  <c r="W835" i="4" s="1"/>
  <c r="X835" i="4" s="1"/>
  <c r="Y835" i="4"/>
  <c r="Z835" i="4" s="1"/>
  <c r="AC835" i="4" s="1"/>
  <c r="AD835" i="4" s="1"/>
  <c r="AE835" i="4" s="1"/>
  <c r="D836" i="4" l="1"/>
  <c r="G836" i="4"/>
  <c r="C836" i="4"/>
  <c r="B836" i="4"/>
  <c r="Q835" i="4"/>
  <c r="AM835" i="4" s="1"/>
  <c r="H836" i="4"/>
  <c r="F836" i="4"/>
  <c r="J836" i="4"/>
  <c r="I836" i="4"/>
  <c r="E836" i="4"/>
  <c r="K836" i="4" l="1"/>
  <c r="L836" i="4" s="1"/>
  <c r="O836" i="4" s="1"/>
  <c r="P836" i="4" s="1"/>
  <c r="Q836" i="4" s="1"/>
  <c r="AF836" i="4"/>
  <c r="AG836" i="4" s="1"/>
  <c r="AJ836" i="4" s="1"/>
  <c r="AK836" i="4" s="1"/>
  <c r="AL836" i="4" s="1"/>
  <c r="R836" i="4"/>
  <c r="S836" i="4" s="1"/>
  <c r="Y836" i="4"/>
  <c r="Z836" i="4" s="1"/>
  <c r="M836" i="4"/>
  <c r="N836" i="4" s="1"/>
  <c r="T836" i="4"/>
  <c r="U836" i="4" s="1"/>
  <c r="AH836" i="4"/>
  <c r="AI836" i="4" s="1"/>
  <c r="AA836" i="4"/>
  <c r="AB836" i="4" s="1"/>
  <c r="AC836" i="4" l="1"/>
  <c r="AD836" i="4" s="1"/>
  <c r="AE836" i="4" s="1"/>
  <c r="V836" i="4"/>
  <c r="W836" i="4" s="1"/>
  <c r="H837" i="4" l="1"/>
  <c r="F837" i="4"/>
  <c r="J837" i="4"/>
  <c r="X836" i="4"/>
  <c r="AM836" i="4" s="1"/>
  <c r="I837" i="4"/>
  <c r="B837" i="4"/>
  <c r="C837" i="4"/>
  <c r="G837" i="4"/>
  <c r="D837" i="4"/>
  <c r="E837" i="4"/>
  <c r="K837" i="4" l="1"/>
  <c r="L837" i="4" s="1"/>
  <c r="AF837" i="4"/>
  <c r="AG837" i="4" s="1"/>
  <c r="R837" i="4"/>
  <c r="S837" i="4" s="1"/>
  <c r="Y837" i="4"/>
  <c r="Z837" i="4" s="1"/>
  <c r="AC837" i="4" s="1"/>
  <c r="AD837" i="4" s="1"/>
  <c r="AE837" i="4" s="1"/>
  <c r="T837" i="4"/>
  <c r="U837" i="4" s="1"/>
  <c r="AA837" i="4"/>
  <c r="AB837" i="4" s="1"/>
  <c r="M837" i="4"/>
  <c r="N837" i="4" s="1"/>
  <c r="AH837" i="4"/>
  <c r="AI837" i="4" s="1"/>
  <c r="V837" i="4" l="1"/>
  <c r="W837" i="4" s="1"/>
  <c r="X837" i="4" s="1"/>
  <c r="AJ837" i="4"/>
  <c r="AK837" i="4" s="1"/>
  <c r="AL837" i="4" s="1"/>
  <c r="O837" i="4"/>
  <c r="P837" i="4" s="1"/>
  <c r="Q837" i="4" l="1"/>
  <c r="AM837" i="4" s="1"/>
  <c r="C838" i="4"/>
  <c r="E838" i="4"/>
  <c r="H838" i="4"/>
  <c r="B838" i="4"/>
  <c r="F838" i="4"/>
  <c r="G838" i="4"/>
  <c r="I838" i="4"/>
  <c r="D838" i="4"/>
  <c r="J838" i="4"/>
  <c r="Y838" i="4" l="1"/>
  <c r="Z838" i="4" s="1"/>
  <c r="AC838" i="4" s="1"/>
  <c r="AD838" i="4" s="1"/>
  <c r="AE838" i="4" s="1"/>
  <c r="R838" i="4"/>
  <c r="S838" i="4" s="1"/>
  <c r="V838" i="4" s="1"/>
  <c r="W838" i="4" s="1"/>
  <c r="X838" i="4" s="1"/>
  <c r="K838" i="4"/>
  <c r="L838" i="4" s="1"/>
  <c r="AF838" i="4"/>
  <c r="AG838" i="4" s="1"/>
  <c r="AA838" i="4"/>
  <c r="AB838" i="4" s="1"/>
  <c r="T838" i="4"/>
  <c r="U838" i="4" s="1"/>
  <c r="M838" i="4"/>
  <c r="N838" i="4" s="1"/>
  <c r="AH838" i="4"/>
  <c r="AI838" i="4" s="1"/>
  <c r="AJ838" i="4" l="1"/>
  <c r="AK838" i="4" s="1"/>
  <c r="AL838" i="4" s="1"/>
  <c r="O838" i="4"/>
  <c r="P838" i="4" s="1"/>
  <c r="Q838" i="4" l="1"/>
  <c r="AM838" i="4" s="1"/>
  <c r="G839" i="4"/>
  <c r="B839" i="4"/>
  <c r="D839" i="4"/>
  <c r="I839" i="4"/>
  <c r="H839" i="4"/>
  <c r="F839" i="4"/>
  <c r="J839" i="4"/>
  <c r="E839" i="4"/>
  <c r="C839" i="4"/>
  <c r="K839" i="4" l="1"/>
  <c r="L839" i="4" s="1"/>
  <c r="Y839" i="4"/>
  <c r="Z839" i="4" s="1"/>
  <c r="R839" i="4"/>
  <c r="S839" i="4" s="1"/>
  <c r="V839" i="4" s="1"/>
  <c r="W839" i="4" s="1"/>
  <c r="X839" i="4" s="1"/>
  <c r="AF839" i="4"/>
  <c r="AG839" i="4" s="1"/>
  <c r="AA839" i="4"/>
  <c r="AB839" i="4" s="1"/>
  <c r="AH839" i="4"/>
  <c r="AI839" i="4" s="1"/>
  <c r="M839" i="4"/>
  <c r="N839" i="4" s="1"/>
  <c r="T839" i="4"/>
  <c r="U839" i="4" s="1"/>
  <c r="O839" i="4" l="1"/>
  <c r="P839" i="4" s="1"/>
  <c r="AC839" i="4"/>
  <c r="AD839" i="4" s="1"/>
  <c r="AE839" i="4" s="1"/>
  <c r="AJ839" i="4"/>
  <c r="AK839" i="4" s="1"/>
  <c r="AL839" i="4" s="1"/>
  <c r="Q839" i="4" l="1"/>
  <c r="AM839" i="4" s="1"/>
  <c r="F840" i="4"/>
  <c r="J840" i="4"/>
  <c r="C840" i="4"/>
  <c r="E840" i="4"/>
  <c r="B840" i="4"/>
  <c r="H840" i="4"/>
  <c r="G840" i="4"/>
  <c r="I840" i="4"/>
  <c r="D840" i="4"/>
  <c r="M840" i="4" l="1"/>
  <c r="N840" i="4" s="1"/>
  <c r="AH840" i="4"/>
  <c r="AI840" i="4" s="1"/>
  <c r="AA840" i="4"/>
  <c r="AB840" i="4" s="1"/>
  <c r="T840" i="4"/>
  <c r="U840" i="4" s="1"/>
  <c r="Y840" i="4"/>
  <c r="Z840" i="4" s="1"/>
  <c r="AC840" i="4" s="1"/>
  <c r="AD840" i="4" s="1"/>
  <c r="AE840" i="4" s="1"/>
  <c r="K840" i="4"/>
  <c r="L840" i="4" s="1"/>
  <c r="R840" i="4"/>
  <c r="S840" i="4" s="1"/>
  <c r="AF840" i="4"/>
  <c r="AG840" i="4" s="1"/>
  <c r="AJ840" i="4" l="1"/>
  <c r="AK840" i="4" s="1"/>
  <c r="AL840" i="4" s="1"/>
  <c r="V840" i="4"/>
  <c r="W840" i="4" s="1"/>
  <c r="X840" i="4" s="1"/>
  <c r="O840" i="4"/>
  <c r="P840" i="4" s="1"/>
  <c r="Q840" i="4" l="1"/>
  <c r="AM840" i="4" s="1"/>
  <c r="G841" i="4"/>
  <c r="I841" i="4"/>
  <c r="E841" i="4"/>
  <c r="D841" i="4"/>
  <c r="H841" i="4"/>
  <c r="C841" i="4"/>
  <c r="J841" i="4"/>
  <c r="B841" i="4"/>
  <c r="F841" i="4"/>
  <c r="M841" i="4" l="1"/>
  <c r="N841" i="4" s="1"/>
  <c r="AA841" i="4"/>
  <c r="AB841" i="4" s="1"/>
  <c r="AH841" i="4"/>
  <c r="AI841" i="4" s="1"/>
  <c r="T841" i="4"/>
  <c r="U841" i="4" s="1"/>
  <c r="AF841" i="4"/>
  <c r="AG841" i="4" s="1"/>
  <c r="Y841" i="4"/>
  <c r="Z841" i="4" s="1"/>
  <c r="K841" i="4"/>
  <c r="L841" i="4" s="1"/>
  <c r="O841" i="4" s="1"/>
  <c r="P841" i="4" s="1"/>
  <c r="Q841" i="4" s="1"/>
  <c r="R841" i="4"/>
  <c r="S841" i="4" s="1"/>
  <c r="V841" i="4" s="1"/>
  <c r="W841" i="4" s="1"/>
  <c r="X841" i="4" s="1"/>
  <c r="AC841" i="4" l="1"/>
  <c r="AD841" i="4" s="1"/>
  <c r="AE841" i="4" s="1"/>
  <c r="AM841" i="4" s="1"/>
  <c r="AJ841" i="4"/>
  <c r="AK841" i="4" s="1"/>
  <c r="AL841" i="4" s="1"/>
  <c r="G842" i="4" l="1"/>
  <c r="H842" i="4"/>
  <c r="J842" i="4"/>
  <c r="B842" i="4"/>
  <c r="D842" i="4"/>
  <c r="E842" i="4"/>
  <c r="F842" i="4"/>
  <c r="I842" i="4"/>
  <c r="C842" i="4"/>
  <c r="M842" i="4" l="1"/>
  <c r="N842" i="4" s="1"/>
  <c r="AH842" i="4"/>
  <c r="AI842" i="4" s="1"/>
  <c r="T842" i="4"/>
  <c r="U842" i="4" s="1"/>
  <c r="AA842" i="4"/>
  <c r="AB842" i="4" s="1"/>
  <c r="Y842" i="4"/>
  <c r="Z842" i="4" s="1"/>
  <c r="AC842" i="4" s="1"/>
  <c r="AD842" i="4" s="1"/>
  <c r="AE842" i="4" s="1"/>
  <c r="K842" i="4"/>
  <c r="L842" i="4" s="1"/>
  <c r="AF842" i="4"/>
  <c r="AG842" i="4" s="1"/>
  <c r="R842" i="4"/>
  <c r="S842" i="4" s="1"/>
  <c r="V842" i="4" l="1"/>
  <c r="W842" i="4" s="1"/>
  <c r="X842" i="4" s="1"/>
  <c r="AJ842" i="4"/>
  <c r="AK842" i="4" s="1"/>
  <c r="AL842" i="4" s="1"/>
  <c r="O842" i="4"/>
  <c r="P842" i="4" s="1"/>
  <c r="Q842" i="4" l="1"/>
  <c r="AM842" i="4" s="1"/>
  <c r="AP95" i="4" s="1"/>
  <c r="F843" i="4"/>
  <c r="G843" i="4"/>
  <c r="D843" i="4"/>
  <c r="J843" i="4"/>
  <c r="B843" i="4"/>
  <c r="I843" i="4"/>
  <c r="E843" i="4"/>
  <c r="C843" i="4"/>
  <c r="H843" i="4"/>
  <c r="K843" i="4" l="1"/>
  <c r="L843" i="4" s="1"/>
  <c r="AF843" i="4"/>
  <c r="AG843" i="4" s="1"/>
  <c r="R843" i="4"/>
  <c r="S843" i="4" s="1"/>
  <c r="V843" i="4" s="1"/>
  <c r="W843" i="4" s="1"/>
  <c r="X843" i="4" s="1"/>
  <c r="Y843" i="4"/>
  <c r="Z843" i="4" s="1"/>
  <c r="AA843" i="4"/>
  <c r="AB843" i="4" s="1"/>
  <c r="T843" i="4"/>
  <c r="U843" i="4" s="1"/>
  <c r="M843" i="4"/>
  <c r="N843" i="4" s="1"/>
  <c r="AH843" i="4"/>
  <c r="AI843" i="4" s="1"/>
  <c r="AC843" i="4" l="1"/>
  <c r="AD843" i="4" s="1"/>
  <c r="AE843" i="4" s="1"/>
  <c r="AJ843" i="4"/>
  <c r="AK843" i="4" s="1"/>
  <c r="AL843" i="4" s="1"/>
  <c r="O843" i="4"/>
  <c r="P843" i="4" s="1"/>
  <c r="Q843" i="4" l="1"/>
  <c r="AM843" i="4" s="1"/>
  <c r="I844" i="4"/>
  <c r="C844" i="4"/>
  <c r="G844" i="4"/>
  <c r="B844" i="4"/>
  <c r="F844" i="4"/>
  <c r="E844" i="4"/>
  <c r="D844" i="4"/>
  <c r="H844" i="4"/>
  <c r="J844" i="4"/>
  <c r="R844" i="4" l="1"/>
  <c r="S844" i="4" s="1"/>
  <c r="K844" i="4"/>
  <c r="L844" i="4" s="1"/>
  <c r="O844" i="4" s="1"/>
  <c r="P844" i="4" s="1"/>
  <c r="Q844" i="4" s="1"/>
  <c r="AF844" i="4"/>
  <c r="AG844" i="4" s="1"/>
  <c r="AJ844" i="4" s="1"/>
  <c r="AK844" i="4" s="1"/>
  <c r="AL844" i="4" s="1"/>
  <c r="Y844" i="4"/>
  <c r="Z844" i="4" s="1"/>
  <c r="AC844" i="4" s="1"/>
  <c r="AD844" i="4" s="1"/>
  <c r="AE844" i="4" s="1"/>
  <c r="M844" i="4"/>
  <c r="N844" i="4" s="1"/>
  <c r="AA844" i="4"/>
  <c r="AB844" i="4" s="1"/>
  <c r="AH844" i="4"/>
  <c r="AI844" i="4" s="1"/>
  <c r="T844" i="4"/>
  <c r="U844" i="4" s="1"/>
  <c r="V844" i="4" l="1"/>
  <c r="W844" i="4" s="1"/>
  <c r="H845" i="4"/>
  <c r="D845" i="4"/>
  <c r="X844" i="4" l="1"/>
  <c r="AM844" i="4" s="1"/>
  <c r="C845" i="4"/>
  <c r="E845" i="4"/>
  <c r="B845" i="4"/>
  <c r="J845" i="4"/>
  <c r="G845" i="4"/>
  <c r="F845" i="4"/>
  <c r="I845" i="4"/>
  <c r="R845" i="4" l="1"/>
  <c r="S845" i="4" s="1"/>
  <c r="AF845" i="4"/>
  <c r="AG845" i="4" s="1"/>
  <c r="Y845" i="4"/>
  <c r="Z845" i="4" s="1"/>
  <c r="AC845" i="4" s="1"/>
  <c r="AD845" i="4" s="1"/>
  <c r="AE845" i="4" s="1"/>
  <c r="K845" i="4"/>
  <c r="L845" i="4" s="1"/>
  <c r="AA845" i="4"/>
  <c r="AB845" i="4" s="1"/>
  <c r="T845" i="4"/>
  <c r="U845" i="4" s="1"/>
  <c r="AH845" i="4"/>
  <c r="AI845" i="4" s="1"/>
  <c r="M845" i="4"/>
  <c r="N845" i="4" s="1"/>
  <c r="O845" i="4" l="1"/>
  <c r="P845" i="4" s="1"/>
  <c r="AJ845" i="4"/>
  <c r="AK845" i="4" s="1"/>
  <c r="AL845" i="4" s="1"/>
  <c r="V845" i="4"/>
  <c r="W845" i="4" s="1"/>
  <c r="X845" i="4" s="1"/>
  <c r="Q845" i="4" l="1"/>
  <c r="AM845" i="4" s="1"/>
  <c r="D846" i="4"/>
  <c r="H846" i="4"/>
  <c r="F846" i="4"/>
  <c r="G846" i="4"/>
  <c r="E846" i="4"/>
  <c r="B846" i="4"/>
  <c r="J846" i="4"/>
  <c r="I846" i="4"/>
  <c r="C846" i="4"/>
  <c r="Y846" i="4" l="1"/>
  <c r="Z846" i="4" s="1"/>
  <c r="R846" i="4"/>
  <c r="S846" i="4" s="1"/>
  <c r="AF846" i="4"/>
  <c r="AG846" i="4" s="1"/>
  <c r="K846" i="4"/>
  <c r="L846" i="4" s="1"/>
  <c r="O846" i="4" s="1"/>
  <c r="P846" i="4" s="1"/>
  <c r="Q846" i="4" s="1"/>
  <c r="AH846" i="4"/>
  <c r="AI846" i="4" s="1"/>
  <c r="T846" i="4"/>
  <c r="U846" i="4" s="1"/>
  <c r="AA846" i="4"/>
  <c r="AB846" i="4" s="1"/>
  <c r="M846" i="4"/>
  <c r="N846" i="4" s="1"/>
  <c r="AJ846" i="4" l="1"/>
  <c r="AK846" i="4" s="1"/>
  <c r="AL846" i="4" s="1"/>
  <c r="V846" i="4"/>
  <c r="W846" i="4" s="1"/>
  <c r="X846" i="4" s="1"/>
  <c r="AC846" i="4"/>
  <c r="AD846" i="4" s="1"/>
  <c r="AE846" i="4" s="1"/>
  <c r="AM846" i="4" s="1"/>
  <c r="J847" i="4" l="1"/>
  <c r="G847" i="4"/>
  <c r="I847" i="4"/>
  <c r="E847" i="4"/>
  <c r="F847" i="4"/>
  <c r="H847" i="4"/>
  <c r="C847" i="4"/>
  <c r="B847" i="4"/>
  <c r="D847" i="4"/>
  <c r="K847" i="4" l="1"/>
  <c r="L847" i="4" s="1"/>
  <c r="AF847" i="4"/>
  <c r="AG847" i="4" s="1"/>
  <c r="R847" i="4"/>
  <c r="S847" i="4" s="1"/>
  <c r="V847" i="4" s="1"/>
  <c r="W847" i="4" s="1"/>
  <c r="X847" i="4" s="1"/>
  <c r="Y847" i="4"/>
  <c r="Z847" i="4" s="1"/>
  <c r="AC847" i="4" s="1"/>
  <c r="AD847" i="4" s="1"/>
  <c r="AE847" i="4" s="1"/>
  <c r="AA847" i="4"/>
  <c r="AB847" i="4" s="1"/>
  <c r="M847" i="4"/>
  <c r="N847" i="4" s="1"/>
  <c r="T847" i="4"/>
  <c r="U847" i="4" s="1"/>
  <c r="AH847" i="4"/>
  <c r="AI847" i="4" s="1"/>
  <c r="AJ847" i="4" l="1"/>
  <c r="AK847" i="4" s="1"/>
  <c r="AL847" i="4" s="1"/>
  <c r="O847" i="4"/>
  <c r="P847" i="4" s="1"/>
  <c r="Q847" i="4" l="1"/>
  <c r="AM847" i="4" s="1"/>
  <c r="C848" i="4"/>
  <c r="E848" i="4"/>
  <c r="J848" i="4"/>
  <c r="H848" i="4"/>
  <c r="B848" i="4"/>
  <c r="I848" i="4"/>
  <c r="G848" i="4"/>
  <c r="F848" i="4"/>
  <c r="D848" i="4"/>
  <c r="AF848" i="4" l="1"/>
  <c r="AG848" i="4" s="1"/>
  <c r="R848" i="4"/>
  <c r="S848" i="4" s="1"/>
  <c r="K848" i="4"/>
  <c r="L848" i="4" s="1"/>
  <c r="O848" i="4" s="1"/>
  <c r="P848" i="4" s="1"/>
  <c r="Q848" i="4" s="1"/>
  <c r="Y848" i="4"/>
  <c r="Z848" i="4" s="1"/>
  <c r="AC848" i="4" s="1"/>
  <c r="AD848" i="4" s="1"/>
  <c r="AE848" i="4" s="1"/>
  <c r="M848" i="4"/>
  <c r="N848" i="4" s="1"/>
  <c r="AA848" i="4"/>
  <c r="AB848" i="4" s="1"/>
  <c r="T848" i="4"/>
  <c r="U848" i="4" s="1"/>
  <c r="AH848" i="4"/>
  <c r="AI848" i="4" s="1"/>
  <c r="V848" i="4" l="1"/>
  <c r="W848" i="4" s="1"/>
  <c r="AJ848" i="4"/>
  <c r="AK848" i="4" s="1"/>
  <c r="AL848" i="4" s="1"/>
  <c r="F849" i="4"/>
  <c r="I849" i="4"/>
  <c r="B849" i="4" l="1"/>
  <c r="E849" i="4"/>
  <c r="X848" i="4"/>
  <c r="AM848" i="4" s="1"/>
  <c r="C849" i="4"/>
  <c r="H849" i="4"/>
  <c r="J849" i="4"/>
  <c r="G849" i="4"/>
  <c r="D849" i="4"/>
  <c r="T849" i="4" l="1"/>
  <c r="U849" i="4" s="1"/>
  <c r="AH849" i="4"/>
  <c r="AI849" i="4" s="1"/>
  <c r="M849" i="4"/>
  <c r="N849" i="4" s="1"/>
  <c r="AA849" i="4"/>
  <c r="AB849" i="4" s="1"/>
  <c r="K849" i="4"/>
  <c r="L849" i="4" s="1"/>
  <c r="R849" i="4"/>
  <c r="S849" i="4" s="1"/>
  <c r="AF849" i="4"/>
  <c r="AG849" i="4" s="1"/>
  <c r="AJ849" i="4" s="1"/>
  <c r="AK849" i="4" s="1"/>
  <c r="AL849" i="4" s="1"/>
  <c r="Y849" i="4"/>
  <c r="Z849" i="4" s="1"/>
  <c r="AC849" i="4" l="1"/>
  <c r="AD849" i="4" s="1"/>
  <c r="AE849" i="4" s="1"/>
  <c r="V849" i="4"/>
  <c r="W849" i="4" s="1"/>
  <c r="X849" i="4" s="1"/>
  <c r="O849" i="4"/>
  <c r="P849" i="4" s="1"/>
  <c r="Q849" i="4" l="1"/>
  <c r="AM849" i="4" s="1"/>
  <c r="I850" i="4"/>
  <c r="F850" i="4"/>
  <c r="H850" i="4"/>
  <c r="B850" i="4"/>
  <c r="C850" i="4"/>
  <c r="J850" i="4"/>
  <c r="D850" i="4"/>
  <c r="E850" i="4"/>
  <c r="G850" i="4"/>
  <c r="Y850" i="4" l="1"/>
  <c r="Z850" i="4" s="1"/>
  <c r="K850" i="4"/>
  <c r="L850" i="4" s="1"/>
  <c r="O850" i="4" s="1"/>
  <c r="P850" i="4" s="1"/>
  <c r="Q850" i="4" s="1"/>
  <c r="R850" i="4"/>
  <c r="S850" i="4" s="1"/>
  <c r="V850" i="4" s="1"/>
  <c r="W850" i="4" s="1"/>
  <c r="X850" i="4" s="1"/>
  <c r="AF850" i="4"/>
  <c r="AG850" i="4" s="1"/>
  <c r="T850" i="4"/>
  <c r="U850" i="4" s="1"/>
  <c r="AH850" i="4"/>
  <c r="AI850" i="4" s="1"/>
  <c r="AA850" i="4"/>
  <c r="AB850" i="4" s="1"/>
  <c r="M850" i="4"/>
  <c r="N850" i="4" s="1"/>
  <c r="AJ850" i="4" l="1"/>
  <c r="AK850" i="4" s="1"/>
  <c r="AL850" i="4" s="1"/>
  <c r="AC850" i="4"/>
  <c r="AD850" i="4" s="1"/>
  <c r="AE850" i="4" s="1"/>
  <c r="AM850" i="4" s="1"/>
  <c r="D851" i="4" l="1"/>
  <c r="I851" i="4"/>
  <c r="F851" i="4"/>
  <c r="J851" i="4"/>
  <c r="G851" i="4"/>
  <c r="C851" i="4"/>
  <c r="B851" i="4"/>
  <c r="E851" i="4"/>
  <c r="H851" i="4"/>
  <c r="AA851" i="4" l="1"/>
  <c r="AB851" i="4" s="1"/>
  <c r="AH851" i="4"/>
  <c r="AI851" i="4" s="1"/>
  <c r="T851" i="4"/>
  <c r="U851" i="4" s="1"/>
  <c r="M851" i="4"/>
  <c r="N851" i="4" s="1"/>
  <c r="K851" i="4"/>
  <c r="L851" i="4" s="1"/>
  <c r="O851" i="4" s="1"/>
  <c r="P851" i="4" s="1"/>
  <c r="Q851" i="4" s="1"/>
  <c r="R851" i="4"/>
  <c r="S851" i="4" s="1"/>
  <c r="V851" i="4" s="1"/>
  <c r="W851" i="4" s="1"/>
  <c r="X851" i="4" s="1"/>
  <c r="AF851" i="4"/>
  <c r="AG851" i="4" s="1"/>
  <c r="AJ851" i="4" s="1"/>
  <c r="AK851" i="4" s="1"/>
  <c r="AL851" i="4" s="1"/>
  <c r="Y851" i="4"/>
  <c r="Z851" i="4" s="1"/>
  <c r="AC851" i="4" s="1"/>
  <c r="AD851" i="4" s="1"/>
  <c r="AE851" i="4" s="1"/>
  <c r="H852" i="4" l="1"/>
  <c r="AM851" i="4"/>
  <c r="F852" i="4"/>
  <c r="C852" i="4"/>
  <c r="I852" i="4"/>
  <c r="J852" i="4"/>
  <c r="G852" i="4"/>
  <c r="D852" i="4"/>
  <c r="B852" i="4"/>
  <c r="E852" i="4"/>
  <c r="M852" i="4" l="1"/>
  <c r="N852" i="4" s="1"/>
  <c r="AH852" i="4"/>
  <c r="AI852" i="4" s="1"/>
  <c r="AA852" i="4"/>
  <c r="AB852" i="4" s="1"/>
  <c r="T852" i="4"/>
  <c r="U852" i="4" s="1"/>
  <c r="Y852" i="4"/>
  <c r="Z852" i="4" s="1"/>
  <c r="AC852" i="4" s="1"/>
  <c r="AD852" i="4" s="1"/>
  <c r="AE852" i="4" s="1"/>
  <c r="K852" i="4"/>
  <c r="L852" i="4" s="1"/>
  <c r="O852" i="4" s="1"/>
  <c r="P852" i="4" s="1"/>
  <c r="Q852" i="4" s="1"/>
  <c r="R852" i="4"/>
  <c r="S852" i="4" s="1"/>
  <c r="V852" i="4" s="1"/>
  <c r="W852" i="4" s="1"/>
  <c r="X852" i="4" s="1"/>
  <c r="AF852" i="4"/>
  <c r="AG852" i="4" s="1"/>
  <c r="AJ852" i="4" s="1"/>
  <c r="AK852" i="4" s="1"/>
  <c r="AL852" i="4" s="1"/>
  <c r="AM852" i="4" l="1"/>
  <c r="AP96" i="4" s="1"/>
  <c r="C853" i="4"/>
  <c r="B853" i="4"/>
  <c r="J853" i="4"/>
  <c r="F853" i="4"/>
  <c r="I853" i="4"/>
  <c r="D853" i="4"/>
  <c r="E853" i="4"/>
  <c r="H853" i="4"/>
  <c r="G853" i="4"/>
  <c r="AH853" i="4" l="1"/>
  <c r="AI853" i="4" s="1"/>
  <c r="T853" i="4"/>
  <c r="U853" i="4" s="1"/>
  <c r="M853" i="4"/>
  <c r="N853" i="4" s="1"/>
  <c r="AA853" i="4"/>
  <c r="AB853" i="4" s="1"/>
  <c r="Y853" i="4"/>
  <c r="Z853" i="4" s="1"/>
  <c r="K853" i="4"/>
  <c r="L853" i="4" s="1"/>
  <c r="O853" i="4" s="1"/>
  <c r="P853" i="4" s="1"/>
  <c r="Q853" i="4" s="1"/>
  <c r="AF853" i="4"/>
  <c r="AG853" i="4" s="1"/>
  <c r="AJ853" i="4" s="1"/>
  <c r="AK853" i="4" s="1"/>
  <c r="AL853" i="4" s="1"/>
  <c r="R853" i="4"/>
  <c r="S853" i="4" s="1"/>
  <c r="V853" i="4" l="1"/>
  <c r="W853" i="4" s="1"/>
  <c r="X853" i="4" s="1"/>
  <c r="AM853" i="4" s="1"/>
  <c r="AC853" i="4"/>
  <c r="AD853" i="4" s="1"/>
  <c r="AE853" i="4" s="1"/>
  <c r="C854" i="4" l="1"/>
  <c r="I854" i="4"/>
  <c r="D854" i="4"/>
  <c r="F854" i="4"/>
  <c r="E854" i="4"/>
  <c r="G854" i="4"/>
  <c r="H854" i="4"/>
  <c r="J854" i="4"/>
  <c r="B854" i="4"/>
  <c r="M854" i="4" l="1"/>
  <c r="N854" i="4" s="1"/>
  <c r="T854" i="4"/>
  <c r="U854" i="4" s="1"/>
  <c r="AH854" i="4"/>
  <c r="AI854" i="4" s="1"/>
  <c r="AA854" i="4"/>
  <c r="AB854" i="4" s="1"/>
  <c r="Y854" i="4"/>
  <c r="Z854" i="4" s="1"/>
  <c r="AF854" i="4"/>
  <c r="AG854" i="4" s="1"/>
  <c r="R854" i="4"/>
  <c r="S854" i="4" s="1"/>
  <c r="V854" i="4" s="1"/>
  <c r="W854" i="4" s="1"/>
  <c r="X854" i="4" s="1"/>
  <c r="K854" i="4"/>
  <c r="L854" i="4" s="1"/>
  <c r="O854" i="4" s="1"/>
  <c r="P854" i="4" s="1"/>
  <c r="Q854" i="4" s="1"/>
  <c r="AJ854" i="4" l="1"/>
  <c r="AK854" i="4" s="1"/>
  <c r="AL854" i="4" s="1"/>
  <c r="AC854" i="4"/>
  <c r="AD854" i="4" s="1"/>
  <c r="AE854" i="4" s="1"/>
  <c r="AM854" i="4" s="1"/>
  <c r="F855" i="4"/>
  <c r="I855" i="4"/>
  <c r="G855" i="4"/>
  <c r="D855" i="4"/>
  <c r="J855" i="4"/>
  <c r="E855" i="4" l="1"/>
  <c r="C855" i="4"/>
  <c r="B855" i="4"/>
  <c r="H855" i="4"/>
  <c r="AA855" i="4" l="1"/>
  <c r="AB855" i="4" s="1"/>
  <c r="M855" i="4"/>
  <c r="N855" i="4" s="1"/>
  <c r="T855" i="4"/>
  <c r="U855" i="4" s="1"/>
  <c r="AH855" i="4"/>
  <c r="AI855" i="4" s="1"/>
  <c r="K855" i="4"/>
  <c r="L855" i="4" s="1"/>
  <c r="Y855" i="4"/>
  <c r="Z855" i="4" s="1"/>
  <c r="AF855" i="4"/>
  <c r="AG855" i="4" s="1"/>
  <c r="R855" i="4"/>
  <c r="S855" i="4" s="1"/>
  <c r="O855" i="4" l="1"/>
  <c r="P855" i="4" s="1"/>
  <c r="AJ855" i="4"/>
  <c r="AK855" i="4" s="1"/>
  <c r="AL855" i="4" s="1"/>
  <c r="V855" i="4"/>
  <c r="W855" i="4" s="1"/>
  <c r="X855" i="4" s="1"/>
  <c r="AC855" i="4"/>
  <c r="AD855" i="4" s="1"/>
  <c r="AE855" i="4" s="1"/>
  <c r="Q855" i="4" l="1"/>
  <c r="AM855" i="4" s="1"/>
  <c r="D856" i="4"/>
  <c r="G856" i="4"/>
  <c r="F856" i="4"/>
  <c r="I856" i="4"/>
  <c r="J856" i="4"/>
  <c r="C856" i="4"/>
  <c r="E856" i="4"/>
  <c r="H856" i="4"/>
  <c r="B856" i="4"/>
  <c r="M856" i="4" l="1"/>
  <c r="N856" i="4" s="1"/>
  <c r="T856" i="4"/>
  <c r="U856" i="4" s="1"/>
  <c r="AH856" i="4"/>
  <c r="AI856" i="4" s="1"/>
  <c r="AA856" i="4"/>
  <c r="AB856" i="4" s="1"/>
  <c r="K856" i="4"/>
  <c r="L856" i="4" s="1"/>
  <c r="Y856" i="4"/>
  <c r="Z856" i="4" s="1"/>
  <c r="R856" i="4"/>
  <c r="S856" i="4" s="1"/>
  <c r="V856" i="4" s="1"/>
  <c r="W856" i="4" s="1"/>
  <c r="X856" i="4" s="1"/>
  <c r="AF856" i="4"/>
  <c r="AG856" i="4" s="1"/>
  <c r="AJ856" i="4" l="1"/>
  <c r="AK856" i="4" s="1"/>
  <c r="AL856" i="4" s="1"/>
  <c r="AC856" i="4"/>
  <c r="AD856" i="4" s="1"/>
  <c r="AE856" i="4" s="1"/>
  <c r="O856" i="4"/>
  <c r="P856" i="4" s="1"/>
  <c r="Q856" i="4" l="1"/>
  <c r="AM856" i="4" s="1"/>
  <c r="C857" i="4"/>
  <c r="I857" i="4"/>
  <c r="H857" i="4"/>
  <c r="J857" i="4"/>
  <c r="G857" i="4"/>
  <c r="F857" i="4"/>
  <c r="E857" i="4"/>
  <c r="B857" i="4"/>
  <c r="D857" i="4"/>
  <c r="AA857" i="4" l="1"/>
  <c r="AB857" i="4" s="1"/>
  <c r="AH857" i="4"/>
  <c r="AI857" i="4" s="1"/>
  <c r="T857" i="4"/>
  <c r="U857" i="4" s="1"/>
  <c r="M857" i="4"/>
  <c r="N857" i="4" s="1"/>
  <c r="R857" i="4"/>
  <c r="S857" i="4" s="1"/>
  <c r="V857" i="4" s="1"/>
  <c r="W857" i="4" s="1"/>
  <c r="X857" i="4" s="1"/>
  <c r="Y857" i="4"/>
  <c r="Z857" i="4" s="1"/>
  <c r="AC857" i="4" s="1"/>
  <c r="AD857" i="4" s="1"/>
  <c r="AE857" i="4" s="1"/>
  <c r="K857" i="4"/>
  <c r="L857" i="4" s="1"/>
  <c r="O857" i="4" s="1"/>
  <c r="P857" i="4" s="1"/>
  <c r="Q857" i="4" s="1"/>
  <c r="AF857" i="4"/>
  <c r="AG857" i="4" s="1"/>
  <c r="AM857" i="4" l="1"/>
  <c r="B858" i="4"/>
  <c r="F858" i="4"/>
  <c r="E858" i="4"/>
  <c r="I858" i="4"/>
  <c r="J858" i="4"/>
  <c r="C858" i="4"/>
  <c r="AJ857" i="4"/>
  <c r="AK857" i="4" s="1"/>
  <c r="AL857" i="4" s="1"/>
  <c r="D858" i="4"/>
  <c r="AH858" i="4" l="1"/>
  <c r="AI858" i="4" s="1"/>
  <c r="T858" i="4"/>
  <c r="U858" i="4" s="1"/>
  <c r="G858" i="4"/>
  <c r="Y858" i="4"/>
  <c r="Z858" i="4" s="1"/>
  <c r="R858" i="4"/>
  <c r="S858" i="4" s="1"/>
  <c r="AF858" i="4"/>
  <c r="AG858" i="4" s="1"/>
  <c r="AJ858" i="4" s="1"/>
  <c r="AK858" i="4" s="1"/>
  <c r="AL858" i="4" s="1"/>
  <c r="K858" i="4"/>
  <c r="L858" i="4" s="1"/>
  <c r="H858" i="4"/>
  <c r="V858" i="4" l="1"/>
  <c r="W858" i="4" s="1"/>
  <c r="X858" i="4" s="1"/>
  <c r="M858" i="4"/>
  <c r="N858" i="4" s="1"/>
  <c r="O858" i="4" s="1"/>
  <c r="P858" i="4" s="1"/>
  <c r="AA858" i="4"/>
  <c r="AB858" i="4" s="1"/>
  <c r="AC858" i="4" s="1"/>
  <c r="AD858" i="4" s="1"/>
  <c r="AE858" i="4" s="1"/>
  <c r="Q858" i="4" l="1"/>
  <c r="AM858" i="4" s="1"/>
  <c r="D859" i="4"/>
  <c r="B859" i="4"/>
  <c r="E859" i="4"/>
  <c r="J859" i="4"/>
  <c r="I859" i="4"/>
  <c r="C859" i="4"/>
  <c r="F859" i="4"/>
  <c r="G859" i="4"/>
  <c r="H859" i="4"/>
  <c r="AA859" i="4" l="1"/>
  <c r="AB859" i="4" s="1"/>
  <c r="AH859" i="4"/>
  <c r="AI859" i="4" s="1"/>
  <c r="T859" i="4"/>
  <c r="U859" i="4" s="1"/>
  <c r="M859" i="4"/>
  <c r="N859" i="4" s="1"/>
  <c r="K859" i="4"/>
  <c r="L859" i="4" s="1"/>
  <c r="Y859" i="4"/>
  <c r="Z859" i="4" s="1"/>
  <c r="R859" i="4"/>
  <c r="S859" i="4" s="1"/>
  <c r="AF859" i="4"/>
  <c r="AG859" i="4" s="1"/>
  <c r="AJ859" i="4" s="1"/>
  <c r="AK859" i="4" s="1"/>
  <c r="AL859" i="4" s="1"/>
  <c r="V859" i="4" l="1"/>
  <c r="W859" i="4" s="1"/>
  <c r="X859" i="4" s="1"/>
  <c r="AC859" i="4"/>
  <c r="AD859" i="4" s="1"/>
  <c r="AE859" i="4" s="1"/>
  <c r="O859" i="4"/>
  <c r="P859" i="4" s="1"/>
  <c r="Q859" i="4" l="1"/>
  <c r="AM859" i="4" s="1"/>
  <c r="F860" i="4"/>
  <c r="D860" i="4"/>
  <c r="G860" i="4"/>
  <c r="C860" i="4"/>
  <c r="J860" i="4"/>
  <c r="I860" i="4"/>
  <c r="E860" i="4"/>
  <c r="B860" i="4"/>
  <c r="H860" i="4"/>
  <c r="M860" i="4" l="1"/>
  <c r="N860" i="4" s="1"/>
  <c r="T860" i="4"/>
  <c r="U860" i="4" s="1"/>
  <c r="AA860" i="4"/>
  <c r="AB860" i="4" s="1"/>
  <c r="AH860" i="4"/>
  <c r="AI860" i="4" s="1"/>
  <c r="AF860" i="4"/>
  <c r="AG860" i="4" s="1"/>
  <c r="AJ860" i="4" s="1"/>
  <c r="AK860" i="4" s="1"/>
  <c r="AL860" i="4" s="1"/>
  <c r="K860" i="4"/>
  <c r="L860" i="4" s="1"/>
  <c r="O860" i="4" s="1"/>
  <c r="P860" i="4" s="1"/>
  <c r="Q860" i="4" s="1"/>
  <c r="Y860" i="4"/>
  <c r="Z860" i="4" s="1"/>
  <c r="AC860" i="4" s="1"/>
  <c r="AD860" i="4" s="1"/>
  <c r="AE860" i="4" s="1"/>
  <c r="R860" i="4"/>
  <c r="S860" i="4" s="1"/>
  <c r="G861" i="4" l="1"/>
  <c r="B861" i="4"/>
  <c r="I861" i="4"/>
  <c r="H861" i="4"/>
  <c r="E861" i="4"/>
  <c r="D861" i="4"/>
  <c r="C861" i="4"/>
  <c r="V860" i="4"/>
  <c r="W860" i="4" s="1"/>
  <c r="X860" i="4" s="1"/>
  <c r="AM860" i="4" s="1"/>
  <c r="F861" i="4"/>
  <c r="M861" i="4" l="1"/>
  <c r="N861" i="4" s="1"/>
  <c r="AH861" i="4"/>
  <c r="AI861" i="4" s="1"/>
  <c r="T861" i="4"/>
  <c r="U861" i="4" s="1"/>
  <c r="AA861" i="4"/>
  <c r="AB861" i="4" s="1"/>
  <c r="Y861" i="4"/>
  <c r="Z861" i="4" s="1"/>
  <c r="AC861" i="4" s="1"/>
  <c r="AD861" i="4" s="1"/>
  <c r="AE861" i="4" s="1"/>
  <c r="K861" i="4"/>
  <c r="L861" i="4" s="1"/>
  <c r="AF861" i="4"/>
  <c r="AG861" i="4" s="1"/>
  <c r="R861" i="4"/>
  <c r="S861" i="4" s="1"/>
  <c r="J861" i="4"/>
  <c r="V861" i="4" l="1"/>
  <c r="W861" i="4" s="1"/>
  <c r="X861" i="4" s="1"/>
  <c r="AJ861" i="4"/>
  <c r="AK861" i="4" s="1"/>
  <c r="AL861" i="4" s="1"/>
  <c r="O861" i="4"/>
  <c r="P861" i="4" s="1"/>
  <c r="Q861" i="4" l="1"/>
  <c r="AM861" i="4" s="1"/>
  <c r="D862" i="4"/>
  <c r="C862" i="4"/>
  <c r="B862" i="4"/>
  <c r="E862" i="4"/>
  <c r="G862" i="4"/>
  <c r="F862" i="4"/>
  <c r="H862" i="4"/>
  <c r="I862" i="4"/>
  <c r="J862" i="4"/>
  <c r="T862" i="4" l="1"/>
  <c r="U862" i="4" s="1"/>
  <c r="AA862" i="4"/>
  <c r="AB862" i="4" s="1"/>
  <c r="AH862" i="4"/>
  <c r="AI862" i="4" s="1"/>
  <c r="M862" i="4"/>
  <c r="N862" i="4" s="1"/>
  <c r="R862" i="4"/>
  <c r="S862" i="4" s="1"/>
  <c r="AF862" i="4"/>
  <c r="AG862" i="4" s="1"/>
  <c r="AJ862" i="4" s="1"/>
  <c r="AK862" i="4" s="1"/>
  <c r="AL862" i="4" s="1"/>
  <c r="Y862" i="4"/>
  <c r="Z862" i="4" s="1"/>
  <c r="AC862" i="4" s="1"/>
  <c r="AD862" i="4" s="1"/>
  <c r="AE862" i="4" s="1"/>
  <c r="K862" i="4"/>
  <c r="L862" i="4" s="1"/>
  <c r="O862" i="4" s="1"/>
  <c r="P862" i="4" s="1"/>
  <c r="Q862" i="4" s="1"/>
  <c r="V862" i="4" l="1"/>
  <c r="W862" i="4" s="1"/>
  <c r="X862" i="4" s="1"/>
  <c r="AM862" i="4" s="1"/>
  <c r="AP97" i="4" s="1"/>
  <c r="G863" i="4"/>
  <c r="C863" i="4" l="1"/>
  <c r="J863" i="4"/>
  <c r="B863" i="4"/>
  <c r="H863" i="4"/>
  <c r="E863" i="4"/>
  <c r="I863" i="4"/>
  <c r="D863" i="4"/>
  <c r="F863" i="4"/>
  <c r="AA863" i="4" l="1"/>
  <c r="AB863" i="4" s="1"/>
  <c r="T863" i="4"/>
  <c r="U863" i="4" s="1"/>
  <c r="M863" i="4"/>
  <c r="N863" i="4" s="1"/>
  <c r="AH863" i="4"/>
  <c r="AI863" i="4" s="1"/>
  <c r="R863" i="4"/>
  <c r="S863" i="4" s="1"/>
  <c r="AF863" i="4"/>
  <c r="AG863" i="4" s="1"/>
  <c r="AJ863" i="4" s="1"/>
  <c r="AK863" i="4" s="1"/>
  <c r="AL863" i="4" s="1"/>
  <c r="Y863" i="4"/>
  <c r="Z863" i="4" s="1"/>
  <c r="AC863" i="4" s="1"/>
  <c r="AD863" i="4" s="1"/>
  <c r="AE863" i="4" s="1"/>
  <c r="K863" i="4"/>
  <c r="L863" i="4" s="1"/>
  <c r="O863" i="4" s="1"/>
  <c r="P863" i="4" s="1"/>
  <c r="Q863" i="4" l="1"/>
  <c r="G864" i="4"/>
  <c r="F864" i="4"/>
  <c r="J864" i="4"/>
  <c r="E864" i="4"/>
  <c r="B864" i="4"/>
  <c r="C864" i="4"/>
  <c r="H864" i="4"/>
  <c r="V863" i="4"/>
  <c r="W863" i="4" s="1"/>
  <c r="X863" i="4" s="1"/>
  <c r="I864" i="4"/>
  <c r="D864" i="4"/>
  <c r="AH864" i="4" l="1"/>
  <c r="AI864" i="4" s="1"/>
  <c r="AA864" i="4"/>
  <c r="AB864" i="4" s="1"/>
  <c r="M864" i="4"/>
  <c r="N864" i="4" s="1"/>
  <c r="T864" i="4"/>
  <c r="U864" i="4" s="1"/>
  <c r="AF864" i="4"/>
  <c r="AG864" i="4" s="1"/>
  <c r="AJ864" i="4" s="1"/>
  <c r="AK864" i="4" s="1"/>
  <c r="AL864" i="4" s="1"/>
  <c r="Y864" i="4"/>
  <c r="Z864" i="4" s="1"/>
  <c r="R864" i="4"/>
  <c r="S864" i="4" s="1"/>
  <c r="K864" i="4"/>
  <c r="L864" i="4" s="1"/>
  <c r="O864" i="4" s="1"/>
  <c r="P864" i="4" s="1"/>
  <c r="Q864" i="4" s="1"/>
  <c r="AM863" i="4"/>
  <c r="V864" i="4" l="1"/>
  <c r="W864" i="4" s="1"/>
  <c r="AC864" i="4"/>
  <c r="AD864" i="4" s="1"/>
  <c r="AE864" i="4" s="1"/>
  <c r="X864" i="4" l="1"/>
  <c r="AM864" i="4" s="1"/>
  <c r="D865" i="4"/>
  <c r="F865" i="4"/>
  <c r="H865" i="4"/>
  <c r="G865" i="4"/>
  <c r="C865" i="4"/>
  <c r="E865" i="4"/>
  <c r="J865" i="4"/>
  <c r="I865" i="4"/>
  <c r="B865" i="4"/>
  <c r="AH865" i="4" l="1"/>
  <c r="AI865" i="4" s="1"/>
  <c r="AA865" i="4"/>
  <c r="AB865" i="4" s="1"/>
  <c r="M865" i="4"/>
  <c r="N865" i="4" s="1"/>
  <c r="T865" i="4"/>
  <c r="U865" i="4" s="1"/>
  <c r="R865" i="4"/>
  <c r="S865" i="4" s="1"/>
  <c r="AF865" i="4"/>
  <c r="AG865" i="4" s="1"/>
  <c r="Y865" i="4"/>
  <c r="Z865" i="4" s="1"/>
  <c r="K865" i="4"/>
  <c r="L865" i="4" s="1"/>
  <c r="O865" i="4" l="1"/>
  <c r="P865" i="4" s="1"/>
  <c r="AC865" i="4"/>
  <c r="AD865" i="4" s="1"/>
  <c r="AE865" i="4" s="1"/>
  <c r="AJ865" i="4"/>
  <c r="AK865" i="4" s="1"/>
  <c r="AL865" i="4" s="1"/>
  <c r="V865" i="4"/>
  <c r="W865" i="4" s="1"/>
  <c r="X865" i="4" s="1"/>
  <c r="Q865" i="4" l="1"/>
  <c r="AM865" i="4" s="1"/>
  <c r="C866" i="4"/>
  <c r="I866" i="4"/>
  <c r="E866" i="4"/>
  <c r="J866" i="4"/>
  <c r="B866" i="4"/>
  <c r="G866" i="4"/>
  <c r="H866" i="4"/>
  <c r="F866" i="4"/>
  <c r="D866" i="4"/>
  <c r="AF866" i="4" l="1"/>
  <c r="AG866" i="4" s="1"/>
  <c r="Y866" i="4"/>
  <c r="Z866" i="4" s="1"/>
  <c r="AC866" i="4" s="1"/>
  <c r="AD866" i="4" s="1"/>
  <c r="AE866" i="4" s="1"/>
  <c r="K866" i="4"/>
  <c r="L866" i="4" s="1"/>
  <c r="O866" i="4" s="1"/>
  <c r="P866" i="4" s="1"/>
  <c r="Q866" i="4" s="1"/>
  <c r="R866" i="4"/>
  <c r="S866" i="4" s="1"/>
  <c r="T866" i="4"/>
  <c r="U866" i="4" s="1"/>
  <c r="M866" i="4"/>
  <c r="N866" i="4" s="1"/>
  <c r="AA866" i="4"/>
  <c r="AB866" i="4" s="1"/>
  <c r="AH866" i="4"/>
  <c r="AI866" i="4" s="1"/>
  <c r="V866" i="4" l="1"/>
  <c r="W866" i="4" s="1"/>
  <c r="AJ866" i="4"/>
  <c r="AK866" i="4" s="1"/>
  <c r="AL866" i="4" s="1"/>
  <c r="G867" i="4"/>
  <c r="E867" i="4"/>
  <c r="B867" i="4"/>
  <c r="M867" i="4" l="1"/>
  <c r="N867" i="4" s="1"/>
  <c r="AH867" i="4"/>
  <c r="AI867" i="4" s="1"/>
  <c r="AA867" i="4"/>
  <c r="AB867" i="4" s="1"/>
  <c r="C867" i="4"/>
  <c r="H867" i="4"/>
  <c r="X866" i="4"/>
  <c r="AM866" i="4" s="1"/>
  <c r="J867" i="4"/>
  <c r="D867" i="4"/>
  <c r="F867" i="4"/>
  <c r="I867" i="4"/>
  <c r="R867" i="4" l="1"/>
  <c r="S867" i="4" s="1"/>
  <c r="AF867" i="4"/>
  <c r="AG867" i="4" s="1"/>
  <c r="AJ867" i="4" s="1"/>
  <c r="AK867" i="4" s="1"/>
  <c r="AL867" i="4" s="1"/>
  <c r="Y867" i="4"/>
  <c r="Z867" i="4" s="1"/>
  <c r="AC867" i="4" s="1"/>
  <c r="AD867" i="4" s="1"/>
  <c r="AE867" i="4" s="1"/>
  <c r="K867" i="4"/>
  <c r="L867" i="4" s="1"/>
  <c r="O867" i="4" s="1"/>
  <c r="P867" i="4" s="1"/>
  <c r="T867" i="4"/>
  <c r="U867" i="4" s="1"/>
  <c r="Q867" i="4" l="1"/>
  <c r="V867" i="4"/>
  <c r="W867" i="4" s="1"/>
  <c r="X867" i="4" l="1"/>
  <c r="I868" i="4"/>
  <c r="F868" i="4"/>
  <c r="D868" i="4"/>
  <c r="H868" i="4"/>
  <c r="G868" i="4"/>
  <c r="B868" i="4"/>
  <c r="C868" i="4"/>
  <c r="E868" i="4"/>
  <c r="J868" i="4"/>
  <c r="AM867" i="4"/>
  <c r="AF868" i="4" l="1"/>
  <c r="AG868" i="4" s="1"/>
  <c r="K868" i="4"/>
  <c r="L868" i="4" s="1"/>
  <c r="Y868" i="4"/>
  <c r="Z868" i="4" s="1"/>
  <c r="AC868" i="4" s="1"/>
  <c r="AD868" i="4" s="1"/>
  <c r="AE868" i="4" s="1"/>
  <c r="R868" i="4"/>
  <c r="S868" i="4" s="1"/>
  <c r="V868" i="4" s="1"/>
  <c r="W868" i="4" s="1"/>
  <c r="X868" i="4" s="1"/>
  <c r="T868" i="4"/>
  <c r="U868" i="4" s="1"/>
  <c r="M868" i="4"/>
  <c r="N868" i="4" s="1"/>
  <c r="AH868" i="4"/>
  <c r="AI868" i="4" s="1"/>
  <c r="AA868" i="4"/>
  <c r="AB868" i="4" s="1"/>
  <c r="AJ868" i="4" l="1"/>
  <c r="AK868" i="4" s="1"/>
  <c r="AL868" i="4" s="1"/>
  <c r="O868" i="4"/>
  <c r="P868" i="4" s="1"/>
  <c r="Q868" i="4" l="1"/>
  <c r="AM868" i="4" s="1"/>
  <c r="G869" i="4"/>
  <c r="J869" i="4"/>
  <c r="H869" i="4"/>
  <c r="E869" i="4"/>
  <c r="F869" i="4"/>
  <c r="I869" i="4"/>
  <c r="C869" i="4"/>
  <c r="B869" i="4"/>
  <c r="D869" i="4"/>
  <c r="AH869" i="4" l="1"/>
  <c r="AI869" i="4" s="1"/>
  <c r="AA869" i="4"/>
  <c r="AB869" i="4" s="1"/>
  <c r="T869" i="4"/>
  <c r="U869" i="4" s="1"/>
  <c r="M869" i="4"/>
  <c r="N869" i="4" s="1"/>
  <c r="R869" i="4"/>
  <c r="S869" i="4" s="1"/>
  <c r="V869" i="4" s="1"/>
  <c r="W869" i="4" s="1"/>
  <c r="X869" i="4" s="1"/>
  <c r="K869" i="4"/>
  <c r="L869" i="4" s="1"/>
  <c r="O869" i="4" s="1"/>
  <c r="P869" i="4" s="1"/>
  <c r="Q869" i="4" s="1"/>
  <c r="AF869" i="4"/>
  <c r="AG869" i="4" s="1"/>
  <c r="AJ869" i="4" s="1"/>
  <c r="AK869" i="4" s="1"/>
  <c r="AL869" i="4" s="1"/>
  <c r="Y869" i="4"/>
  <c r="Z869" i="4" s="1"/>
  <c r="AC869" i="4" l="1"/>
  <c r="AD869" i="4" s="1"/>
  <c r="AE869" i="4" l="1"/>
  <c r="AM869" i="4" s="1"/>
  <c r="B870" i="4"/>
  <c r="I870" i="4"/>
  <c r="F870" i="4"/>
  <c r="H870" i="4"/>
  <c r="J870" i="4"/>
  <c r="D870" i="4"/>
  <c r="C870" i="4"/>
  <c r="G870" i="4"/>
  <c r="E870" i="4"/>
  <c r="T870" i="4" l="1"/>
  <c r="U870" i="4" s="1"/>
  <c r="AH870" i="4"/>
  <c r="AI870" i="4" s="1"/>
  <c r="AA870" i="4"/>
  <c r="AB870" i="4" s="1"/>
  <c r="M870" i="4"/>
  <c r="N870" i="4" s="1"/>
  <c r="Y870" i="4"/>
  <c r="Z870" i="4" s="1"/>
  <c r="AF870" i="4"/>
  <c r="AG870" i="4" s="1"/>
  <c r="R870" i="4"/>
  <c r="S870" i="4" s="1"/>
  <c r="V870" i="4" s="1"/>
  <c r="W870" i="4" s="1"/>
  <c r="X870" i="4" s="1"/>
  <c r="K870" i="4"/>
  <c r="L870" i="4" s="1"/>
  <c r="O870" i="4" s="1"/>
  <c r="P870" i="4" s="1"/>
  <c r="Q870" i="4" s="1"/>
  <c r="AJ870" i="4" l="1"/>
  <c r="AK870" i="4" s="1"/>
  <c r="AL870" i="4" s="1"/>
  <c r="AC870" i="4"/>
  <c r="AD870" i="4" s="1"/>
  <c r="AE870" i="4" s="1"/>
  <c r="AM870" i="4" s="1"/>
  <c r="I871" i="4"/>
  <c r="F871" i="4"/>
  <c r="H871" i="4"/>
  <c r="D871" i="4" l="1"/>
  <c r="E871" i="4"/>
  <c r="C871" i="4"/>
  <c r="G871" i="4"/>
  <c r="B871" i="4"/>
  <c r="J871" i="4"/>
  <c r="Y871" i="4" l="1"/>
  <c r="Z871" i="4" s="1"/>
  <c r="AF871" i="4"/>
  <c r="AG871" i="4" s="1"/>
  <c r="R871" i="4"/>
  <c r="S871" i="4" s="1"/>
  <c r="V871" i="4" s="1"/>
  <c r="W871" i="4" s="1"/>
  <c r="X871" i="4" s="1"/>
  <c r="K871" i="4"/>
  <c r="L871" i="4" s="1"/>
  <c r="O871" i="4" s="1"/>
  <c r="P871" i="4" s="1"/>
  <c r="AH871" i="4"/>
  <c r="AI871" i="4" s="1"/>
  <c r="T871" i="4"/>
  <c r="U871" i="4" s="1"/>
  <c r="AA871" i="4"/>
  <c r="AB871" i="4" s="1"/>
  <c r="M871" i="4"/>
  <c r="N871" i="4" s="1"/>
  <c r="Q871" i="4" l="1"/>
  <c r="H872" i="4"/>
  <c r="F872" i="4"/>
  <c r="I872" i="4"/>
  <c r="D872" i="4"/>
  <c r="B872" i="4"/>
  <c r="C872" i="4"/>
  <c r="AJ871" i="4"/>
  <c r="AK871" i="4" s="1"/>
  <c r="AL871" i="4" s="1"/>
  <c r="AC871" i="4"/>
  <c r="AD871" i="4" s="1"/>
  <c r="AE871" i="4" s="1"/>
  <c r="J872" i="4"/>
  <c r="G872" i="4"/>
  <c r="AF872" i="4" l="1"/>
  <c r="AG872" i="4" s="1"/>
  <c r="R872" i="4"/>
  <c r="S872" i="4" s="1"/>
  <c r="Y872" i="4"/>
  <c r="Z872" i="4" s="1"/>
  <c r="K872" i="4"/>
  <c r="L872" i="4" s="1"/>
  <c r="AM871" i="4"/>
  <c r="E872" i="4"/>
  <c r="M872" i="4" l="1"/>
  <c r="N872" i="4" s="1"/>
  <c r="AA872" i="4"/>
  <c r="AB872" i="4" s="1"/>
  <c r="AH872" i="4"/>
  <c r="AI872" i="4" s="1"/>
  <c r="AJ872" i="4" s="1"/>
  <c r="AK872" i="4" s="1"/>
  <c r="AL872" i="4" s="1"/>
  <c r="T872" i="4"/>
  <c r="U872" i="4" s="1"/>
  <c r="O872" i="4"/>
  <c r="P872" i="4" s="1"/>
  <c r="V872" i="4"/>
  <c r="W872" i="4" s="1"/>
  <c r="X872" i="4" s="1"/>
  <c r="AC872" i="4"/>
  <c r="AD872" i="4" s="1"/>
  <c r="AE872" i="4" s="1"/>
  <c r="Q872" i="4" l="1"/>
  <c r="AM872" i="4" s="1"/>
  <c r="AP98" i="4" s="1"/>
  <c r="C873" i="4"/>
  <c r="I873" i="4"/>
  <c r="H873" i="4"/>
  <c r="B873" i="4"/>
  <c r="G873" i="4"/>
  <c r="J873" i="4"/>
  <c r="D873" i="4"/>
  <c r="F873" i="4"/>
  <c r="E873" i="4"/>
  <c r="R873" i="4" l="1"/>
  <c r="S873" i="4" s="1"/>
  <c r="Y873" i="4"/>
  <c r="Z873" i="4" s="1"/>
  <c r="K873" i="4"/>
  <c r="L873" i="4" s="1"/>
  <c r="AF873" i="4"/>
  <c r="AG873" i="4" s="1"/>
  <c r="AH873" i="4"/>
  <c r="AI873" i="4" s="1"/>
  <c r="M873" i="4"/>
  <c r="N873" i="4" s="1"/>
  <c r="AA873" i="4"/>
  <c r="AB873" i="4" s="1"/>
  <c r="T873" i="4"/>
  <c r="U873" i="4" s="1"/>
  <c r="V873" i="4" l="1"/>
  <c r="W873" i="4" s="1"/>
  <c r="X873" i="4" s="1"/>
  <c r="AJ873" i="4"/>
  <c r="AK873" i="4" s="1"/>
  <c r="AL873" i="4" s="1"/>
  <c r="O873" i="4"/>
  <c r="P873" i="4" s="1"/>
  <c r="AC873" i="4"/>
  <c r="AD873" i="4" s="1"/>
  <c r="AE873" i="4" s="1"/>
  <c r="Q873" i="4" l="1"/>
  <c r="AM873" i="4" s="1"/>
  <c r="G874" i="4"/>
  <c r="F874" i="4"/>
  <c r="I874" i="4"/>
  <c r="E874" i="4"/>
  <c r="B874" i="4"/>
  <c r="D874" i="4"/>
  <c r="J874" i="4"/>
  <c r="H874" i="4"/>
  <c r="C874" i="4"/>
  <c r="K874" i="4" l="1"/>
  <c r="L874" i="4" s="1"/>
  <c r="Y874" i="4"/>
  <c r="Z874" i="4" s="1"/>
  <c r="AC874" i="4" s="1"/>
  <c r="AD874" i="4" s="1"/>
  <c r="AE874" i="4" s="1"/>
  <c r="AF874" i="4"/>
  <c r="AG874" i="4" s="1"/>
  <c r="AJ874" i="4" s="1"/>
  <c r="AK874" i="4" s="1"/>
  <c r="AL874" i="4" s="1"/>
  <c r="R874" i="4"/>
  <c r="S874" i="4" s="1"/>
  <c r="V874" i="4" s="1"/>
  <c r="W874" i="4" s="1"/>
  <c r="X874" i="4" s="1"/>
  <c r="T874" i="4"/>
  <c r="U874" i="4" s="1"/>
  <c r="AA874" i="4"/>
  <c r="AB874" i="4" s="1"/>
  <c r="M874" i="4"/>
  <c r="N874" i="4" s="1"/>
  <c r="AH874" i="4"/>
  <c r="AI874" i="4" s="1"/>
  <c r="O874" i="4" l="1"/>
  <c r="P874" i="4" s="1"/>
  <c r="Q874" i="4" l="1"/>
  <c r="AM874" i="4" s="1"/>
  <c r="J875" i="4"/>
  <c r="G875" i="4"/>
  <c r="H875" i="4"/>
  <c r="D875" i="4"/>
  <c r="B875" i="4"/>
  <c r="E875" i="4"/>
  <c r="C875" i="4"/>
  <c r="I875" i="4"/>
  <c r="F875" i="4"/>
  <c r="AA875" i="4" l="1"/>
  <c r="AB875" i="4" s="1"/>
  <c r="M875" i="4"/>
  <c r="N875" i="4" s="1"/>
  <c r="AH875" i="4"/>
  <c r="AI875" i="4" s="1"/>
  <c r="T875" i="4"/>
  <c r="U875" i="4" s="1"/>
  <c r="R875" i="4"/>
  <c r="S875" i="4" s="1"/>
  <c r="Y875" i="4"/>
  <c r="Z875" i="4" s="1"/>
  <c r="K875" i="4"/>
  <c r="L875" i="4" s="1"/>
  <c r="AF875" i="4"/>
  <c r="AG875" i="4" s="1"/>
  <c r="AJ875" i="4" s="1"/>
  <c r="AK875" i="4" s="1"/>
  <c r="AL875" i="4" s="1"/>
  <c r="V875" i="4" l="1"/>
  <c r="W875" i="4" s="1"/>
  <c r="X875" i="4" s="1"/>
  <c r="O875" i="4"/>
  <c r="P875" i="4" s="1"/>
  <c r="AC875" i="4"/>
  <c r="AD875" i="4" s="1"/>
  <c r="AE875" i="4" s="1"/>
  <c r="Q875" i="4" l="1"/>
  <c r="AM875" i="4" s="1"/>
  <c r="C876" i="4"/>
  <c r="I876" i="4"/>
  <c r="H876" i="4"/>
  <c r="E876" i="4"/>
  <c r="F876" i="4"/>
  <c r="D876" i="4"/>
  <c r="J876" i="4"/>
  <c r="G876" i="4"/>
  <c r="B876" i="4"/>
  <c r="AA876" i="4" l="1"/>
  <c r="AB876" i="4" s="1"/>
  <c r="M876" i="4"/>
  <c r="N876" i="4" s="1"/>
  <c r="AH876" i="4"/>
  <c r="AI876" i="4" s="1"/>
  <c r="T876" i="4"/>
  <c r="U876" i="4" s="1"/>
  <c r="AF876" i="4"/>
  <c r="AG876" i="4" s="1"/>
  <c r="AJ876" i="4" s="1"/>
  <c r="AK876" i="4" s="1"/>
  <c r="AL876" i="4" s="1"/>
  <c r="R876" i="4"/>
  <c r="S876" i="4" s="1"/>
  <c r="V876" i="4" s="1"/>
  <c r="W876" i="4" s="1"/>
  <c r="X876" i="4" s="1"/>
  <c r="Y876" i="4"/>
  <c r="Z876" i="4" s="1"/>
  <c r="AC876" i="4" s="1"/>
  <c r="AD876" i="4" s="1"/>
  <c r="AE876" i="4" s="1"/>
  <c r="K876" i="4"/>
  <c r="L876" i="4" s="1"/>
  <c r="O876" i="4" s="1"/>
  <c r="P876" i="4" s="1"/>
  <c r="Q876" i="4" s="1"/>
  <c r="AM876" i="4" s="1"/>
  <c r="C877" i="4" l="1"/>
  <c r="I877" i="4"/>
  <c r="B877" i="4"/>
  <c r="H877" i="4"/>
  <c r="D877" i="4"/>
  <c r="E877" i="4"/>
  <c r="J877" i="4"/>
  <c r="G877" i="4"/>
  <c r="F877" i="4"/>
  <c r="AH877" i="4" l="1"/>
  <c r="AI877" i="4" s="1"/>
  <c r="T877" i="4"/>
  <c r="U877" i="4" s="1"/>
  <c r="AA877" i="4"/>
  <c r="AB877" i="4" s="1"/>
  <c r="M877" i="4"/>
  <c r="N877" i="4" s="1"/>
  <c r="R877" i="4"/>
  <c r="S877" i="4" s="1"/>
  <c r="Y877" i="4"/>
  <c r="Z877" i="4" s="1"/>
  <c r="K877" i="4"/>
  <c r="L877" i="4" s="1"/>
  <c r="O877" i="4" s="1"/>
  <c r="P877" i="4" s="1"/>
  <c r="Q877" i="4" s="1"/>
  <c r="AF877" i="4"/>
  <c r="AG877" i="4" s="1"/>
  <c r="AJ877" i="4" s="1"/>
  <c r="AK877" i="4" s="1"/>
  <c r="AL877" i="4" s="1"/>
  <c r="V877" i="4" l="1"/>
  <c r="W877" i="4" s="1"/>
  <c r="X877" i="4" s="1"/>
  <c r="AM877" i="4" s="1"/>
  <c r="AC877" i="4"/>
  <c r="AD877" i="4" s="1"/>
  <c r="AE877" i="4" s="1"/>
  <c r="E878" i="4"/>
  <c r="D878" i="4"/>
  <c r="G878" i="4" l="1"/>
  <c r="I878" i="4"/>
  <c r="B878" i="4"/>
  <c r="C878" i="4"/>
  <c r="H878" i="4"/>
  <c r="J878" i="4"/>
  <c r="F878" i="4"/>
  <c r="M878" i="4" l="1"/>
  <c r="N878" i="4" s="1"/>
  <c r="AA878" i="4"/>
  <c r="AB878" i="4" s="1"/>
  <c r="AH878" i="4"/>
  <c r="AI878" i="4" s="1"/>
  <c r="AF878" i="4"/>
  <c r="AG878" i="4" s="1"/>
  <c r="AJ878" i="4" s="1"/>
  <c r="AK878" i="4" s="1"/>
  <c r="AL878" i="4" s="1"/>
  <c r="R878" i="4"/>
  <c r="S878" i="4" s="1"/>
  <c r="K878" i="4"/>
  <c r="L878" i="4" s="1"/>
  <c r="O878" i="4" s="1"/>
  <c r="P878" i="4" s="1"/>
  <c r="Y878" i="4"/>
  <c r="Z878" i="4" s="1"/>
  <c r="T878" i="4"/>
  <c r="U878" i="4" s="1"/>
  <c r="AC878" i="4" l="1"/>
  <c r="AD878" i="4" s="1"/>
  <c r="AE878" i="4" s="1"/>
  <c r="Q878" i="4"/>
  <c r="V878" i="4"/>
  <c r="W878" i="4" s="1"/>
  <c r="F879" i="4"/>
  <c r="X878" i="4" l="1"/>
  <c r="J879" i="4"/>
  <c r="C879" i="4"/>
  <c r="H879" i="4"/>
  <c r="B879" i="4"/>
  <c r="E879" i="4"/>
  <c r="D879" i="4"/>
  <c r="I879" i="4"/>
  <c r="AM878" i="4"/>
  <c r="G879" i="4"/>
  <c r="M879" i="4" l="1"/>
  <c r="N879" i="4" s="1"/>
  <c r="AH879" i="4"/>
  <c r="AI879" i="4" s="1"/>
  <c r="T879" i="4"/>
  <c r="U879" i="4" s="1"/>
  <c r="AA879" i="4"/>
  <c r="AB879" i="4" s="1"/>
  <c r="AF879" i="4"/>
  <c r="AG879" i="4" s="1"/>
  <c r="AJ879" i="4" s="1"/>
  <c r="AK879" i="4" s="1"/>
  <c r="AL879" i="4" s="1"/>
  <c r="R879" i="4"/>
  <c r="S879" i="4" s="1"/>
  <c r="V879" i="4" s="1"/>
  <c r="W879" i="4" s="1"/>
  <c r="X879" i="4" s="1"/>
  <c r="K879" i="4"/>
  <c r="L879" i="4" s="1"/>
  <c r="O879" i="4" s="1"/>
  <c r="P879" i="4" s="1"/>
  <c r="Y879" i="4"/>
  <c r="Z879" i="4" s="1"/>
  <c r="AC879" i="4" s="1"/>
  <c r="AD879" i="4" s="1"/>
  <c r="AE879" i="4" s="1"/>
  <c r="Q879" i="4" l="1"/>
  <c r="AM879" i="4" s="1"/>
  <c r="F880" i="4"/>
  <c r="I880" i="4"/>
  <c r="H880" i="4"/>
  <c r="C880" i="4"/>
  <c r="J880" i="4"/>
  <c r="D880" i="4"/>
  <c r="E880" i="4"/>
  <c r="B880" i="4"/>
  <c r="G880" i="4"/>
  <c r="T880" i="4" l="1"/>
  <c r="U880" i="4" s="1"/>
  <c r="AA880" i="4"/>
  <c r="AB880" i="4" s="1"/>
  <c r="M880" i="4"/>
  <c r="N880" i="4" s="1"/>
  <c r="AH880" i="4"/>
  <c r="AI880" i="4" s="1"/>
  <c r="AF880" i="4"/>
  <c r="AG880" i="4" s="1"/>
  <c r="AJ880" i="4" s="1"/>
  <c r="AK880" i="4" s="1"/>
  <c r="AL880" i="4" s="1"/>
  <c r="K880" i="4"/>
  <c r="L880" i="4" s="1"/>
  <c r="O880" i="4" s="1"/>
  <c r="P880" i="4" s="1"/>
  <c r="Q880" i="4" s="1"/>
  <c r="R880" i="4"/>
  <c r="S880" i="4" s="1"/>
  <c r="V880" i="4" s="1"/>
  <c r="W880" i="4" s="1"/>
  <c r="X880" i="4" s="1"/>
  <c r="Y880" i="4"/>
  <c r="Z880" i="4" s="1"/>
  <c r="AC880" i="4" s="1"/>
  <c r="AD880" i="4" s="1"/>
  <c r="AE880" i="4" s="1"/>
  <c r="AM880" i="4" l="1"/>
  <c r="C881" i="4"/>
  <c r="B881" i="4"/>
  <c r="G881" i="4"/>
  <c r="H881" i="4"/>
  <c r="J881" i="4"/>
  <c r="E881" i="4"/>
  <c r="I881" i="4"/>
  <c r="D881" i="4"/>
  <c r="F881" i="4"/>
  <c r="AH881" i="4" l="1"/>
  <c r="AI881" i="4" s="1"/>
  <c r="T881" i="4"/>
  <c r="U881" i="4" s="1"/>
  <c r="AA881" i="4"/>
  <c r="AB881" i="4" s="1"/>
  <c r="M881" i="4"/>
  <c r="N881" i="4" s="1"/>
  <c r="R881" i="4"/>
  <c r="S881" i="4" s="1"/>
  <c r="V881" i="4" s="1"/>
  <c r="W881" i="4" s="1"/>
  <c r="X881" i="4" s="1"/>
  <c r="K881" i="4"/>
  <c r="L881" i="4" s="1"/>
  <c r="O881" i="4" s="1"/>
  <c r="P881" i="4" s="1"/>
  <c r="Q881" i="4" s="1"/>
  <c r="Y881" i="4"/>
  <c r="Z881" i="4" s="1"/>
  <c r="AC881" i="4" s="1"/>
  <c r="AD881" i="4" s="1"/>
  <c r="AE881" i="4" s="1"/>
  <c r="AF881" i="4"/>
  <c r="AG881" i="4" s="1"/>
  <c r="AJ881" i="4" s="1"/>
  <c r="AK881" i="4" s="1"/>
  <c r="AL881" i="4" s="1"/>
  <c r="G882" i="4" l="1"/>
  <c r="B882" i="4"/>
  <c r="H882" i="4"/>
  <c r="C882" i="4"/>
  <c r="I882" i="4"/>
  <c r="AM881" i="4"/>
  <c r="E882" i="4"/>
  <c r="D882" i="4"/>
  <c r="F882" i="4"/>
  <c r="J882" i="4"/>
  <c r="T882" i="4" l="1"/>
  <c r="U882" i="4" s="1"/>
  <c r="AA882" i="4"/>
  <c r="AB882" i="4" s="1"/>
  <c r="M882" i="4"/>
  <c r="N882" i="4" s="1"/>
  <c r="AH882" i="4"/>
  <c r="AI882" i="4" s="1"/>
  <c r="D883" i="4"/>
  <c r="R882" i="4"/>
  <c r="S882" i="4" s="1"/>
  <c r="V882" i="4" s="1"/>
  <c r="W882" i="4" s="1"/>
  <c r="X882" i="4" s="1"/>
  <c r="Y882" i="4"/>
  <c r="Z882" i="4" s="1"/>
  <c r="AC882" i="4" s="1"/>
  <c r="AD882" i="4" s="1"/>
  <c r="AE882" i="4" s="1"/>
  <c r="K882" i="4"/>
  <c r="L882" i="4" s="1"/>
  <c r="O882" i="4" s="1"/>
  <c r="P882" i="4" s="1"/>
  <c r="Q882" i="4" s="1"/>
  <c r="AF882" i="4"/>
  <c r="AG882" i="4" s="1"/>
  <c r="AJ882" i="4" s="1"/>
  <c r="AK882" i="4" s="1"/>
  <c r="AL882" i="4" s="1"/>
  <c r="I883" i="4"/>
  <c r="H883" i="4"/>
  <c r="F883" i="4"/>
  <c r="J883" i="4" l="1"/>
  <c r="C883" i="4"/>
  <c r="E883" i="4"/>
  <c r="AM882" i="4"/>
  <c r="AP99" i="4" s="1"/>
  <c r="G883" i="4"/>
  <c r="B883" i="4"/>
  <c r="AH883" i="4" l="1"/>
  <c r="AI883" i="4" s="1"/>
  <c r="M883" i="4"/>
  <c r="N883" i="4" s="1"/>
  <c r="AA883" i="4"/>
  <c r="AB883" i="4" s="1"/>
  <c r="T883" i="4"/>
  <c r="U883" i="4" s="1"/>
  <c r="Y883" i="4"/>
  <c r="Z883" i="4" s="1"/>
  <c r="AC883" i="4" s="1"/>
  <c r="AD883" i="4" s="1"/>
  <c r="AE883" i="4" s="1"/>
  <c r="AF883" i="4"/>
  <c r="AG883" i="4" s="1"/>
  <c r="AJ883" i="4" s="1"/>
  <c r="AK883" i="4" s="1"/>
  <c r="AL883" i="4" s="1"/>
  <c r="R883" i="4"/>
  <c r="S883" i="4" s="1"/>
  <c r="K883" i="4"/>
  <c r="L883" i="4" s="1"/>
  <c r="O883" i="4" l="1"/>
  <c r="P883" i="4" s="1"/>
  <c r="V883" i="4"/>
  <c r="W883" i="4" s="1"/>
  <c r="X883" i="4" s="1"/>
  <c r="Q883" i="4" l="1"/>
  <c r="AM883" i="4" s="1"/>
  <c r="F884" i="4"/>
  <c r="D884" i="4"/>
  <c r="H884" i="4"/>
  <c r="I884" i="4"/>
  <c r="E884" i="4"/>
  <c r="J884" i="4"/>
  <c r="C884" i="4"/>
  <c r="G884" i="4"/>
  <c r="B884" i="4"/>
  <c r="AH884" i="4" l="1"/>
  <c r="AI884" i="4" s="1"/>
  <c r="T884" i="4"/>
  <c r="U884" i="4" s="1"/>
  <c r="AA884" i="4"/>
  <c r="AB884" i="4" s="1"/>
  <c r="M884" i="4"/>
  <c r="N884" i="4" s="1"/>
  <c r="AF884" i="4"/>
  <c r="AG884" i="4" s="1"/>
  <c r="AJ884" i="4" s="1"/>
  <c r="AK884" i="4" s="1"/>
  <c r="AL884" i="4" s="1"/>
  <c r="Y884" i="4"/>
  <c r="Z884" i="4" s="1"/>
  <c r="K884" i="4"/>
  <c r="L884" i="4" s="1"/>
  <c r="R884" i="4"/>
  <c r="S884" i="4" s="1"/>
  <c r="V884" i="4" s="1"/>
  <c r="W884" i="4" s="1"/>
  <c r="X884" i="4" s="1"/>
  <c r="O884" i="4" l="1"/>
  <c r="P884" i="4" s="1"/>
  <c r="AC884" i="4"/>
  <c r="AD884" i="4" s="1"/>
  <c r="AE884" i="4" s="1"/>
  <c r="Q884" i="4" l="1"/>
  <c r="AM884" i="4" s="1"/>
  <c r="E885" i="4"/>
  <c r="B885" i="4"/>
  <c r="G885" i="4"/>
  <c r="J885" i="4"/>
  <c r="D885" i="4"/>
  <c r="H885" i="4"/>
  <c r="F885" i="4"/>
  <c r="C885" i="4"/>
  <c r="I885" i="4"/>
  <c r="AH885" i="4" l="1"/>
  <c r="AI885" i="4" s="1"/>
  <c r="M885" i="4"/>
  <c r="N885" i="4" s="1"/>
  <c r="AA885" i="4"/>
  <c r="AB885" i="4" s="1"/>
  <c r="T885" i="4"/>
  <c r="U885" i="4" s="1"/>
  <c r="R885" i="4"/>
  <c r="S885" i="4" s="1"/>
  <c r="V885" i="4" s="1"/>
  <c r="W885" i="4" s="1"/>
  <c r="X885" i="4" s="1"/>
  <c r="AF885" i="4"/>
  <c r="AG885" i="4" s="1"/>
  <c r="Y885" i="4"/>
  <c r="Z885" i="4" s="1"/>
  <c r="AC885" i="4" s="1"/>
  <c r="AD885" i="4" s="1"/>
  <c r="AE885" i="4" s="1"/>
  <c r="K885" i="4"/>
  <c r="L885" i="4" s="1"/>
  <c r="O885" i="4" s="1"/>
  <c r="P885" i="4" s="1"/>
  <c r="Q885" i="4" s="1"/>
  <c r="AJ885" i="4" l="1"/>
  <c r="AK885" i="4" s="1"/>
  <c r="AL885" i="4" s="1"/>
  <c r="AM885" i="4" s="1"/>
  <c r="I886" i="4"/>
  <c r="G886" i="4"/>
  <c r="E886" i="4"/>
  <c r="J886" i="4"/>
  <c r="H886" i="4"/>
  <c r="D886" i="4"/>
  <c r="C886" i="4" l="1"/>
  <c r="B886" i="4"/>
  <c r="F886" i="4"/>
  <c r="M886" i="4" l="1"/>
  <c r="N886" i="4" s="1"/>
  <c r="AA886" i="4"/>
  <c r="AB886" i="4" s="1"/>
  <c r="AH886" i="4"/>
  <c r="AI886" i="4" s="1"/>
  <c r="K886" i="4"/>
  <c r="L886" i="4" s="1"/>
  <c r="O886" i="4" s="1"/>
  <c r="P886" i="4" s="1"/>
  <c r="R886" i="4"/>
  <c r="S886" i="4" s="1"/>
  <c r="V886" i="4" s="1"/>
  <c r="W886" i="4" s="1"/>
  <c r="X886" i="4" s="1"/>
  <c r="AF886" i="4"/>
  <c r="AG886" i="4" s="1"/>
  <c r="Y886" i="4"/>
  <c r="Z886" i="4" s="1"/>
  <c r="T886" i="4"/>
  <c r="U886" i="4" s="1"/>
  <c r="Q886" i="4" l="1"/>
  <c r="AC886" i="4"/>
  <c r="AD886" i="4" s="1"/>
  <c r="AE886" i="4" s="1"/>
  <c r="AJ886" i="4"/>
  <c r="AK886" i="4" s="1"/>
  <c r="AL886" i="4" s="1"/>
  <c r="E887" i="4" l="1"/>
  <c r="G887" i="4"/>
  <c r="D887" i="4"/>
  <c r="F887" i="4"/>
  <c r="J887" i="4"/>
  <c r="I887" i="4"/>
  <c r="C887" i="4"/>
  <c r="H887" i="4"/>
  <c r="B887" i="4"/>
  <c r="AM886" i="4"/>
  <c r="K887" i="4" l="1"/>
  <c r="L887" i="4" s="1"/>
  <c r="O887" i="4" s="1"/>
  <c r="P887" i="4" s="1"/>
  <c r="Q887" i="4" s="1"/>
  <c r="Y887" i="4"/>
  <c r="Z887" i="4" s="1"/>
  <c r="R887" i="4"/>
  <c r="S887" i="4" s="1"/>
  <c r="AF887" i="4"/>
  <c r="AG887" i="4" s="1"/>
  <c r="T887" i="4"/>
  <c r="U887" i="4" s="1"/>
  <c r="AH887" i="4"/>
  <c r="AI887" i="4" s="1"/>
  <c r="AA887" i="4"/>
  <c r="AB887" i="4" s="1"/>
  <c r="M887" i="4"/>
  <c r="N887" i="4" s="1"/>
  <c r="AJ887" i="4" l="1"/>
  <c r="AK887" i="4" s="1"/>
  <c r="AL887" i="4" s="1"/>
  <c r="V887" i="4"/>
  <c r="W887" i="4" s="1"/>
  <c r="X887" i="4" s="1"/>
  <c r="AM887" i="4" s="1"/>
  <c r="AC887" i="4"/>
  <c r="AD887" i="4" s="1"/>
  <c r="AE887" i="4" s="1"/>
  <c r="F888" i="4" l="1"/>
  <c r="I888" i="4"/>
  <c r="G888" i="4"/>
  <c r="E888" i="4"/>
  <c r="H888" i="4"/>
  <c r="J888" i="4"/>
  <c r="B888" i="4"/>
  <c r="D888" i="4"/>
  <c r="C888" i="4"/>
  <c r="AF888" i="4" l="1"/>
  <c r="AG888" i="4" s="1"/>
  <c r="R888" i="4"/>
  <c r="S888" i="4" s="1"/>
  <c r="Y888" i="4"/>
  <c r="Z888" i="4" s="1"/>
  <c r="AC888" i="4" s="1"/>
  <c r="AD888" i="4" s="1"/>
  <c r="AE888" i="4" s="1"/>
  <c r="K888" i="4"/>
  <c r="L888" i="4" s="1"/>
  <c r="O888" i="4" s="1"/>
  <c r="P888" i="4" s="1"/>
  <c r="Q888" i="4" s="1"/>
  <c r="AA888" i="4"/>
  <c r="AB888" i="4" s="1"/>
  <c r="AH888" i="4"/>
  <c r="AI888" i="4" s="1"/>
  <c r="T888" i="4"/>
  <c r="U888" i="4" s="1"/>
  <c r="M888" i="4"/>
  <c r="N888" i="4" s="1"/>
  <c r="V888" i="4" l="1"/>
  <c r="W888" i="4" s="1"/>
  <c r="E889" i="4" s="1"/>
  <c r="AJ888" i="4"/>
  <c r="AK888" i="4" s="1"/>
  <c r="AL888" i="4" s="1"/>
  <c r="J889" i="4"/>
  <c r="B889" i="4"/>
  <c r="F889" i="4"/>
  <c r="X888" i="4" l="1"/>
  <c r="AM888" i="4" s="1"/>
  <c r="C889" i="4"/>
  <c r="Y889" i="4" s="1"/>
  <c r="Z889" i="4" s="1"/>
  <c r="G889" i="4"/>
  <c r="D889" i="4"/>
  <c r="I889" i="4"/>
  <c r="H889" i="4"/>
  <c r="K889" i="4" l="1"/>
  <c r="L889" i="4" s="1"/>
  <c r="R889" i="4"/>
  <c r="S889" i="4" s="1"/>
  <c r="T889" i="4"/>
  <c r="U889" i="4" s="1"/>
  <c r="AA889" i="4"/>
  <c r="AB889" i="4" s="1"/>
  <c r="AC889" i="4" s="1"/>
  <c r="AD889" i="4" s="1"/>
  <c r="AE889" i="4" s="1"/>
  <c r="M889" i="4"/>
  <c r="N889" i="4" s="1"/>
  <c r="AF889" i="4"/>
  <c r="AG889" i="4" s="1"/>
  <c r="AH889" i="4"/>
  <c r="AI889" i="4" s="1"/>
  <c r="V889" i="4" l="1"/>
  <c r="W889" i="4" s="1"/>
  <c r="X889" i="4" s="1"/>
  <c r="AJ889" i="4"/>
  <c r="AK889" i="4" s="1"/>
  <c r="AL889" i="4" s="1"/>
  <c r="O889" i="4"/>
  <c r="P889" i="4" s="1"/>
  <c r="Q889" i="4" l="1"/>
  <c r="AM889" i="4" s="1"/>
  <c r="F890" i="4"/>
  <c r="J890" i="4"/>
  <c r="E890" i="4"/>
  <c r="B890" i="4"/>
  <c r="G890" i="4"/>
  <c r="I890" i="4"/>
  <c r="C890" i="4"/>
  <c r="H890" i="4"/>
  <c r="D890" i="4"/>
  <c r="K890" i="4" l="1"/>
  <c r="L890" i="4" s="1"/>
  <c r="Y890" i="4"/>
  <c r="Z890" i="4" s="1"/>
  <c r="AC890" i="4" s="1"/>
  <c r="AD890" i="4" s="1"/>
  <c r="AE890" i="4" s="1"/>
  <c r="AF890" i="4"/>
  <c r="AG890" i="4" s="1"/>
  <c r="AJ890" i="4" s="1"/>
  <c r="AK890" i="4" s="1"/>
  <c r="AL890" i="4" s="1"/>
  <c r="R890" i="4"/>
  <c r="S890" i="4" s="1"/>
  <c r="V890" i="4" s="1"/>
  <c r="W890" i="4" s="1"/>
  <c r="X890" i="4" s="1"/>
  <c r="T890" i="4"/>
  <c r="U890" i="4" s="1"/>
  <c r="AA890" i="4"/>
  <c r="AB890" i="4" s="1"/>
  <c r="AH890" i="4"/>
  <c r="AI890" i="4" s="1"/>
  <c r="M890" i="4"/>
  <c r="N890" i="4" s="1"/>
  <c r="O890" i="4" l="1"/>
  <c r="P890" i="4" s="1"/>
  <c r="Q890" i="4" l="1"/>
  <c r="AM890" i="4" s="1"/>
  <c r="G891" i="4"/>
  <c r="D891" i="4"/>
  <c r="H891" i="4"/>
  <c r="C891" i="4"/>
  <c r="I891" i="4"/>
  <c r="E891" i="4"/>
  <c r="F891" i="4"/>
  <c r="B891" i="4"/>
  <c r="J891" i="4"/>
  <c r="M891" i="4" l="1"/>
  <c r="N891" i="4" s="1"/>
  <c r="AA891" i="4"/>
  <c r="AB891" i="4" s="1"/>
  <c r="AH891" i="4"/>
  <c r="AI891" i="4" s="1"/>
  <c r="T891" i="4"/>
  <c r="U891" i="4" s="1"/>
  <c r="K891" i="4"/>
  <c r="L891" i="4" s="1"/>
  <c r="O891" i="4" s="1"/>
  <c r="P891" i="4" s="1"/>
  <c r="Q891" i="4" s="1"/>
  <c r="R891" i="4"/>
  <c r="S891" i="4" s="1"/>
  <c r="V891" i="4" s="1"/>
  <c r="W891" i="4" s="1"/>
  <c r="X891" i="4" s="1"/>
  <c r="AF891" i="4"/>
  <c r="AG891" i="4" s="1"/>
  <c r="AJ891" i="4" s="1"/>
  <c r="AK891" i="4" s="1"/>
  <c r="AL891" i="4" s="1"/>
  <c r="Y891" i="4"/>
  <c r="Z891" i="4" s="1"/>
  <c r="B892" i="4" l="1"/>
  <c r="I892" i="4"/>
  <c r="AM891" i="4"/>
  <c r="J892" i="4"/>
  <c r="D892" i="4"/>
  <c r="C892" i="4"/>
  <c r="AC891" i="4"/>
  <c r="AD891" i="4" s="1"/>
  <c r="AE891" i="4" s="1"/>
  <c r="F892" i="4"/>
  <c r="AF892" i="4" l="1"/>
  <c r="AG892" i="4" s="1"/>
  <c r="Y892" i="4"/>
  <c r="Z892" i="4" s="1"/>
  <c r="K892" i="4"/>
  <c r="L892" i="4" s="1"/>
  <c r="R892" i="4"/>
  <c r="S892" i="4" s="1"/>
  <c r="H892" i="4"/>
  <c r="E892" i="4"/>
  <c r="G892" i="4"/>
  <c r="M892" i="4" l="1"/>
  <c r="N892" i="4" s="1"/>
  <c r="O892" i="4" s="1"/>
  <c r="P892" i="4" s="1"/>
  <c r="T892" i="4"/>
  <c r="U892" i="4" s="1"/>
  <c r="V892" i="4" s="1"/>
  <c r="W892" i="4" s="1"/>
  <c r="X892" i="4" s="1"/>
  <c r="AH892" i="4"/>
  <c r="AI892" i="4" s="1"/>
  <c r="AJ892" i="4" s="1"/>
  <c r="AK892" i="4" s="1"/>
  <c r="AL892" i="4" s="1"/>
  <c r="AA892" i="4"/>
  <c r="AB892" i="4" s="1"/>
  <c r="AC892" i="4" s="1"/>
  <c r="AD892" i="4" s="1"/>
  <c r="AE892" i="4" s="1"/>
  <c r="Q892" i="4" l="1"/>
  <c r="AM892" i="4" s="1"/>
  <c r="AP100" i="4" s="1"/>
  <c r="C893" i="4"/>
  <c r="D893" i="4"/>
  <c r="F893" i="4"/>
  <c r="I893" i="4"/>
  <c r="B893" i="4"/>
  <c r="J893" i="4"/>
  <c r="G893" i="4"/>
  <c r="H893" i="4"/>
  <c r="E893" i="4"/>
  <c r="R893" i="4" l="1"/>
  <c r="S893" i="4" s="1"/>
  <c r="Y893" i="4"/>
  <c r="Z893" i="4" s="1"/>
  <c r="K893" i="4"/>
  <c r="L893" i="4" s="1"/>
  <c r="AF893" i="4"/>
  <c r="AG893" i="4" s="1"/>
  <c r="AJ893" i="4" s="1"/>
  <c r="AK893" i="4" s="1"/>
  <c r="AL893" i="4" s="1"/>
  <c r="AH893" i="4"/>
  <c r="AI893" i="4" s="1"/>
  <c r="AA893" i="4"/>
  <c r="AB893" i="4" s="1"/>
  <c r="T893" i="4"/>
  <c r="U893" i="4" s="1"/>
  <c r="M893" i="4"/>
  <c r="N893" i="4" s="1"/>
  <c r="O893" i="4" l="1"/>
  <c r="P893" i="4" s="1"/>
  <c r="AC893" i="4"/>
  <c r="AD893" i="4" s="1"/>
  <c r="AE893" i="4" s="1"/>
  <c r="V893" i="4"/>
  <c r="W893" i="4" s="1"/>
  <c r="X893" i="4" s="1"/>
  <c r="Q893" i="4" l="1"/>
  <c r="AM893" i="4" s="1"/>
  <c r="D894" i="4"/>
  <c r="H894" i="4"/>
  <c r="F894" i="4"/>
  <c r="B894" i="4"/>
  <c r="E894" i="4"/>
  <c r="I894" i="4"/>
  <c r="C894" i="4"/>
  <c r="G894" i="4"/>
  <c r="J894" i="4"/>
  <c r="T894" i="4" l="1"/>
  <c r="U894" i="4" s="1"/>
  <c r="AA894" i="4"/>
  <c r="AB894" i="4" s="1"/>
  <c r="M894" i="4"/>
  <c r="N894" i="4" s="1"/>
  <c r="AH894" i="4"/>
  <c r="AI894" i="4" s="1"/>
  <c r="K894" i="4"/>
  <c r="L894" i="4" s="1"/>
  <c r="Y894" i="4"/>
  <c r="Z894" i="4" s="1"/>
  <c r="AF894" i="4"/>
  <c r="AG894" i="4" s="1"/>
  <c r="AJ894" i="4" s="1"/>
  <c r="AK894" i="4" s="1"/>
  <c r="AL894" i="4" s="1"/>
  <c r="R894" i="4"/>
  <c r="S894" i="4" s="1"/>
  <c r="V894" i="4" s="1"/>
  <c r="W894" i="4" s="1"/>
  <c r="X894" i="4" s="1"/>
  <c r="O894" i="4" l="1"/>
  <c r="P894" i="4" s="1"/>
  <c r="AC894" i="4"/>
  <c r="AD894" i="4" s="1"/>
  <c r="AE894" i="4" s="1"/>
  <c r="Q894" i="4" l="1"/>
  <c r="AM894" i="4" s="1"/>
  <c r="C895" i="4"/>
  <c r="J895" i="4"/>
  <c r="G895" i="4"/>
  <c r="E895" i="4"/>
  <c r="I895" i="4"/>
  <c r="D895" i="4"/>
  <c r="B895" i="4"/>
  <c r="F895" i="4"/>
  <c r="H895" i="4"/>
  <c r="K895" i="4" l="1"/>
  <c r="L895" i="4" s="1"/>
  <c r="Y895" i="4"/>
  <c r="Z895" i="4" s="1"/>
  <c r="AF895" i="4"/>
  <c r="AG895" i="4" s="1"/>
  <c r="R895" i="4"/>
  <c r="S895" i="4" s="1"/>
  <c r="M895" i="4"/>
  <c r="N895" i="4" s="1"/>
  <c r="AA895" i="4"/>
  <c r="AB895" i="4" s="1"/>
  <c r="AH895" i="4"/>
  <c r="AI895" i="4" s="1"/>
  <c r="T895" i="4"/>
  <c r="U895" i="4" s="1"/>
  <c r="AJ895" i="4" l="1"/>
  <c r="AK895" i="4" s="1"/>
  <c r="AL895" i="4" s="1"/>
  <c r="AC895" i="4"/>
  <c r="AD895" i="4" s="1"/>
  <c r="AE895" i="4" s="1"/>
  <c r="V895" i="4"/>
  <c r="W895" i="4" s="1"/>
  <c r="X895" i="4" s="1"/>
  <c r="O895" i="4"/>
  <c r="P895" i="4" s="1"/>
  <c r="Q895" i="4" l="1"/>
  <c r="AM895" i="4" s="1"/>
  <c r="H896" i="4"/>
  <c r="F896" i="4"/>
  <c r="D896" i="4"/>
  <c r="C896" i="4"/>
  <c r="E896" i="4"/>
  <c r="B896" i="4"/>
  <c r="I896" i="4"/>
  <c r="G896" i="4"/>
  <c r="J896" i="4"/>
  <c r="AF896" i="4" l="1"/>
  <c r="AG896" i="4" s="1"/>
  <c r="Y896" i="4"/>
  <c r="Z896" i="4" s="1"/>
  <c r="K896" i="4"/>
  <c r="L896" i="4" s="1"/>
  <c r="O896" i="4" s="1"/>
  <c r="P896" i="4" s="1"/>
  <c r="Q896" i="4" s="1"/>
  <c r="R896" i="4"/>
  <c r="S896" i="4" s="1"/>
  <c r="V896" i="4" s="1"/>
  <c r="W896" i="4" s="1"/>
  <c r="X896" i="4" s="1"/>
  <c r="M896" i="4"/>
  <c r="N896" i="4" s="1"/>
  <c r="AH896" i="4"/>
  <c r="AI896" i="4" s="1"/>
  <c r="T896" i="4"/>
  <c r="U896" i="4" s="1"/>
  <c r="AA896" i="4"/>
  <c r="AB896" i="4" s="1"/>
  <c r="AC896" i="4" l="1"/>
  <c r="AD896" i="4" s="1"/>
  <c r="AJ896" i="4"/>
  <c r="AK896" i="4" s="1"/>
  <c r="AL896" i="4" s="1"/>
  <c r="H897" i="4"/>
  <c r="B897" i="4"/>
  <c r="G897" i="4"/>
  <c r="AE896" i="4" l="1"/>
  <c r="AM896" i="4" s="1"/>
  <c r="D897" i="4"/>
  <c r="F897" i="4"/>
  <c r="I897" i="4"/>
  <c r="E897" i="4"/>
  <c r="J897" i="4"/>
  <c r="C897" i="4"/>
  <c r="AH897" i="4" l="1"/>
  <c r="AI897" i="4" s="1"/>
  <c r="AA897" i="4"/>
  <c r="AB897" i="4" s="1"/>
  <c r="M897" i="4"/>
  <c r="N897" i="4" s="1"/>
  <c r="T897" i="4"/>
  <c r="U897" i="4" s="1"/>
  <c r="Y897" i="4"/>
  <c r="Z897" i="4" s="1"/>
  <c r="AF897" i="4"/>
  <c r="AG897" i="4" s="1"/>
  <c r="K897" i="4"/>
  <c r="L897" i="4" s="1"/>
  <c r="R897" i="4"/>
  <c r="S897" i="4" s="1"/>
  <c r="V897" i="4" l="1"/>
  <c r="W897" i="4" s="1"/>
  <c r="X897" i="4" s="1"/>
  <c r="O897" i="4"/>
  <c r="P897" i="4" s="1"/>
  <c r="AJ897" i="4"/>
  <c r="AK897" i="4" s="1"/>
  <c r="AL897" i="4" s="1"/>
  <c r="AC897" i="4"/>
  <c r="AD897" i="4" s="1"/>
  <c r="AE897" i="4" s="1"/>
  <c r="Q897" i="4" l="1"/>
  <c r="AM897" i="4" s="1"/>
  <c r="G898" i="4"/>
  <c r="B898" i="4"/>
  <c r="H898" i="4"/>
  <c r="D898" i="4"/>
  <c r="F898" i="4"/>
  <c r="I898" i="4"/>
  <c r="C898" i="4"/>
  <c r="J898" i="4"/>
  <c r="E898" i="4"/>
  <c r="Y898" i="4" l="1"/>
  <c r="Z898" i="4" s="1"/>
  <c r="AF898" i="4"/>
  <c r="AG898" i="4" s="1"/>
  <c r="K898" i="4"/>
  <c r="L898" i="4" s="1"/>
  <c r="O898" i="4" s="1"/>
  <c r="P898" i="4" s="1"/>
  <c r="Q898" i="4" s="1"/>
  <c r="R898" i="4"/>
  <c r="S898" i="4" s="1"/>
  <c r="V898" i="4" s="1"/>
  <c r="W898" i="4" s="1"/>
  <c r="X898" i="4" s="1"/>
  <c r="M898" i="4"/>
  <c r="N898" i="4" s="1"/>
  <c r="T898" i="4"/>
  <c r="U898" i="4" s="1"/>
  <c r="AA898" i="4"/>
  <c r="AB898" i="4" s="1"/>
  <c r="AH898" i="4"/>
  <c r="AI898" i="4" s="1"/>
  <c r="AJ898" i="4" l="1"/>
  <c r="AK898" i="4" s="1"/>
  <c r="AL898" i="4" s="1"/>
  <c r="AC898" i="4"/>
  <c r="AD898" i="4" s="1"/>
  <c r="F899" i="4" s="1"/>
  <c r="C899" i="4" l="1"/>
  <c r="H899" i="4"/>
  <c r="D899" i="4"/>
  <c r="AE898" i="4"/>
  <c r="AM898" i="4" s="1"/>
  <c r="G899" i="4"/>
  <c r="I899" i="4"/>
  <c r="E899" i="4"/>
  <c r="B899" i="4"/>
  <c r="J899" i="4"/>
  <c r="AA899" i="4" l="1"/>
  <c r="AB899" i="4" s="1"/>
  <c r="M899" i="4"/>
  <c r="N899" i="4" s="1"/>
  <c r="AH899" i="4"/>
  <c r="AI899" i="4" s="1"/>
  <c r="T899" i="4"/>
  <c r="U899" i="4" s="1"/>
  <c r="K899" i="4"/>
  <c r="L899" i="4" s="1"/>
  <c r="R899" i="4"/>
  <c r="S899" i="4" s="1"/>
  <c r="V899" i="4" s="1"/>
  <c r="W899" i="4" s="1"/>
  <c r="X899" i="4" s="1"/>
  <c r="AF899" i="4"/>
  <c r="AG899" i="4" s="1"/>
  <c r="Y899" i="4"/>
  <c r="Z899" i="4" s="1"/>
  <c r="AC899" i="4" s="1"/>
  <c r="AD899" i="4" s="1"/>
  <c r="AE899" i="4" s="1"/>
  <c r="O899" i="4" l="1"/>
  <c r="P899" i="4" s="1"/>
  <c r="AJ899" i="4"/>
  <c r="AK899" i="4" s="1"/>
  <c r="AL899" i="4" s="1"/>
  <c r="Q899" i="4" l="1"/>
  <c r="AM899" i="4" s="1"/>
  <c r="F900" i="4"/>
  <c r="I900" i="4"/>
  <c r="G900" i="4"/>
  <c r="D900" i="4"/>
  <c r="J900" i="4"/>
  <c r="E900" i="4"/>
  <c r="B900" i="4"/>
  <c r="H900" i="4"/>
  <c r="C900" i="4"/>
  <c r="M900" i="4" l="1"/>
  <c r="N900" i="4" s="1"/>
  <c r="T900" i="4"/>
  <c r="U900" i="4" s="1"/>
  <c r="AA900" i="4"/>
  <c r="AB900" i="4" s="1"/>
  <c r="AH900" i="4"/>
  <c r="AI900" i="4" s="1"/>
  <c r="K900" i="4"/>
  <c r="L900" i="4" s="1"/>
  <c r="O900" i="4" s="1"/>
  <c r="P900" i="4" s="1"/>
  <c r="Q900" i="4" s="1"/>
  <c r="Y900" i="4"/>
  <c r="Z900" i="4" s="1"/>
  <c r="AC900" i="4" s="1"/>
  <c r="AD900" i="4" s="1"/>
  <c r="AE900" i="4" s="1"/>
  <c r="R900" i="4"/>
  <c r="S900" i="4" s="1"/>
  <c r="V900" i="4" s="1"/>
  <c r="W900" i="4" s="1"/>
  <c r="X900" i="4" s="1"/>
  <c r="AF900" i="4"/>
  <c r="AG900" i="4" s="1"/>
  <c r="AM900" i="4" l="1"/>
  <c r="D901" i="4"/>
  <c r="J901" i="4"/>
  <c r="E901" i="4"/>
  <c r="G901" i="4"/>
  <c r="AJ900" i="4"/>
  <c r="AK900" i="4" s="1"/>
  <c r="AL900" i="4" s="1"/>
  <c r="B901" i="4"/>
  <c r="R901" i="4" l="1"/>
  <c r="S901" i="4" s="1"/>
  <c r="F901" i="4"/>
  <c r="H901" i="4"/>
  <c r="I901" i="4"/>
  <c r="C901" i="4"/>
  <c r="AF901" i="4" s="1"/>
  <c r="AG901" i="4" s="1"/>
  <c r="M901" i="4" l="1"/>
  <c r="N901" i="4" s="1"/>
  <c r="K901" i="4"/>
  <c r="L901" i="4" s="1"/>
  <c r="O901" i="4" s="1"/>
  <c r="P901" i="4" s="1"/>
  <c r="T901" i="4"/>
  <c r="U901" i="4" s="1"/>
  <c r="V901" i="4" s="1"/>
  <c r="W901" i="4" s="1"/>
  <c r="X901" i="4" s="1"/>
  <c r="AH901" i="4"/>
  <c r="AI901" i="4" s="1"/>
  <c r="AJ901" i="4" s="1"/>
  <c r="AK901" i="4" s="1"/>
  <c r="AL901" i="4" s="1"/>
  <c r="Y901" i="4"/>
  <c r="Z901" i="4" s="1"/>
  <c r="AA901" i="4"/>
  <c r="AB901" i="4" s="1"/>
  <c r="Q901" i="4" l="1"/>
  <c r="AC901" i="4"/>
  <c r="AD901" i="4" s="1"/>
  <c r="AE901" i="4" s="1"/>
  <c r="I902" i="4"/>
  <c r="D902" i="4" l="1"/>
  <c r="J902" i="4"/>
  <c r="B902" i="4"/>
  <c r="F902" i="4"/>
  <c r="E902" i="4"/>
  <c r="H902" i="4"/>
  <c r="G902" i="4"/>
  <c r="C902" i="4"/>
  <c r="AM901" i="4"/>
  <c r="AA902" i="4" l="1"/>
  <c r="AB902" i="4" s="1"/>
  <c r="AH902" i="4"/>
  <c r="AI902" i="4" s="1"/>
  <c r="T902" i="4"/>
  <c r="U902" i="4" s="1"/>
  <c r="M902" i="4"/>
  <c r="N902" i="4" s="1"/>
  <c r="Y902" i="4"/>
  <c r="Z902" i="4" s="1"/>
  <c r="AC902" i="4" s="1"/>
  <c r="AD902" i="4" s="1"/>
  <c r="AE902" i="4" s="1"/>
  <c r="R902" i="4"/>
  <c r="S902" i="4" s="1"/>
  <c r="AF902" i="4"/>
  <c r="AG902" i="4" s="1"/>
  <c r="K902" i="4"/>
  <c r="L902" i="4" s="1"/>
  <c r="O902" i="4" l="1"/>
  <c r="P902" i="4" s="1"/>
  <c r="AJ902" i="4"/>
  <c r="AK902" i="4" s="1"/>
  <c r="AL902" i="4" s="1"/>
  <c r="V902" i="4"/>
  <c r="W902" i="4" s="1"/>
  <c r="X902" i="4" s="1"/>
  <c r="Q902" i="4" l="1"/>
  <c r="AM902" i="4" s="1"/>
  <c r="AP101" i="4" s="1"/>
  <c r="I903" i="4"/>
  <c r="H903" i="4"/>
  <c r="B903" i="4"/>
  <c r="J903" i="4"/>
  <c r="E903" i="4"/>
  <c r="C903" i="4"/>
  <c r="G903" i="4"/>
  <c r="F903" i="4"/>
  <c r="D903" i="4"/>
  <c r="AA903" i="4" l="1"/>
  <c r="AB903" i="4" s="1"/>
  <c r="AH903" i="4"/>
  <c r="AI903" i="4" s="1"/>
  <c r="M903" i="4"/>
  <c r="N903" i="4" s="1"/>
  <c r="T903" i="4"/>
  <c r="U903" i="4" s="1"/>
  <c r="K903" i="4"/>
  <c r="L903" i="4" s="1"/>
  <c r="O903" i="4" s="1"/>
  <c r="P903" i="4" s="1"/>
  <c r="Q903" i="4" s="1"/>
  <c r="Y903" i="4"/>
  <c r="Z903" i="4" s="1"/>
  <c r="AC903" i="4" s="1"/>
  <c r="AD903" i="4" s="1"/>
  <c r="AE903" i="4" s="1"/>
  <c r="R903" i="4"/>
  <c r="S903" i="4" s="1"/>
  <c r="AF903" i="4"/>
  <c r="AG903" i="4" s="1"/>
  <c r="AJ903" i="4" s="1"/>
  <c r="AK903" i="4" s="1"/>
  <c r="AL903" i="4" s="1"/>
  <c r="V903" i="4" l="1"/>
  <c r="W903" i="4" s="1"/>
  <c r="X903" i="4" s="1"/>
  <c r="AM903" i="4" s="1"/>
  <c r="E904" i="4"/>
  <c r="H904" i="4"/>
  <c r="AA904" i="4" l="1"/>
  <c r="AB904" i="4" s="1"/>
  <c r="B904" i="4"/>
  <c r="C904" i="4"/>
  <c r="G904" i="4"/>
  <c r="F904" i="4"/>
  <c r="AH904" i="4" s="1"/>
  <c r="AI904" i="4" s="1"/>
  <c r="J904" i="4"/>
  <c r="I904" i="4"/>
  <c r="D904" i="4"/>
  <c r="AF904" i="4" l="1"/>
  <c r="AG904" i="4" s="1"/>
  <c r="AJ904" i="4" s="1"/>
  <c r="AK904" i="4" s="1"/>
  <c r="AL904" i="4" s="1"/>
  <c r="K904" i="4"/>
  <c r="L904" i="4" s="1"/>
  <c r="R904" i="4"/>
  <c r="S904" i="4" s="1"/>
  <c r="Y904" i="4"/>
  <c r="Z904" i="4" s="1"/>
  <c r="AC904" i="4" s="1"/>
  <c r="AD904" i="4" s="1"/>
  <c r="AE904" i="4" s="1"/>
  <c r="T904" i="4"/>
  <c r="U904" i="4" s="1"/>
  <c r="M904" i="4"/>
  <c r="N904" i="4" s="1"/>
  <c r="V904" i="4" l="1"/>
  <c r="W904" i="4" s="1"/>
  <c r="X904" i="4" s="1"/>
  <c r="O904" i="4"/>
  <c r="P904" i="4" s="1"/>
  <c r="Q904" i="4" l="1"/>
  <c r="AM904" i="4" s="1"/>
  <c r="E905" i="4"/>
  <c r="H905" i="4"/>
  <c r="I905" i="4"/>
  <c r="F905" i="4"/>
  <c r="G905" i="4"/>
  <c r="B905" i="4"/>
  <c r="C905" i="4"/>
  <c r="D905" i="4"/>
  <c r="J905" i="4"/>
  <c r="AF905" i="4" l="1"/>
  <c r="AG905" i="4" s="1"/>
  <c r="K905" i="4"/>
  <c r="L905" i="4" s="1"/>
  <c r="O905" i="4" s="1"/>
  <c r="P905" i="4" s="1"/>
  <c r="Q905" i="4" s="1"/>
  <c r="Y905" i="4"/>
  <c r="Z905" i="4" s="1"/>
  <c r="R905" i="4"/>
  <c r="S905" i="4" s="1"/>
  <c r="V905" i="4" s="1"/>
  <c r="W905" i="4" s="1"/>
  <c r="X905" i="4" s="1"/>
  <c r="M905" i="4"/>
  <c r="N905" i="4" s="1"/>
  <c r="AA905" i="4"/>
  <c r="AB905" i="4" s="1"/>
  <c r="T905" i="4"/>
  <c r="U905" i="4" s="1"/>
  <c r="AH905" i="4"/>
  <c r="AI905" i="4" s="1"/>
  <c r="AC905" i="4" l="1"/>
  <c r="AD905" i="4" s="1"/>
  <c r="AJ905" i="4"/>
  <c r="AK905" i="4" s="1"/>
  <c r="AL905" i="4" s="1"/>
  <c r="J906" i="4" l="1"/>
  <c r="D906" i="4"/>
  <c r="B906" i="4"/>
  <c r="E906" i="4"/>
  <c r="AE905" i="4"/>
  <c r="AM905" i="4" s="1"/>
  <c r="F906" i="4"/>
  <c r="I906" i="4"/>
  <c r="C906" i="4"/>
  <c r="H906" i="4"/>
  <c r="G906" i="4"/>
  <c r="T906" i="4" l="1"/>
  <c r="U906" i="4" s="1"/>
  <c r="AH906" i="4"/>
  <c r="AI906" i="4" s="1"/>
  <c r="AA906" i="4"/>
  <c r="AB906" i="4" s="1"/>
  <c r="M906" i="4"/>
  <c r="N906" i="4" s="1"/>
  <c r="Y906" i="4"/>
  <c r="Z906" i="4" s="1"/>
  <c r="AF906" i="4"/>
  <c r="AG906" i="4" s="1"/>
  <c r="K906" i="4"/>
  <c r="L906" i="4" s="1"/>
  <c r="R906" i="4"/>
  <c r="S906" i="4" s="1"/>
  <c r="V906" i="4" s="1"/>
  <c r="W906" i="4" s="1"/>
  <c r="X906" i="4" s="1"/>
  <c r="O906" i="4" l="1"/>
  <c r="P906" i="4" s="1"/>
  <c r="AC906" i="4"/>
  <c r="AD906" i="4" s="1"/>
  <c r="AE906" i="4" s="1"/>
  <c r="AJ906" i="4"/>
  <c r="AK906" i="4" s="1"/>
  <c r="AL906" i="4" s="1"/>
  <c r="Q906" i="4" l="1"/>
  <c r="AM906" i="4" s="1"/>
  <c r="C907" i="4"/>
  <c r="G907" i="4"/>
  <c r="J907" i="4"/>
  <c r="E907" i="4"/>
  <c r="B907" i="4"/>
  <c r="H907" i="4"/>
  <c r="I907" i="4"/>
  <c r="D907" i="4"/>
  <c r="F907" i="4"/>
  <c r="K907" i="4" l="1"/>
  <c r="L907" i="4" s="1"/>
  <c r="R907" i="4"/>
  <c r="S907" i="4" s="1"/>
  <c r="Y907" i="4"/>
  <c r="Z907" i="4" s="1"/>
  <c r="AC907" i="4" s="1"/>
  <c r="AD907" i="4" s="1"/>
  <c r="AE907" i="4" s="1"/>
  <c r="AF907" i="4"/>
  <c r="AG907" i="4" s="1"/>
  <c r="AJ907" i="4" s="1"/>
  <c r="AK907" i="4" s="1"/>
  <c r="AL907" i="4" s="1"/>
  <c r="AA907" i="4"/>
  <c r="AB907" i="4" s="1"/>
  <c r="AH907" i="4"/>
  <c r="AI907" i="4" s="1"/>
  <c r="M907" i="4"/>
  <c r="N907" i="4" s="1"/>
  <c r="T907" i="4"/>
  <c r="U907" i="4" s="1"/>
  <c r="O907" i="4" l="1"/>
  <c r="P907" i="4" s="1"/>
  <c r="V907" i="4"/>
  <c r="W907" i="4" s="1"/>
  <c r="X907" i="4" s="1"/>
  <c r="Q907" i="4" l="1"/>
  <c r="AM907" i="4" s="1"/>
  <c r="I908" i="4"/>
  <c r="D908" i="4"/>
  <c r="H908" i="4"/>
  <c r="G908" i="4"/>
  <c r="C908" i="4"/>
  <c r="B908" i="4"/>
  <c r="J908" i="4"/>
  <c r="E908" i="4"/>
  <c r="F908" i="4"/>
  <c r="R908" i="4" l="1"/>
  <c r="S908" i="4" s="1"/>
  <c r="K908" i="4"/>
  <c r="L908" i="4" s="1"/>
  <c r="Y908" i="4"/>
  <c r="Z908" i="4" s="1"/>
  <c r="AF908" i="4"/>
  <c r="AG908" i="4" s="1"/>
  <c r="AJ908" i="4" s="1"/>
  <c r="AK908" i="4" s="1"/>
  <c r="AL908" i="4" s="1"/>
  <c r="M908" i="4"/>
  <c r="N908" i="4" s="1"/>
  <c r="T908" i="4"/>
  <c r="U908" i="4" s="1"/>
  <c r="AA908" i="4"/>
  <c r="AB908" i="4" s="1"/>
  <c r="AH908" i="4"/>
  <c r="AI908" i="4" s="1"/>
  <c r="O908" i="4" l="1"/>
  <c r="P908" i="4" s="1"/>
  <c r="AC908" i="4"/>
  <c r="AD908" i="4" s="1"/>
  <c r="AE908" i="4" s="1"/>
  <c r="V908" i="4"/>
  <c r="W908" i="4" s="1"/>
  <c r="X908" i="4" s="1"/>
  <c r="Q908" i="4" l="1"/>
  <c r="AM908" i="4" s="1"/>
  <c r="F909" i="4"/>
  <c r="D909" i="4"/>
  <c r="I909" i="4"/>
  <c r="J909" i="4"/>
  <c r="B909" i="4"/>
  <c r="C909" i="4"/>
  <c r="G909" i="4"/>
  <c r="E909" i="4"/>
  <c r="H909" i="4"/>
  <c r="K909" i="4" l="1"/>
  <c r="L909" i="4" s="1"/>
  <c r="R909" i="4"/>
  <c r="S909" i="4" s="1"/>
  <c r="V909" i="4" s="1"/>
  <c r="W909" i="4" s="1"/>
  <c r="X909" i="4" s="1"/>
  <c r="Y909" i="4"/>
  <c r="Z909" i="4" s="1"/>
  <c r="AF909" i="4"/>
  <c r="AG909" i="4" s="1"/>
  <c r="AA909" i="4"/>
  <c r="AB909" i="4" s="1"/>
  <c r="M909" i="4"/>
  <c r="N909" i="4" s="1"/>
  <c r="AH909" i="4"/>
  <c r="AI909" i="4" s="1"/>
  <c r="T909" i="4"/>
  <c r="U909" i="4" s="1"/>
  <c r="AJ909" i="4" l="1"/>
  <c r="AK909" i="4" s="1"/>
  <c r="AL909" i="4" s="1"/>
  <c r="AC909" i="4"/>
  <c r="AD909" i="4" s="1"/>
  <c r="AE909" i="4" s="1"/>
  <c r="O909" i="4"/>
  <c r="P909" i="4" s="1"/>
  <c r="Q909" i="4" l="1"/>
  <c r="AM909" i="4" s="1"/>
  <c r="C910" i="4"/>
  <c r="H910" i="4"/>
  <c r="G910" i="4"/>
  <c r="D910" i="4"/>
  <c r="B910" i="4"/>
  <c r="F910" i="4"/>
  <c r="E910" i="4"/>
  <c r="I910" i="4"/>
  <c r="J910" i="4"/>
  <c r="M910" i="4" l="1"/>
  <c r="N910" i="4" s="1"/>
  <c r="AH910" i="4"/>
  <c r="AI910" i="4" s="1"/>
  <c r="AA910" i="4"/>
  <c r="AB910" i="4" s="1"/>
  <c r="T910" i="4"/>
  <c r="U910" i="4" s="1"/>
  <c r="Y910" i="4"/>
  <c r="Z910" i="4" s="1"/>
  <c r="AC910" i="4" s="1"/>
  <c r="AD910" i="4" s="1"/>
  <c r="AE910" i="4" s="1"/>
  <c r="K910" i="4"/>
  <c r="L910" i="4" s="1"/>
  <c r="O910" i="4" s="1"/>
  <c r="P910" i="4" s="1"/>
  <c r="Q910" i="4" s="1"/>
  <c r="AF910" i="4"/>
  <c r="AG910" i="4" s="1"/>
  <c r="R910" i="4"/>
  <c r="S910" i="4" s="1"/>
  <c r="V910" i="4" l="1"/>
  <c r="W910" i="4" s="1"/>
  <c r="AJ910" i="4"/>
  <c r="AK910" i="4" s="1"/>
  <c r="AL910" i="4" s="1"/>
  <c r="E911" i="4"/>
  <c r="X910" i="4" l="1"/>
  <c r="AM910" i="4" s="1"/>
  <c r="I911" i="4"/>
  <c r="H911" i="4"/>
  <c r="B911" i="4"/>
  <c r="D911" i="4"/>
  <c r="G911" i="4"/>
  <c r="J911" i="4"/>
  <c r="C911" i="4"/>
  <c r="F911" i="4"/>
  <c r="AH911" i="4" s="1"/>
  <c r="AI911" i="4" s="1"/>
  <c r="T911" i="4" l="1"/>
  <c r="U911" i="4" s="1"/>
  <c r="M911" i="4"/>
  <c r="N911" i="4" s="1"/>
  <c r="AA911" i="4"/>
  <c r="AB911" i="4" s="1"/>
  <c r="Y911" i="4"/>
  <c r="Z911" i="4" s="1"/>
  <c r="AC911" i="4" s="1"/>
  <c r="AD911" i="4" s="1"/>
  <c r="AE911" i="4" s="1"/>
  <c r="K911" i="4"/>
  <c r="L911" i="4" s="1"/>
  <c r="AF911" i="4"/>
  <c r="AG911" i="4" s="1"/>
  <c r="AJ911" i="4" s="1"/>
  <c r="AK911" i="4" s="1"/>
  <c r="AL911" i="4" s="1"/>
  <c r="R911" i="4"/>
  <c r="S911" i="4" s="1"/>
  <c r="V911" i="4" s="1"/>
  <c r="W911" i="4" s="1"/>
  <c r="X911" i="4" s="1"/>
  <c r="O911" i="4" l="1"/>
  <c r="P911" i="4" s="1"/>
  <c r="Q911" i="4" l="1"/>
  <c r="AM911" i="4" s="1"/>
  <c r="E912" i="4"/>
  <c r="I912" i="4"/>
  <c r="G912" i="4"/>
  <c r="H912" i="4"/>
  <c r="C912" i="4"/>
  <c r="F912" i="4"/>
  <c r="D912" i="4"/>
  <c r="B912" i="4"/>
  <c r="J912" i="4"/>
  <c r="M912" i="4" l="1"/>
  <c r="N912" i="4" s="1"/>
  <c r="AH912" i="4"/>
  <c r="AI912" i="4" s="1"/>
  <c r="T912" i="4"/>
  <c r="U912" i="4" s="1"/>
  <c r="AA912" i="4"/>
  <c r="AB912" i="4" s="1"/>
  <c r="Y912" i="4"/>
  <c r="Z912" i="4" s="1"/>
  <c r="AC912" i="4" s="1"/>
  <c r="AD912" i="4" s="1"/>
  <c r="AE912" i="4" s="1"/>
  <c r="AF912" i="4"/>
  <c r="AG912" i="4" s="1"/>
  <c r="AJ912" i="4" s="1"/>
  <c r="AK912" i="4" s="1"/>
  <c r="AL912" i="4" s="1"/>
  <c r="K912" i="4"/>
  <c r="L912" i="4" s="1"/>
  <c r="O912" i="4" s="1"/>
  <c r="P912" i="4" s="1"/>
  <c r="Q912" i="4" s="1"/>
  <c r="AM912" i="4" s="1"/>
  <c r="AP102" i="4" s="1"/>
  <c r="R912" i="4"/>
  <c r="S912" i="4" s="1"/>
  <c r="V912" i="4" s="1"/>
  <c r="W912" i="4" s="1"/>
  <c r="X912" i="4" s="1"/>
  <c r="B913" i="4" l="1"/>
  <c r="I913" i="4"/>
  <c r="J913" i="4"/>
  <c r="E913" i="4"/>
  <c r="G913" i="4"/>
  <c r="C913" i="4"/>
  <c r="F913" i="4"/>
  <c r="H913" i="4"/>
  <c r="D913" i="4"/>
  <c r="AA913" i="4" l="1"/>
  <c r="AB913" i="4" s="1"/>
  <c r="M913" i="4"/>
  <c r="N913" i="4" s="1"/>
  <c r="AH913" i="4"/>
  <c r="AI913" i="4" s="1"/>
  <c r="T913" i="4"/>
  <c r="U913" i="4" s="1"/>
  <c r="K913" i="4"/>
  <c r="L913" i="4" s="1"/>
  <c r="AF913" i="4"/>
  <c r="AG913" i="4" s="1"/>
  <c r="AJ913" i="4" s="1"/>
  <c r="AK913" i="4" s="1"/>
  <c r="AL913" i="4" s="1"/>
  <c r="R913" i="4"/>
  <c r="S913" i="4" s="1"/>
  <c r="V913" i="4" s="1"/>
  <c r="W913" i="4" s="1"/>
  <c r="X913" i="4" s="1"/>
  <c r="Y913" i="4"/>
  <c r="Z913" i="4" s="1"/>
  <c r="O913" i="4" l="1"/>
  <c r="P913" i="4" s="1"/>
  <c r="AC913" i="4"/>
  <c r="AD913" i="4" s="1"/>
  <c r="AE913" i="4" s="1"/>
  <c r="Q913" i="4" l="1"/>
  <c r="AM913" i="4" s="1"/>
  <c r="H914" i="4"/>
  <c r="J914" i="4"/>
  <c r="F914" i="4"/>
  <c r="I914" i="4"/>
  <c r="C914" i="4"/>
  <c r="G914" i="4"/>
  <c r="E914" i="4"/>
  <c r="D914" i="4"/>
  <c r="B914" i="4"/>
  <c r="M914" i="4" l="1"/>
  <c r="N914" i="4" s="1"/>
  <c r="T914" i="4"/>
  <c r="U914" i="4" s="1"/>
  <c r="AH914" i="4"/>
  <c r="AI914" i="4" s="1"/>
  <c r="AA914" i="4"/>
  <c r="AB914" i="4" s="1"/>
  <c r="K914" i="4"/>
  <c r="L914" i="4" s="1"/>
  <c r="O914" i="4" s="1"/>
  <c r="P914" i="4" s="1"/>
  <c r="Q914" i="4" s="1"/>
  <c r="AF914" i="4"/>
  <c r="AG914" i="4" s="1"/>
  <c r="Y914" i="4"/>
  <c r="Z914" i="4" s="1"/>
  <c r="R914" i="4"/>
  <c r="S914" i="4" s="1"/>
  <c r="V914" i="4" s="1"/>
  <c r="W914" i="4" s="1"/>
  <c r="X914" i="4" s="1"/>
  <c r="AC914" i="4" l="1"/>
  <c r="AD914" i="4" s="1"/>
  <c r="AE914" i="4" s="1"/>
  <c r="AM914" i="4" s="1"/>
  <c r="AJ914" i="4"/>
  <c r="AK914" i="4" s="1"/>
  <c r="AL914" i="4" s="1"/>
  <c r="B915" i="4" l="1"/>
  <c r="C915" i="4"/>
  <c r="J915" i="4"/>
  <c r="D915" i="4"/>
  <c r="I915" i="4"/>
  <c r="E915" i="4"/>
  <c r="H915" i="4"/>
  <c r="G915" i="4"/>
  <c r="F915" i="4"/>
  <c r="AA915" i="4" l="1"/>
  <c r="AB915" i="4" s="1"/>
  <c r="T915" i="4"/>
  <c r="U915" i="4" s="1"/>
  <c r="AH915" i="4"/>
  <c r="AI915" i="4" s="1"/>
  <c r="M915" i="4"/>
  <c r="N915" i="4" s="1"/>
  <c r="R915" i="4"/>
  <c r="S915" i="4" s="1"/>
  <c r="V915" i="4" s="1"/>
  <c r="W915" i="4" s="1"/>
  <c r="X915" i="4" s="1"/>
  <c r="AF915" i="4"/>
  <c r="AG915" i="4" s="1"/>
  <c r="AJ915" i="4" s="1"/>
  <c r="AK915" i="4" s="1"/>
  <c r="AL915" i="4" s="1"/>
  <c r="K915" i="4"/>
  <c r="L915" i="4" s="1"/>
  <c r="O915" i="4" s="1"/>
  <c r="P915" i="4" s="1"/>
  <c r="Q915" i="4" s="1"/>
  <c r="Y915" i="4"/>
  <c r="Z915" i="4" s="1"/>
  <c r="AC915" i="4" s="1"/>
  <c r="AD915" i="4" s="1"/>
  <c r="AE915" i="4" s="1"/>
  <c r="AM915" i="4" l="1"/>
  <c r="D916" i="4"/>
  <c r="F916" i="4"/>
  <c r="E916" i="4"/>
  <c r="I916" i="4"/>
  <c r="C916" i="4"/>
  <c r="H916" i="4"/>
  <c r="B916" i="4"/>
  <c r="J916" i="4"/>
  <c r="G916" i="4"/>
  <c r="Y916" i="4" l="1"/>
  <c r="Z916" i="4" s="1"/>
  <c r="R916" i="4"/>
  <c r="S916" i="4" s="1"/>
  <c r="V916" i="4" s="1"/>
  <c r="W916" i="4" s="1"/>
  <c r="X916" i="4" s="1"/>
  <c r="AF916" i="4"/>
  <c r="AG916" i="4" s="1"/>
  <c r="AJ916" i="4" s="1"/>
  <c r="AK916" i="4" s="1"/>
  <c r="AL916" i="4" s="1"/>
  <c r="K916" i="4"/>
  <c r="L916" i="4" s="1"/>
  <c r="O916" i="4" s="1"/>
  <c r="P916" i="4" s="1"/>
  <c r="Q916" i="4" s="1"/>
  <c r="AA916" i="4"/>
  <c r="AB916" i="4" s="1"/>
  <c r="T916" i="4"/>
  <c r="U916" i="4" s="1"/>
  <c r="AH916" i="4"/>
  <c r="AI916" i="4" s="1"/>
  <c r="M916" i="4"/>
  <c r="N916" i="4" s="1"/>
  <c r="AC916" i="4" l="1"/>
  <c r="AD916" i="4" s="1"/>
  <c r="J917" i="4" s="1"/>
  <c r="E917" i="4"/>
  <c r="AE916" i="4" l="1"/>
  <c r="AM916" i="4" s="1"/>
  <c r="B917" i="4"/>
  <c r="I917" i="4"/>
  <c r="G917" i="4"/>
  <c r="H917" i="4"/>
  <c r="F917" i="4"/>
  <c r="C917" i="4"/>
  <c r="D917" i="4"/>
  <c r="M917" i="4" l="1"/>
  <c r="N917" i="4" s="1"/>
  <c r="T917" i="4"/>
  <c r="U917" i="4" s="1"/>
  <c r="K917" i="4"/>
  <c r="L917" i="4" s="1"/>
  <c r="Y917" i="4"/>
  <c r="Z917" i="4" s="1"/>
  <c r="R917" i="4"/>
  <c r="S917" i="4" s="1"/>
  <c r="AF917" i="4"/>
  <c r="AG917" i="4" s="1"/>
  <c r="AH917" i="4"/>
  <c r="AI917" i="4" s="1"/>
  <c r="AA917" i="4"/>
  <c r="AB917" i="4" s="1"/>
  <c r="AC917" i="4" l="1"/>
  <c r="AD917" i="4" s="1"/>
  <c r="AE917" i="4" s="1"/>
  <c r="AJ917" i="4"/>
  <c r="AK917" i="4" s="1"/>
  <c r="AL917" i="4" s="1"/>
  <c r="V917" i="4"/>
  <c r="W917" i="4" s="1"/>
  <c r="X917" i="4" s="1"/>
  <c r="O917" i="4"/>
  <c r="P917" i="4" s="1"/>
  <c r="Q917" i="4" l="1"/>
  <c r="AM917" i="4" s="1"/>
  <c r="J918" i="4"/>
  <c r="E918" i="4"/>
  <c r="D918" i="4"/>
  <c r="F918" i="4"/>
  <c r="C918" i="4"/>
  <c r="I918" i="4"/>
  <c r="B918" i="4"/>
  <c r="G918" i="4"/>
  <c r="H918" i="4"/>
  <c r="AF918" i="4" l="1"/>
  <c r="AG918" i="4" s="1"/>
  <c r="Y918" i="4"/>
  <c r="Z918" i="4" s="1"/>
  <c r="K918" i="4"/>
  <c r="L918" i="4" s="1"/>
  <c r="O918" i="4" s="1"/>
  <c r="P918" i="4" s="1"/>
  <c r="Q918" i="4" s="1"/>
  <c r="R918" i="4"/>
  <c r="S918" i="4" s="1"/>
  <c r="M918" i="4"/>
  <c r="N918" i="4" s="1"/>
  <c r="AA918" i="4"/>
  <c r="AB918" i="4" s="1"/>
  <c r="AH918" i="4"/>
  <c r="AI918" i="4" s="1"/>
  <c r="T918" i="4"/>
  <c r="U918" i="4" s="1"/>
  <c r="V918" i="4" l="1"/>
  <c r="W918" i="4" s="1"/>
  <c r="C919" i="4" s="1"/>
  <c r="AC918" i="4"/>
  <c r="AD918" i="4" s="1"/>
  <c r="AE918" i="4" s="1"/>
  <c r="F919" i="4"/>
  <c r="B919" i="4"/>
  <c r="G919" i="4"/>
  <c r="AJ918" i="4"/>
  <c r="AK918" i="4" s="1"/>
  <c r="AL918" i="4" s="1"/>
  <c r="R919" i="4" l="1"/>
  <c r="S919" i="4" s="1"/>
  <c r="X918" i="4"/>
  <c r="AM918" i="4" s="1"/>
  <c r="I919" i="4"/>
  <c r="D919" i="4"/>
  <c r="AF919" i="4" s="1"/>
  <c r="AG919" i="4" s="1"/>
  <c r="J919" i="4"/>
  <c r="H919" i="4"/>
  <c r="E919" i="4"/>
  <c r="Y919" i="4" l="1"/>
  <c r="Z919" i="4" s="1"/>
  <c r="AC919" i="4" s="1"/>
  <c r="AD919" i="4" s="1"/>
  <c r="AE919" i="4" s="1"/>
  <c r="K919" i="4"/>
  <c r="L919" i="4" s="1"/>
  <c r="V919" i="4"/>
  <c r="W919" i="4" s="1"/>
  <c r="X919" i="4" s="1"/>
  <c r="M919" i="4"/>
  <c r="N919" i="4" s="1"/>
  <c r="AA919" i="4"/>
  <c r="AB919" i="4" s="1"/>
  <c r="AH919" i="4"/>
  <c r="AI919" i="4" s="1"/>
  <c r="AJ919" i="4" s="1"/>
  <c r="AK919" i="4" s="1"/>
  <c r="AL919" i="4" s="1"/>
  <c r="T919" i="4"/>
  <c r="U919" i="4" s="1"/>
  <c r="O919" i="4" l="1"/>
  <c r="P919" i="4" s="1"/>
  <c r="Q919" i="4" l="1"/>
  <c r="AM919" i="4" s="1"/>
  <c r="C920" i="4"/>
  <c r="F920" i="4"/>
  <c r="G920" i="4"/>
  <c r="B920" i="4"/>
  <c r="H920" i="4"/>
  <c r="E920" i="4"/>
  <c r="D920" i="4"/>
  <c r="J920" i="4"/>
  <c r="I920" i="4"/>
  <c r="T920" i="4" l="1"/>
  <c r="U920" i="4" s="1"/>
  <c r="M920" i="4"/>
  <c r="N920" i="4" s="1"/>
  <c r="AH920" i="4"/>
  <c r="AI920" i="4" s="1"/>
  <c r="AA920" i="4"/>
  <c r="AB920" i="4" s="1"/>
  <c r="Y920" i="4"/>
  <c r="Z920" i="4" s="1"/>
  <c r="K920" i="4"/>
  <c r="L920" i="4" s="1"/>
  <c r="O920" i="4" s="1"/>
  <c r="P920" i="4" s="1"/>
  <c r="Q920" i="4" s="1"/>
  <c r="R920" i="4"/>
  <c r="S920" i="4" s="1"/>
  <c r="V920" i="4" s="1"/>
  <c r="W920" i="4" s="1"/>
  <c r="X920" i="4" s="1"/>
  <c r="AF920" i="4"/>
  <c r="AG920" i="4" s="1"/>
  <c r="AJ920" i="4" s="1"/>
  <c r="AK920" i="4" s="1"/>
  <c r="AL920" i="4" s="1"/>
  <c r="AC920" i="4" l="1"/>
  <c r="AD920" i="4" s="1"/>
  <c r="I921" i="4"/>
  <c r="AE920" i="4" l="1"/>
  <c r="AM920" i="4" s="1"/>
  <c r="G921" i="4"/>
  <c r="F921" i="4"/>
  <c r="J921" i="4"/>
  <c r="B921" i="4"/>
  <c r="E921" i="4"/>
  <c r="H921" i="4"/>
  <c r="C921" i="4"/>
  <c r="D921" i="4"/>
  <c r="AA921" i="4" l="1"/>
  <c r="AB921" i="4" s="1"/>
  <c r="T921" i="4"/>
  <c r="U921" i="4" s="1"/>
  <c r="M921" i="4"/>
  <c r="N921" i="4" s="1"/>
  <c r="AH921" i="4"/>
  <c r="AI921" i="4" s="1"/>
  <c r="K921" i="4"/>
  <c r="L921" i="4" s="1"/>
  <c r="O921" i="4" s="1"/>
  <c r="P921" i="4" s="1"/>
  <c r="R921" i="4"/>
  <c r="S921" i="4" s="1"/>
  <c r="V921" i="4" s="1"/>
  <c r="W921" i="4" s="1"/>
  <c r="X921" i="4" s="1"/>
  <c r="AF921" i="4"/>
  <c r="AG921" i="4" s="1"/>
  <c r="Y921" i="4"/>
  <c r="Z921" i="4" s="1"/>
  <c r="AC921" i="4" s="1"/>
  <c r="AD921" i="4" s="1"/>
  <c r="AE921" i="4" s="1"/>
  <c r="Q921" i="4" l="1"/>
  <c r="I922" i="4"/>
  <c r="D922" i="4"/>
  <c r="F922" i="4"/>
  <c r="J922" i="4"/>
  <c r="B922" i="4"/>
  <c r="E922" i="4"/>
  <c r="AJ921" i="4"/>
  <c r="AK921" i="4" s="1"/>
  <c r="AL921" i="4" s="1"/>
  <c r="H922" i="4"/>
  <c r="AA922" i="4" l="1"/>
  <c r="AB922" i="4" s="1"/>
  <c r="AH922" i="4"/>
  <c r="AI922" i="4" s="1"/>
  <c r="T922" i="4"/>
  <c r="U922" i="4" s="1"/>
  <c r="AM921" i="4"/>
  <c r="K922" i="4"/>
  <c r="L922" i="4" s="1"/>
  <c r="AF922" i="4"/>
  <c r="AG922" i="4" s="1"/>
  <c r="AJ922" i="4" s="1"/>
  <c r="AK922" i="4" s="1"/>
  <c r="AL922" i="4" s="1"/>
  <c r="Y922" i="4"/>
  <c r="Z922" i="4" s="1"/>
  <c r="AC922" i="4" s="1"/>
  <c r="AD922" i="4" s="1"/>
  <c r="AE922" i="4" s="1"/>
  <c r="G922" i="4"/>
  <c r="C922" i="4"/>
  <c r="R922" i="4" l="1"/>
  <c r="S922" i="4" s="1"/>
  <c r="V922" i="4" s="1"/>
  <c r="W922" i="4" s="1"/>
  <c r="X922" i="4" s="1"/>
  <c r="M922" i="4"/>
  <c r="N922" i="4" s="1"/>
  <c r="O922" i="4" s="1"/>
  <c r="P922" i="4" s="1"/>
  <c r="Q922" i="4" l="1"/>
  <c r="AM922" i="4" s="1"/>
  <c r="AP103" i="4" s="1"/>
  <c r="B923" i="4"/>
  <c r="E923" i="4"/>
  <c r="J923" i="4"/>
  <c r="F923" i="4"/>
  <c r="D923" i="4"/>
  <c r="I923" i="4"/>
  <c r="H923" i="4"/>
  <c r="C923" i="4"/>
  <c r="G923" i="4"/>
  <c r="Y923" i="4" l="1"/>
  <c r="Z923" i="4" s="1"/>
  <c r="AF923" i="4"/>
  <c r="AG923" i="4" s="1"/>
  <c r="AJ923" i="4" s="1"/>
  <c r="AK923" i="4" s="1"/>
  <c r="AL923" i="4" s="1"/>
  <c r="R923" i="4"/>
  <c r="S923" i="4" s="1"/>
  <c r="V923" i="4" s="1"/>
  <c r="W923" i="4" s="1"/>
  <c r="X923" i="4" s="1"/>
  <c r="K923" i="4"/>
  <c r="L923" i="4" s="1"/>
  <c r="AH923" i="4"/>
  <c r="AI923" i="4" s="1"/>
  <c r="T923" i="4"/>
  <c r="U923" i="4" s="1"/>
  <c r="AA923" i="4"/>
  <c r="AB923" i="4" s="1"/>
  <c r="M923" i="4"/>
  <c r="N923" i="4" s="1"/>
  <c r="AC923" i="4" l="1"/>
  <c r="AD923" i="4" s="1"/>
  <c r="AE923" i="4" s="1"/>
  <c r="O923" i="4"/>
  <c r="P923" i="4" s="1"/>
  <c r="Q923" i="4" l="1"/>
  <c r="AM923" i="4" s="1"/>
  <c r="F924" i="4"/>
  <c r="B924" i="4"/>
  <c r="C924" i="4"/>
  <c r="D924" i="4"/>
  <c r="E924" i="4"/>
  <c r="H924" i="4"/>
  <c r="I924" i="4"/>
  <c r="J924" i="4"/>
  <c r="G924" i="4"/>
  <c r="AA924" i="4" l="1"/>
  <c r="AB924" i="4" s="1"/>
  <c r="AH924" i="4"/>
  <c r="AI924" i="4" s="1"/>
  <c r="T924" i="4"/>
  <c r="U924" i="4" s="1"/>
  <c r="M924" i="4"/>
  <c r="N924" i="4" s="1"/>
  <c r="C925" i="4"/>
  <c r="Y924" i="4"/>
  <c r="Z924" i="4" s="1"/>
  <c r="AC924" i="4" s="1"/>
  <c r="AD924" i="4" s="1"/>
  <c r="AE924" i="4" s="1"/>
  <c r="AF924" i="4"/>
  <c r="AG924" i="4" s="1"/>
  <c r="AJ924" i="4" s="1"/>
  <c r="AK924" i="4" s="1"/>
  <c r="AL924" i="4" s="1"/>
  <c r="R924" i="4"/>
  <c r="S924" i="4" s="1"/>
  <c r="V924" i="4" s="1"/>
  <c r="W924" i="4" s="1"/>
  <c r="X924" i="4" s="1"/>
  <c r="K924" i="4"/>
  <c r="L924" i="4" s="1"/>
  <c r="O924" i="4" s="1"/>
  <c r="P924" i="4" s="1"/>
  <c r="Q924" i="4" s="1"/>
  <c r="G925" i="4"/>
  <c r="AM924" i="4" l="1"/>
  <c r="H925" i="4"/>
  <c r="D925" i="4"/>
  <c r="I925" i="4"/>
  <c r="B925" i="4"/>
  <c r="E925" i="4"/>
  <c r="J925" i="4"/>
  <c r="F925" i="4"/>
  <c r="AA925" i="4" l="1"/>
  <c r="AB925" i="4" s="1"/>
  <c r="AH925" i="4"/>
  <c r="AI925" i="4" s="1"/>
  <c r="T925" i="4"/>
  <c r="U925" i="4" s="1"/>
  <c r="M925" i="4"/>
  <c r="N925" i="4" s="1"/>
  <c r="K925" i="4"/>
  <c r="L925" i="4" s="1"/>
  <c r="O925" i="4" s="1"/>
  <c r="P925" i="4" s="1"/>
  <c r="R925" i="4"/>
  <c r="S925" i="4" s="1"/>
  <c r="V925" i="4" s="1"/>
  <c r="W925" i="4" s="1"/>
  <c r="X925" i="4" s="1"/>
  <c r="Y925" i="4"/>
  <c r="Z925" i="4" s="1"/>
  <c r="AF925" i="4"/>
  <c r="AG925" i="4" s="1"/>
  <c r="Q925" i="4" l="1"/>
  <c r="AJ925" i="4"/>
  <c r="AK925" i="4" s="1"/>
  <c r="AL925" i="4" s="1"/>
  <c r="AC925" i="4"/>
  <c r="AD925" i="4" s="1"/>
  <c r="H926" i="4" l="1"/>
  <c r="D926" i="4"/>
  <c r="F926" i="4"/>
  <c r="I926" i="4"/>
  <c r="C926" i="4"/>
  <c r="E926" i="4"/>
  <c r="G926" i="4"/>
  <c r="AE925" i="4"/>
  <c r="AM925" i="4" s="1"/>
  <c r="B926" i="4"/>
  <c r="J926" i="4"/>
  <c r="M926" i="4" l="1"/>
  <c r="N926" i="4" s="1"/>
  <c r="T926" i="4"/>
  <c r="U926" i="4" s="1"/>
  <c r="AH926" i="4"/>
  <c r="AI926" i="4" s="1"/>
  <c r="AA926" i="4"/>
  <c r="AB926" i="4" s="1"/>
  <c r="Y926" i="4"/>
  <c r="Z926" i="4" s="1"/>
  <c r="AC926" i="4" s="1"/>
  <c r="AD926" i="4" s="1"/>
  <c r="AE926" i="4" s="1"/>
  <c r="K926" i="4"/>
  <c r="L926" i="4" s="1"/>
  <c r="AF926" i="4"/>
  <c r="AG926" i="4" s="1"/>
  <c r="R926" i="4"/>
  <c r="S926" i="4" s="1"/>
  <c r="V926" i="4" s="1"/>
  <c r="W926" i="4" s="1"/>
  <c r="X926" i="4" s="1"/>
  <c r="AJ926" i="4" l="1"/>
  <c r="AK926" i="4" s="1"/>
  <c r="AL926" i="4" s="1"/>
  <c r="O926" i="4"/>
  <c r="P926" i="4" s="1"/>
  <c r="Q926" i="4" l="1"/>
  <c r="AM926" i="4" s="1"/>
  <c r="C927" i="4"/>
  <c r="E927" i="4"/>
  <c r="H927" i="4"/>
  <c r="F927" i="4"/>
  <c r="I927" i="4"/>
  <c r="J927" i="4"/>
  <c r="B927" i="4"/>
  <c r="G927" i="4"/>
  <c r="D927" i="4"/>
  <c r="R927" i="4" l="1"/>
  <c r="S927" i="4" s="1"/>
  <c r="AF927" i="4"/>
  <c r="AG927" i="4" s="1"/>
  <c r="AJ927" i="4" s="1"/>
  <c r="AK927" i="4" s="1"/>
  <c r="AL927" i="4" s="1"/>
  <c r="Y927" i="4"/>
  <c r="Z927" i="4" s="1"/>
  <c r="K927" i="4"/>
  <c r="L927" i="4" s="1"/>
  <c r="O927" i="4" s="1"/>
  <c r="P927" i="4" s="1"/>
  <c r="Q927" i="4" s="1"/>
  <c r="AH927" i="4"/>
  <c r="AI927" i="4" s="1"/>
  <c r="T927" i="4"/>
  <c r="U927" i="4" s="1"/>
  <c r="AA927" i="4"/>
  <c r="AB927" i="4" s="1"/>
  <c r="M927" i="4"/>
  <c r="N927" i="4" s="1"/>
  <c r="V927" i="4" l="1"/>
  <c r="W927" i="4" s="1"/>
  <c r="X927" i="4" s="1"/>
  <c r="AM927" i="4" s="1"/>
  <c r="F928" i="4"/>
  <c r="B928" i="4"/>
  <c r="AC927" i="4"/>
  <c r="AD927" i="4" s="1"/>
  <c r="AE927" i="4" s="1"/>
  <c r="E928" i="4" l="1"/>
  <c r="I928" i="4"/>
  <c r="D928" i="4"/>
  <c r="J928" i="4"/>
  <c r="G928" i="4"/>
  <c r="H928" i="4"/>
  <c r="C928" i="4"/>
  <c r="K928" i="4" s="1"/>
  <c r="L928" i="4" s="1"/>
  <c r="M928" i="4" l="1"/>
  <c r="N928" i="4" s="1"/>
  <c r="O928" i="4" s="1"/>
  <c r="P928" i="4" s="1"/>
  <c r="AH928" i="4"/>
  <c r="AI928" i="4" s="1"/>
  <c r="AA928" i="4"/>
  <c r="AB928" i="4" s="1"/>
  <c r="T928" i="4"/>
  <c r="U928" i="4" s="1"/>
  <c r="R928" i="4"/>
  <c r="S928" i="4" s="1"/>
  <c r="AF928" i="4"/>
  <c r="AG928" i="4" s="1"/>
  <c r="AJ928" i="4" s="1"/>
  <c r="AK928" i="4" s="1"/>
  <c r="AL928" i="4" s="1"/>
  <c r="Y928" i="4"/>
  <c r="Z928" i="4" s="1"/>
  <c r="AC928" i="4" s="1"/>
  <c r="AD928" i="4" s="1"/>
  <c r="AE928" i="4" s="1"/>
  <c r="Q928" i="4" l="1"/>
  <c r="C929" i="4"/>
  <c r="G929" i="4"/>
  <c r="D929" i="4"/>
  <c r="J929" i="4"/>
  <c r="E929" i="4"/>
  <c r="V928" i="4"/>
  <c r="W928" i="4" s="1"/>
  <c r="X928" i="4" s="1"/>
  <c r="AA929" i="4" l="1"/>
  <c r="AB929" i="4" s="1"/>
  <c r="AH929" i="4"/>
  <c r="AI929" i="4" s="1"/>
  <c r="M929" i="4"/>
  <c r="N929" i="4" s="1"/>
  <c r="T929" i="4"/>
  <c r="U929" i="4" s="1"/>
  <c r="F929" i="4"/>
  <c r="I929" i="4"/>
  <c r="B929" i="4"/>
  <c r="H929" i="4"/>
  <c r="AM928" i="4"/>
  <c r="K929" i="4" l="1"/>
  <c r="L929" i="4" s="1"/>
  <c r="O929" i="4" s="1"/>
  <c r="P929" i="4" s="1"/>
  <c r="R929" i="4"/>
  <c r="S929" i="4" s="1"/>
  <c r="V929" i="4" s="1"/>
  <c r="W929" i="4" s="1"/>
  <c r="X929" i="4" s="1"/>
  <c r="Y929" i="4"/>
  <c r="Z929" i="4" s="1"/>
  <c r="AC929" i="4" s="1"/>
  <c r="AD929" i="4" s="1"/>
  <c r="AE929" i="4" s="1"/>
  <c r="AF929" i="4"/>
  <c r="AG929" i="4" s="1"/>
  <c r="AJ929" i="4" s="1"/>
  <c r="AK929" i="4" s="1"/>
  <c r="AL929" i="4" s="1"/>
  <c r="F930" i="4"/>
  <c r="B930" i="4" l="1"/>
  <c r="Q929" i="4"/>
  <c r="AM929" i="4" s="1"/>
  <c r="J930" i="4"/>
  <c r="C930" i="4"/>
  <c r="D930" i="4"/>
  <c r="G930" i="4"/>
  <c r="E930" i="4"/>
  <c r="H930" i="4"/>
  <c r="I930" i="4"/>
  <c r="M930" i="4" l="1"/>
  <c r="N930" i="4" s="1"/>
  <c r="T930" i="4"/>
  <c r="U930" i="4" s="1"/>
  <c r="AH930" i="4"/>
  <c r="AI930" i="4" s="1"/>
  <c r="AA930" i="4"/>
  <c r="AB930" i="4" s="1"/>
  <c r="K930" i="4"/>
  <c r="L930" i="4" s="1"/>
  <c r="O930" i="4" s="1"/>
  <c r="P930" i="4" s="1"/>
  <c r="AF930" i="4"/>
  <c r="AG930" i="4" s="1"/>
  <c r="AJ930" i="4" s="1"/>
  <c r="AK930" i="4" s="1"/>
  <c r="AL930" i="4" s="1"/>
  <c r="R930" i="4"/>
  <c r="S930" i="4" s="1"/>
  <c r="V930" i="4" s="1"/>
  <c r="W930" i="4" s="1"/>
  <c r="X930" i="4" s="1"/>
  <c r="Y930" i="4"/>
  <c r="Z930" i="4" s="1"/>
  <c r="AC930" i="4" s="1"/>
  <c r="AD930" i="4" s="1"/>
  <c r="AE930" i="4" s="1"/>
  <c r="B931" i="4" l="1"/>
  <c r="J931" i="4"/>
  <c r="C931" i="4"/>
  <c r="G931" i="4"/>
  <c r="Q930" i="4"/>
  <c r="AM930" i="4" s="1"/>
  <c r="F931" i="4"/>
  <c r="H931" i="4"/>
  <c r="E931" i="4"/>
  <c r="D931" i="4"/>
  <c r="I931" i="4"/>
  <c r="AA931" i="4" l="1"/>
  <c r="AB931" i="4" s="1"/>
  <c r="AH931" i="4"/>
  <c r="AI931" i="4" s="1"/>
  <c r="T931" i="4"/>
  <c r="U931" i="4" s="1"/>
  <c r="M931" i="4"/>
  <c r="N931" i="4" s="1"/>
  <c r="Y931" i="4"/>
  <c r="Z931" i="4" s="1"/>
  <c r="AC931" i="4" s="1"/>
  <c r="AD931" i="4" s="1"/>
  <c r="AE931" i="4" s="1"/>
  <c r="K931" i="4"/>
  <c r="L931" i="4" s="1"/>
  <c r="O931" i="4" s="1"/>
  <c r="P931" i="4" s="1"/>
  <c r="Q931" i="4" s="1"/>
  <c r="AM931" i="4" s="1"/>
  <c r="AF931" i="4"/>
  <c r="AG931" i="4" s="1"/>
  <c r="AJ931" i="4" s="1"/>
  <c r="AK931" i="4" s="1"/>
  <c r="AL931" i="4" s="1"/>
  <c r="R931" i="4"/>
  <c r="S931" i="4" s="1"/>
  <c r="V931" i="4" s="1"/>
  <c r="W931" i="4" s="1"/>
  <c r="X931" i="4" s="1"/>
  <c r="J932" i="4" l="1"/>
  <c r="B932" i="4"/>
  <c r="C932" i="4"/>
  <c r="E932" i="4"/>
  <c r="D932" i="4"/>
  <c r="I932" i="4"/>
  <c r="G932" i="4"/>
  <c r="H932" i="4"/>
  <c r="F932" i="4"/>
  <c r="Y932" i="4" l="1"/>
  <c r="Z932" i="4" s="1"/>
  <c r="AF932" i="4"/>
  <c r="AG932" i="4" s="1"/>
  <c r="AJ932" i="4" s="1"/>
  <c r="AK932" i="4" s="1"/>
  <c r="AL932" i="4" s="1"/>
  <c r="K932" i="4"/>
  <c r="L932" i="4" s="1"/>
  <c r="R932" i="4"/>
  <c r="S932" i="4" s="1"/>
  <c r="AH932" i="4"/>
  <c r="AI932" i="4" s="1"/>
  <c r="M932" i="4"/>
  <c r="N932" i="4" s="1"/>
  <c r="AA932" i="4"/>
  <c r="AB932" i="4" s="1"/>
  <c r="T932" i="4"/>
  <c r="U932" i="4" s="1"/>
  <c r="AC932" i="4" l="1"/>
  <c r="AD932" i="4" s="1"/>
  <c r="AE932" i="4" s="1"/>
  <c r="V932" i="4"/>
  <c r="W932" i="4" s="1"/>
  <c r="X932" i="4" s="1"/>
  <c r="O932" i="4"/>
  <c r="P932" i="4" s="1"/>
  <c r="Q932" i="4" l="1"/>
  <c r="AM932" i="4" s="1"/>
  <c r="AP104" i="4" s="1"/>
  <c r="I933" i="4"/>
  <c r="J933" i="4"/>
  <c r="H933" i="4"/>
  <c r="G933" i="4"/>
  <c r="D933" i="4"/>
  <c r="C933" i="4"/>
  <c r="E933" i="4"/>
  <c r="B933" i="4"/>
  <c r="F933" i="4"/>
  <c r="AA933" i="4" l="1"/>
  <c r="AB933" i="4" s="1"/>
  <c r="AH933" i="4"/>
  <c r="AI933" i="4" s="1"/>
  <c r="M933" i="4"/>
  <c r="N933" i="4" s="1"/>
  <c r="T933" i="4"/>
  <c r="U933" i="4" s="1"/>
  <c r="K933" i="4"/>
  <c r="L933" i="4" s="1"/>
  <c r="O933" i="4" s="1"/>
  <c r="P933" i="4" s="1"/>
  <c r="Q933" i="4" s="1"/>
  <c r="R933" i="4"/>
  <c r="S933" i="4" s="1"/>
  <c r="V933" i="4" s="1"/>
  <c r="W933" i="4" s="1"/>
  <c r="X933" i="4" s="1"/>
  <c r="AF933" i="4"/>
  <c r="AG933" i="4" s="1"/>
  <c r="AJ933" i="4" s="1"/>
  <c r="AK933" i="4" s="1"/>
  <c r="AL933" i="4" s="1"/>
  <c r="Y933" i="4"/>
  <c r="Z933" i="4" s="1"/>
  <c r="B934" i="4" l="1"/>
  <c r="D934" i="4"/>
  <c r="C934" i="4"/>
  <c r="AM933" i="4"/>
  <c r="J934" i="4"/>
  <c r="G934" i="4"/>
  <c r="I934" i="4"/>
  <c r="AC933" i="4"/>
  <c r="AD933" i="4" s="1"/>
  <c r="AE933" i="4" s="1"/>
  <c r="F934" i="4"/>
  <c r="E934" i="4"/>
  <c r="M934" i="4" l="1"/>
  <c r="N934" i="4" s="1"/>
  <c r="T934" i="4"/>
  <c r="U934" i="4" s="1"/>
  <c r="AH934" i="4"/>
  <c r="AI934" i="4" s="1"/>
  <c r="AA934" i="4"/>
  <c r="AB934" i="4" s="1"/>
  <c r="R934" i="4"/>
  <c r="S934" i="4" s="1"/>
  <c r="Y934" i="4"/>
  <c r="Z934" i="4" s="1"/>
  <c r="AC934" i="4" s="1"/>
  <c r="AD934" i="4" s="1"/>
  <c r="AE934" i="4" s="1"/>
  <c r="K934" i="4"/>
  <c r="L934" i="4" s="1"/>
  <c r="O934" i="4" s="1"/>
  <c r="P934" i="4" s="1"/>
  <c r="Q934" i="4" s="1"/>
  <c r="AF934" i="4"/>
  <c r="AG934" i="4" s="1"/>
  <c r="AJ934" i="4" s="1"/>
  <c r="AK934" i="4" s="1"/>
  <c r="AL934" i="4" s="1"/>
  <c r="H934" i="4"/>
  <c r="V934" i="4" l="1"/>
  <c r="W934" i="4" s="1"/>
  <c r="C935" i="4"/>
  <c r="F935" i="4"/>
  <c r="G935" i="4"/>
  <c r="I935" i="4"/>
  <c r="H935" i="4"/>
  <c r="X934" i="4" l="1"/>
  <c r="AM934" i="4" s="1"/>
  <c r="B935" i="4"/>
  <c r="J935" i="4"/>
  <c r="D935" i="4"/>
  <c r="E935" i="4"/>
  <c r="Y935" i="4" l="1"/>
  <c r="Z935" i="4" s="1"/>
  <c r="K935" i="4"/>
  <c r="L935" i="4" s="1"/>
  <c r="O935" i="4" s="1"/>
  <c r="P935" i="4" s="1"/>
  <c r="R935" i="4"/>
  <c r="S935" i="4" s="1"/>
  <c r="AF935" i="4"/>
  <c r="AG935" i="4" s="1"/>
  <c r="AJ935" i="4" s="1"/>
  <c r="AK935" i="4" s="1"/>
  <c r="AL935" i="4" s="1"/>
  <c r="T935" i="4"/>
  <c r="U935" i="4" s="1"/>
  <c r="M935" i="4"/>
  <c r="N935" i="4" s="1"/>
  <c r="AH935" i="4"/>
  <c r="AI935" i="4" s="1"/>
  <c r="AA935" i="4"/>
  <c r="AB935" i="4" s="1"/>
  <c r="V935" i="4" l="1"/>
  <c r="W935" i="4" s="1"/>
  <c r="X935" i="4" s="1"/>
  <c r="Q935" i="4"/>
  <c r="AM935" i="4" s="1"/>
  <c r="H936" i="4"/>
  <c r="C936" i="4"/>
  <c r="I936" i="4"/>
  <c r="F936" i="4"/>
  <c r="G936" i="4"/>
  <c r="AC935" i="4"/>
  <c r="AD935" i="4" s="1"/>
  <c r="AE935" i="4" s="1"/>
  <c r="E936" i="4"/>
  <c r="B936" i="4"/>
  <c r="D936" i="4"/>
  <c r="Y936" i="4" l="1"/>
  <c r="Z936" i="4" s="1"/>
  <c r="AF936" i="4"/>
  <c r="AG936" i="4" s="1"/>
  <c r="R936" i="4"/>
  <c r="S936" i="4" s="1"/>
  <c r="K936" i="4"/>
  <c r="L936" i="4" s="1"/>
  <c r="AA936" i="4"/>
  <c r="AB936" i="4" s="1"/>
  <c r="M936" i="4"/>
  <c r="N936" i="4" s="1"/>
  <c r="AH936" i="4"/>
  <c r="AI936" i="4" s="1"/>
  <c r="T936" i="4"/>
  <c r="U936" i="4" s="1"/>
  <c r="J936" i="4"/>
  <c r="AC936" i="4" l="1"/>
  <c r="AD936" i="4" s="1"/>
  <c r="AE936" i="4" s="1"/>
  <c r="O936" i="4"/>
  <c r="P936" i="4" s="1"/>
  <c r="V936" i="4"/>
  <c r="W936" i="4" s="1"/>
  <c r="X936" i="4" s="1"/>
  <c r="AJ936" i="4"/>
  <c r="AK936" i="4" s="1"/>
  <c r="AL936" i="4" s="1"/>
  <c r="J937" i="4" l="1"/>
  <c r="Q936" i="4"/>
  <c r="AM936" i="4" s="1"/>
  <c r="F937" i="4"/>
  <c r="H937" i="4"/>
  <c r="E937" i="4"/>
  <c r="G937" i="4"/>
  <c r="C937" i="4"/>
  <c r="I937" i="4"/>
  <c r="D937" i="4"/>
  <c r="B937" i="4"/>
  <c r="AA937" i="4" l="1"/>
  <c r="AB937" i="4" s="1"/>
  <c r="AH937" i="4"/>
  <c r="AI937" i="4" s="1"/>
  <c r="M937" i="4"/>
  <c r="N937" i="4" s="1"/>
  <c r="T937" i="4"/>
  <c r="U937" i="4" s="1"/>
  <c r="K937" i="4"/>
  <c r="L937" i="4" s="1"/>
  <c r="R937" i="4"/>
  <c r="S937" i="4" s="1"/>
  <c r="AF937" i="4"/>
  <c r="AG937" i="4" s="1"/>
  <c r="Y937" i="4"/>
  <c r="Z937" i="4" s="1"/>
  <c r="AC937" i="4" s="1"/>
  <c r="AD937" i="4" s="1"/>
  <c r="AE937" i="4" s="1"/>
  <c r="AJ937" i="4" l="1"/>
  <c r="AK937" i="4" s="1"/>
  <c r="AL937" i="4" s="1"/>
  <c r="V937" i="4"/>
  <c r="W937" i="4" s="1"/>
  <c r="X937" i="4" s="1"/>
  <c r="O937" i="4"/>
  <c r="P937" i="4" s="1"/>
  <c r="Q937" i="4" l="1"/>
  <c r="AM937" i="4" s="1"/>
  <c r="I938" i="4"/>
  <c r="J938" i="4"/>
  <c r="E938" i="4"/>
  <c r="B938" i="4"/>
  <c r="C938" i="4"/>
  <c r="H938" i="4"/>
  <c r="F938" i="4"/>
  <c r="D938" i="4"/>
  <c r="G938" i="4"/>
  <c r="R938" i="4" l="1"/>
  <c r="S938" i="4" s="1"/>
  <c r="Y938" i="4"/>
  <c r="Z938" i="4" s="1"/>
  <c r="AF938" i="4"/>
  <c r="AG938" i="4" s="1"/>
  <c r="AJ938" i="4" s="1"/>
  <c r="AK938" i="4" s="1"/>
  <c r="AL938" i="4" s="1"/>
  <c r="K938" i="4"/>
  <c r="L938" i="4" s="1"/>
  <c r="O938" i="4" s="1"/>
  <c r="P938" i="4" s="1"/>
  <c r="Q938" i="4" s="1"/>
  <c r="M938" i="4"/>
  <c r="N938" i="4" s="1"/>
  <c r="T938" i="4"/>
  <c r="U938" i="4" s="1"/>
  <c r="AH938" i="4"/>
  <c r="AI938" i="4" s="1"/>
  <c r="AA938" i="4"/>
  <c r="AB938" i="4" s="1"/>
  <c r="AC938" i="4" l="1"/>
  <c r="AD938" i="4" s="1"/>
  <c r="AE938" i="4" s="1"/>
  <c r="V938" i="4"/>
  <c r="W938" i="4" s="1"/>
  <c r="H939" i="4"/>
  <c r="D939" i="4"/>
  <c r="C939" i="4"/>
  <c r="F939" i="4"/>
  <c r="X938" i="4" l="1"/>
  <c r="AM938" i="4" s="1"/>
  <c r="E939" i="4"/>
  <c r="G939" i="4"/>
  <c r="I939" i="4"/>
  <c r="J939" i="4"/>
  <c r="B939" i="4"/>
  <c r="T939" i="4" l="1"/>
  <c r="U939" i="4" s="1"/>
  <c r="AA939" i="4"/>
  <c r="AB939" i="4" s="1"/>
  <c r="M939" i="4"/>
  <c r="N939" i="4" s="1"/>
  <c r="AH939" i="4"/>
  <c r="AI939" i="4" s="1"/>
  <c r="AF939" i="4"/>
  <c r="AG939" i="4" s="1"/>
  <c r="Y939" i="4"/>
  <c r="Z939" i="4" s="1"/>
  <c r="R939" i="4"/>
  <c r="S939" i="4" s="1"/>
  <c r="V939" i="4" s="1"/>
  <c r="W939" i="4" s="1"/>
  <c r="X939" i="4" s="1"/>
  <c r="K939" i="4"/>
  <c r="L939" i="4" s="1"/>
  <c r="O939" i="4" l="1"/>
  <c r="P939" i="4" s="1"/>
  <c r="AC939" i="4"/>
  <c r="AD939" i="4" s="1"/>
  <c r="AE939" i="4" s="1"/>
  <c r="AJ939" i="4"/>
  <c r="AK939" i="4" s="1"/>
  <c r="AL939" i="4" s="1"/>
  <c r="Q939" i="4" l="1"/>
  <c r="AM939" i="4" s="1"/>
  <c r="C940" i="4"/>
  <c r="F940" i="4"/>
  <c r="D940" i="4"/>
  <c r="H940" i="4"/>
  <c r="G940" i="4"/>
  <c r="I940" i="4"/>
  <c r="J940" i="4"/>
  <c r="B940" i="4"/>
  <c r="E940" i="4"/>
  <c r="AA940" i="4" l="1"/>
  <c r="AB940" i="4" s="1"/>
  <c r="M940" i="4"/>
  <c r="N940" i="4" s="1"/>
  <c r="AH940" i="4"/>
  <c r="AI940" i="4" s="1"/>
  <c r="T940" i="4"/>
  <c r="U940" i="4" s="1"/>
  <c r="Y940" i="4"/>
  <c r="Z940" i="4" s="1"/>
  <c r="AF940" i="4"/>
  <c r="AG940" i="4" s="1"/>
  <c r="AJ940" i="4" s="1"/>
  <c r="AK940" i="4" s="1"/>
  <c r="AL940" i="4" s="1"/>
  <c r="K940" i="4"/>
  <c r="L940" i="4" s="1"/>
  <c r="O940" i="4" s="1"/>
  <c r="P940" i="4" s="1"/>
  <c r="Q940" i="4" s="1"/>
  <c r="R940" i="4"/>
  <c r="S940" i="4" s="1"/>
  <c r="AC940" i="4" l="1"/>
  <c r="AD940" i="4" s="1"/>
  <c r="AE940" i="4" s="1"/>
  <c r="D941" i="4"/>
  <c r="C941" i="4"/>
  <c r="I941" i="4"/>
  <c r="H941" i="4"/>
  <c r="V940" i="4"/>
  <c r="W940" i="4" s="1"/>
  <c r="X940" i="4" s="1"/>
  <c r="AM940" i="4" s="1"/>
  <c r="G941" i="4"/>
  <c r="J941" i="4" l="1"/>
  <c r="F941" i="4"/>
  <c r="E941" i="4"/>
  <c r="B941" i="4"/>
  <c r="AA941" i="4" l="1"/>
  <c r="AB941" i="4" s="1"/>
  <c r="AH941" i="4"/>
  <c r="AI941" i="4" s="1"/>
  <c r="M941" i="4"/>
  <c r="N941" i="4" s="1"/>
  <c r="T941" i="4"/>
  <c r="U941" i="4" s="1"/>
  <c r="K941" i="4"/>
  <c r="L941" i="4" s="1"/>
  <c r="O941" i="4" s="1"/>
  <c r="P941" i="4" s="1"/>
  <c r="R941" i="4"/>
  <c r="S941" i="4" s="1"/>
  <c r="AF941" i="4"/>
  <c r="AG941" i="4" s="1"/>
  <c r="AJ941" i="4" s="1"/>
  <c r="AK941" i="4" s="1"/>
  <c r="AL941" i="4" s="1"/>
  <c r="Y941" i="4"/>
  <c r="Z941" i="4" s="1"/>
  <c r="AC941" i="4" s="1"/>
  <c r="AD941" i="4" s="1"/>
  <c r="AE941" i="4" s="1"/>
  <c r="Q941" i="4" l="1"/>
  <c r="H942" i="4"/>
  <c r="I942" i="4"/>
  <c r="C942" i="4"/>
  <c r="D942" i="4"/>
  <c r="G942" i="4"/>
  <c r="J942" i="4"/>
  <c r="V941" i="4"/>
  <c r="W941" i="4" s="1"/>
  <c r="X941" i="4" s="1"/>
  <c r="E942" i="4"/>
  <c r="AM941" i="4" l="1"/>
  <c r="B942" i="4"/>
  <c r="F942" i="4"/>
  <c r="T942" i="4" s="1"/>
  <c r="U942" i="4" s="1"/>
  <c r="AA942" i="4" l="1"/>
  <c r="AB942" i="4" s="1"/>
  <c r="M942" i="4"/>
  <c r="N942" i="4" s="1"/>
  <c r="R942" i="4"/>
  <c r="S942" i="4" s="1"/>
  <c r="V942" i="4" s="1"/>
  <c r="W942" i="4" s="1"/>
  <c r="X942" i="4" s="1"/>
  <c r="AF942" i="4"/>
  <c r="AG942" i="4" s="1"/>
  <c r="AJ942" i="4" s="1"/>
  <c r="AK942" i="4" s="1"/>
  <c r="AL942" i="4" s="1"/>
  <c r="K942" i="4"/>
  <c r="L942" i="4" s="1"/>
  <c r="O942" i="4" s="1"/>
  <c r="P942" i="4" s="1"/>
  <c r="Y942" i="4"/>
  <c r="Z942" i="4" s="1"/>
  <c r="AC942" i="4" s="1"/>
  <c r="AD942" i="4" s="1"/>
  <c r="AE942" i="4" s="1"/>
  <c r="AH942" i="4"/>
  <c r="AI942" i="4" s="1"/>
  <c r="Q942" i="4" l="1"/>
  <c r="AM942" i="4" s="1"/>
  <c r="AP105" i="4" s="1"/>
  <c r="J943" i="4"/>
  <c r="E943" i="4"/>
  <c r="D943" i="4"/>
  <c r="I943" i="4"/>
  <c r="H943" i="4"/>
  <c r="G943" i="4"/>
  <c r="C943" i="4"/>
  <c r="B943" i="4"/>
  <c r="F943" i="4"/>
  <c r="T943" i="4" l="1"/>
  <c r="U943" i="4" s="1"/>
  <c r="AH943" i="4"/>
  <c r="AI943" i="4" s="1"/>
  <c r="AA943" i="4"/>
  <c r="AB943" i="4" s="1"/>
  <c r="M943" i="4"/>
  <c r="N943" i="4" s="1"/>
  <c r="AF943" i="4"/>
  <c r="AG943" i="4" s="1"/>
  <c r="AJ943" i="4" s="1"/>
  <c r="AK943" i="4" s="1"/>
  <c r="AL943" i="4" s="1"/>
  <c r="K943" i="4"/>
  <c r="L943" i="4" s="1"/>
  <c r="O943" i="4" s="1"/>
  <c r="P943" i="4" s="1"/>
  <c r="Q943" i="4" s="1"/>
  <c r="Y943" i="4"/>
  <c r="Z943" i="4" s="1"/>
  <c r="AC943" i="4" s="1"/>
  <c r="AD943" i="4" s="1"/>
  <c r="AE943" i="4" s="1"/>
  <c r="R943" i="4"/>
  <c r="S943" i="4" s="1"/>
  <c r="B944" i="4" l="1"/>
  <c r="J944" i="4"/>
  <c r="I944" i="4"/>
  <c r="F944" i="4"/>
  <c r="H944" i="4"/>
  <c r="D944" i="4"/>
  <c r="V943" i="4"/>
  <c r="W943" i="4" s="1"/>
  <c r="X943" i="4" s="1"/>
  <c r="AM943" i="4" s="1"/>
  <c r="C944" i="4"/>
  <c r="R944" i="4" l="1"/>
  <c r="S944" i="4" s="1"/>
  <c r="Y944" i="4"/>
  <c r="Z944" i="4" s="1"/>
  <c r="AF944" i="4"/>
  <c r="AG944" i="4" s="1"/>
  <c r="K944" i="4"/>
  <c r="L944" i="4" s="1"/>
  <c r="E944" i="4"/>
  <c r="G944" i="4"/>
  <c r="AH944" i="4" l="1"/>
  <c r="AI944" i="4" s="1"/>
  <c r="AJ944" i="4" s="1"/>
  <c r="AK944" i="4" s="1"/>
  <c r="AL944" i="4" s="1"/>
  <c r="AA944" i="4"/>
  <c r="AB944" i="4" s="1"/>
  <c r="AC944" i="4" s="1"/>
  <c r="AD944" i="4" s="1"/>
  <c r="AE944" i="4" s="1"/>
  <c r="M944" i="4"/>
  <c r="N944" i="4" s="1"/>
  <c r="T944" i="4"/>
  <c r="U944" i="4" s="1"/>
  <c r="V944" i="4" s="1"/>
  <c r="W944" i="4" s="1"/>
  <c r="X944" i="4" s="1"/>
  <c r="O944" i="4"/>
  <c r="P944" i="4" s="1"/>
  <c r="Q944" i="4" l="1"/>
  <c r="AM944" i="4" s="1"/>
  <c r="D945" i="4"/>
  <c r="H945" i="4"/>
  <c r="I945" i="4"/>
  <c r="J945" i="4"/>
  <c r="C945" i="4"/>
  <c r="F945" i="4"/>
  <c r="B945" i="4"/>
  <c r="E945" i="4"/>
  <c r="G945" i="4"/>
  <c r="Y945" i="4" l="1"/>
  <c r="Z945" i="4" s="1"/>
  <c r="AF945" i="4"/>
  <c r="AG945" i="4" s="1"/>
  <c r="R945" i="4"/>
  <c r="S945" i="4" s="1"/>
  <c r="K945" i="4"/>
  <c r="L945" i="4" s="1"/>
  <c r="O945" i="4" s="1"/>
  <c r="P945" i="4" s="1"/>
  <c r="Q945" i="4" s="1"/>
  <c r="T945" i="4"/>
  <c r="U945" i="4" s="1"/>
  <c r="AH945" i="4"/>
  <c r="AI945" i="4" s="1"/>
  <c r="AA945" i="4"/>
  <c r="AB945" i="4" s="1"/>
  <c r="M945" i="4"/>
  <c r="N945" i="4" s="1"/>
  <c r="V945" i="4" l="1"/>
  <c r="W945" i="4" s="1"/>
  <c r="AJ945" i="4"/>
  <c r="AK945" i="4" s="1"/>
  <c r="AL945" i="4" s="1"/>
  <c r="AC945" i="4"/>
  <c r="AD945" i="4" s="1"/>
  <c r="AE945" i="4" s="1"/>
  <c r="H946" i="4" l="1"/>
  <c r="D946" i="4"/>
  <c r="X945" i="4"/>
  <c r="AM945" i="4" s="1"/>
  <c r="I946" i="4"/>
  <c r="E946" i="4"/>
  <c r="F946" i="4"/>
  <c r="J946" i="4"/>
  <c r="C946" i="4"/>
  <c r="B946" i="4"/>
  <c r="G946" i="4"/>
  <c r="AH946" i="4" l="1"/>
  <c r="AI946" i="4" s="1"/>
  <c r="AA946" i="4"/>
  <c r="AB946" i="4" s="1"/>
  <c r="T946" i="4"/>
  <c r="U946" i="4" s="1"/>
  <c r="M946" i="4"/>
  <c r="N946" i="4" s="1"/>
  <c r="Y946" i="4"/>
  <c r="Z946" i="4" s="1"/>
  <c r="AF946" i="4"/>
  <c r="AG946" i="4" s="1"/>
  <c r="R946" i="4"/>
  <c r="S946" i="4" s="1"/>
  <c r="V946" i="4" s="1"/>
  <c r="W946" i="4" s="1"/>
  <c r="X946" i="4" s="1"/>
  <c r="K946" i="4"/>
  <c r="L946" i="4" s="1"/>
  <c r="O946" i="4" s="1"/>
  <c r="P946" i="4" s="1"/>
  <c r="Q946" i="4" s="1"/>
  <c r="AJ946" i="4" l="1"/>
  <c r="AK946" i="4" s="1"/>
  <c r="AL946" i="4" s="1"/>
  <c r="AC946" i="4"/>
  <c r="AD946" i="4" s="1"/>
  <c r="AE946" i="4" s="1"/>
  <c r="AM946" i="4" s="1"/>
  <c r="C947" i="4" l="1"/>
  <c r="D947" i="4"/>
  <c r="J947" i="4"/>
  <c r="I947" i="4"/>
  <c r="H947" i="4"/>
  <c r="F947" i="4"/>
  <c r="B947" i="4"/>
  <c r="G947" i="4"/>
  <c r="E947" i="4"/>
  <c r="AF947" i="4" l="1"/>
  <c r="AG947" i="4" s="1"/>
  <c r="K947" i="4"/>
  <c r="L947" i="4" s="1"/>
  <c r="Y947" i="4"/>
  <c r="Z947" i="4" s="1"/>
  <c r="R947" i="4"/>
  <c r="S947" i="4" s="1"/>
  <c r="V947" i="4" s="1"/>
  <c r="W947" i="4" s="1"/>
  <c r="X947" i="4" s="1"/>
  <c r="M947" i="4"/>
  <c r="N947" i="4" s="1"/>
  <c r="T947" i="4"/>
  <c r="U947" i="4" s="1"/>
  <c r="AH947" i="4"/>
  <c r="AI947" i="4" s="1"/>
  <c r="AA947" i="4"/>
  <c r="AB947" i="4" s="1"/>
  <c r="AC947" i="4" l="1"/>
  <c r="AD947" i="4" s="1"/>
  <c r="AE947" i="4" s="1"/>
  <c r="O947" i="4"/>
  <c r="P947" i="4" s="1"/>
  <c r="AJ947" i="4"/>
  <c r="AK947" i="4" s="1"/>
  <c r="AL947" i="4" s="1"/>
  <c r="Q947" i="4" l="1"/>
  <c r="AM947" i="4" s="1"/>
  <c r="G948" i="4"/>
  <c r="D948" i="4"/>
  <c r="C948" i="4"/>
  <c r="B948" i="4"/>
  <c r="F948" i="4"/>
  <c r="I948" i="4"/>
  <c r="E948" i="4"/>
  <c r="J948" i="4"/>
  <c r="H948" i="4"/>
  <c r="AH948" i="4" l="1"/>
  <c r="AI948" i="4" s="1"/>
  <c r="M948" i="4"/>
  <c r="N948" i="4" s="1"/>
  <c r="T948" i="4"/>
  <c r="U948" i="4" s="1"/>
  <c r="AA948" i="4"/>
  <c r="AB948" i="4" s="1"/>
  <c r="R948" i="4"/>
  <c r="S948" i="4" s="1"/>
  <c r="Y948" i="4"/>
  <c r="Z948" i="4" s="1"/>
  <c r="K948" i="4"/>
  <c r="L948" i="4" s="1"/>
  <c r="O948" i="4" s="1"/>
  <c r="P948" i="4" s="1"/>
  <c r="Q948" i="4" s="1"/>
  <c r="AF948" i="4"/>
  <c r="AG948" i="4" s="1"/>
  <c r="AJ948" i="4" s="1"/>
  <c r="AK948" i="4" s="1"/>
  <c r="AL948" i="4" s="1"/>
  <c r="AC948" i="4" l="1"/>
  <c r="AD948" i="4" s="1"/>
  <c r="AE948" i="4" s="1"/>
  <c r="AM948" i="4" s="1"/>
  <c r="B949" i="4"/>
  <c r="V948" i="4"/>
  <c r="W948" i="4" s="1"/>
  <c r="X948" i="4" s="1"/>
  <c r="F949" i="4" l="1"/>
  <c r="H949" i="4"/>
  <c r="R949" i="4"/>
  <c r="S949" i="4" s="1"/>
  <c r="G949" i="4"/>
  <c r="E949" i="4"/>
  <c r="C949" i="4"/>
  <c r="Y949" i="4" s="1"/>
  <c r="Z949" i="4" s="1"/>
  <c r="J949" i="4"/>
  <c r="D949" i="4"/>
  <c r="K949" i="4" s="1"/>
  <c r="L949" i="4" s="1"/>
  <c r="I949" i="4"/>
  <c r="AF949" i="4" l="1"/>
  <c r="AG949" i="4" s="1"/>
  <c r="AJ949" i="4" s="1"/>
  <c r="AK949" i="4" s="1"/>
  <c r="AL949" i="4" s="1"/>
  <c r="AH949" i="4"/>
  <c r="AI949" i="4" s="1"/>
  <c r="T949" i="4"/>
  <c r="U949" i="4" s="1"/>
  <c r="V949" i="4" s="1"/>
  <c r="W949" i="4" s="1"/>
  <c r="X949" i="4" s="1"/>
  <c r="AA949" i="4"/>
  <c r="AB949" i="4" s="1"/>
  <c r="AC949" i="4" s="1"/>
  <c r="AD949" i="4" s="1"/>
  <c r="AE949" i="4" s="1"/>
  <c r="M949" i="4"/>
  <c r="N949" i="4" s="1"/>
  <c r="O949" i="4" s="1"/>
  <c r="P949" i="4" s="1"/>
  <c r="Q949" i="4" l="1"/>
  <c r="AM949" i="4" s="1"/>
  <c r="B950" i="4"/>
  <c r="C950" i="4"/>
  <c r="H950" i="4"/>
  <c r="G950" i="4"/>
  <c r="I950" i="4"/>
  <c r="J950" i="4"/>
  <c r="D950" i="4"/>
  <c r="E950" i="4"/>
  <c r="F950" i="4"/>
  <c r="R950" i="4" l="1"/>
  <c r="S950" i="4" s="1"/>
  <c r="K950" i="4"/>
  <c r="L950" i="4" s="1"/>
  <c r="O950" i="4" s="1"/>
  <c r="P950" i="4" s="1"/>
  <c r="Q950" i="4" s="1"/>
  <c r="AF950" i="4"/>
  <c r="AG950" i="4" s="1"/>
  <c r="AJ950" i="4" s="1"/>
  <c r="AK950" i="4" s="1"/>
  <c r="AL950" i="4" s="1"/>
  <c r="Y950" i="4"/>
  <c r="Z950" i="4" s="1"/>
  <c r="AH950" i="4"/>
  <c r="AI950" i="4" s="1"/>
  <c r="T950" i="4"/>
  <c r="U950" i="4" s="1"/>
  <c r="AA950" i="4"/>
  <c r="AB950" i="4" s="1"/>
  <c r="M950" i="4"/>
  <c r="N950" i="4" s="1"/>
  <c r="V950" i="4" l="1"/>
  <c r="W950" i="4" s="1"/>
  <c r="X950" i="4" s="1"/>
  <c r="AM950" i="4" s="1"/>
  <c r="F951" i="4"/>
  <c r="C951" i="4"/>
  <c r="H951" i="4"/>
  <c r="G951" i="4"/>
  <c r="J951" i="4"/>
  <c r="AC950" i="4"/>
  <c r="AD950" i="4" s="1"/>
  <c r="AE950" i="4" s="1"/>
  <c r="B951" i="4"/>
  <c r="I951" i="4"/>
  <c r="D951" i="4" l="1"/>
  <c r="R951" i="4" s="1"/>
  <c r="S951" i="4" s="1"/>
  <c r="E951" i="4"/>
  <c r="Y951" i="4" l="1"/>
  <c r="Z951" i="4" s="1"/>
  <c r="K951" i="4"/>
  <c r="L951" i="4" s="1"/>
  <c r="O951" i="4" s="1"/>
  <c r="P951" i="4" s="1"/>
  <c r="T951" i="4"/>
  <c r="U951" i="4" s="1"/>
  <c r="V951" i="4" s="1"/>
  <c r="W951" i="4" s="1"/>
  <c r="X951" i="4" s="1"/>
  <c r="AA951" i="4"/>
  <c r="AB951" i="4" s="1"/>
  <c r="M951" i="4"/>
  <c r="N951" i="4" s="1"/>
  <c r="AH951" i="4"/>
  <c r="AI951" i="4" s="1"/>
  <c r="AF951" i="4"/>
  <c r="AG951" i="4" s="1"/>
  <c r="AJ951" i="4" s="1"/>
  <c r="AK951" i="4" s="1"/>
  <c r="AL951" i="4" s="1"/>
  <c r="AC951" i="4" l="1"/>
  <c r="AD951" i="4" s="1"/>
  <c r="AE951" i="4" s="1"/>
  <c r="Q951" i="4"/>
  <c r="AM951" i="4" s="1"/>
  <c r="J952" i="4"/>
  <c r="F952" i="4"/>
  <c r="C952" i="4"/>
  <c r="G952" i="4"/>
  <c r="I952" i="4"/>
  <c r="B952" i="4" l="1"/>
  <c r="D952" i="4"/>
  <c r="H952" i="4"/>
  <c r="E952" i="4"/>
  <c r="Y952" i="4" l="1"/>
  <c r="Z952" i="4" s="1"/>
  <c r="R952" i="4"/>
  <c r="S952" i="4" s="1"/>
  <c r="V952" i="4" s="1"/>
  <c r="W952" i="4" s="1"/>
  <c r="X952" i="4" s="1"/>
  <c r="AF952" i="4"/>
  <c r="AG952" i="4" s="1"/>
  <c r="AJ952" i="4" s="1"/>
  <c r="AK952" i="4" s="1"/>
  <c r="AL952" i="4" s="1"/>
  <c r="K952" i="4"/>
  <c r="L952" i="4" s="1"/>
  <c r="O952" i="4" s="1"/>
  <c r="P952" i="4" s="1"/>
  <c r="AH952" i="4"/>
  <c r="AI952" i="4" s="1"/>
  <c r="M952" i="4"/>
  <c r="N952" i="4" s="1"/>
  <c r="T952" i="4"/>
  <c r="U952" i="4" s="1"/>
  <c r="AA952" i="4"/>
  <c r="AB952" i="4" s="1"/>
  <c r="Q952" i="4" l="1"/>
  <c r="AC952" i="4"/>
  <c r="AD952" i="4" s="1"/>
  <c r="AE952" i="4" l="1"/>
  <c r="E953" i="4"/>
  <c r="B953" i="4"/>
  <c r="I953" i="4"/>
  <c r="J953" i="4"/>
  <c r="C953" i="4"/>
  <c r="F953" i="4"/>
  <c r="D953" i="4"/>
  <c r="G953" i="4"/>
  <c r="H953" i="4"/>
  <c r="AM952" i="4"/>
  <c r="AP106" i="4" s="1"/>
  <c r="AF953" i="4" l="1"/>
  <c r="AG953" i="4" s="1"/>
  <c r="AJ953" i="4" s="1"/>
  <c r="AK953" i="4" s="1"/>
  <c r="AL953" i="4" s="1"/>
  <c r="Y953" i="4"/>
  <c r="Z953" i="4" s="1"/>
  <c r="K953" i="4"/>
  <c r="L953" i="4" s="1"/>
  <c r="R953" i="4"/>
  <c r="S953" i="4" s="1"/>
  <c r="AH953" i="4"/>
  <c r="AI953" i="4" s="1"/>
  <c r="AA953" i="4"/>
  <c r="AB953" i="4" s="1"/>
  <c r="M953" i="4"/>
  <c r="N953" i="4" s="1"/>
  <c r="T953" i="4"/>
  <c r="U953" i="4" s="1"/>
  <c r="V953" i="4" l="1"/>
  <c r="W953" i="4" s="1"/>
  <c r="X953" i="4" s="1"/>
  <c r="O953" i="4"/>
  <c r="P953" i="4" s="1"/>
  <c r="AC953" i="4"/>
  <c r="AD953" i="4" s="1"/>
  <c r="AE953" i="4" s="1"/>
  <c r="Q953" i="4" l="1"/>
  <c r="AM953" i="4" s="1"/>
  <c r="D954" i="4"/>
  <c r="G954" i="4"/>
  <c r="E954" i="4"/>
  <c r="F954" i="4"/>
  <c r="C954" i="4"/>
  <c r="I954" i="4"/>
  <c r="H954" i="4"/>
  <c r="J954" i="4"/>
  <c r="B954" i="4"/>
  <c r="AH954" i="4" l="1"/>
  <c r="AI954" i="4" s="1"/>
  <c r="M954" i="4"/>
  <c r="N954" i="4" s="1"/>
  <c r="AA954" i="4"/>
  <c r="AB954" i="4" s="1"/>
  <c r="T954" i="4"/>
  <c r="U954" i="4" s="1"/>
  <c r="R954" i="4"/>
  <c r="S954" i="4" s="1"/>
  <c r="V954" i="4" s="1"/>
  <c r="W954" i="4" s="1"/>
  <c r="X954" i="4" s="1"/>
  <c r="AF954" i="4"/>
  <c r="AG954" i="4" s="1"/>
  <c r="Y954" i="4"/>
  <c r="Z954" i="4" s="1"/>
  <c r="AC954" i="4" s="1"/>
  <c r="AD954" i="4" s="1"/>
  <c r="AE954" i="4" s="1"/>
  <c r="K954" i="4"/>
  <c r="L954" i="4" s="1"/>
  <c r="O954" i="4" s="1"/>
  <c r="P954" i="4" s="1"/>
  <c r="Q954" i="4" s="1"/>
  <c r="AJ954" i="4" l="1"/>
  <c r="AK954" i="4" s="1"/>
  <c r="AL954" i="4" s="1"/>
  <c r="AM954" i="4" s="1"/>
  <c r="G955" i="4"/>
  <c r="F955" i="4"/>
  <c r="E955" i="4"/>
  <c r="I955" i="4"/>
  <c r="T955" i="4" l="1"/>
  <c r="U955" i="4" s="1"/>
  <c r="AA955" i="4"/>
  <c r="AB955" i="4" s="1"/>
  <c r="M955" i="4"/>
  <c r="N955" i="4" s="1"/>
  <c r="AH955" i="4"/>
  <c r="AI955" i="4" s="1"/>
  <c r="D955" i="4"/>
  <c r="C955" i="4"/>
  <c r="J955" i="4"/>
  <c r="B955" i="4"/>
  <c r="H955" i="4"/>
  <c r="AF955" i="4" l="1"/>
  <c r="AG955" i="4" s="1"/>
  <c r="AJ955" i="4" s="1"/>
  <c r="AK955" i="4" s="1"/>
  <c r="AL955" i="4" s="1"/>
  <c r="K955" i="4"/>
  <c r="L955" i="4" s="1"/>
  <c r="O955" i="4" s="1"/>
  <c r="P955" i="4" s="1"/>
  <c r="B956" i="4" s="1"/>
  <c r="Y955" i="4"/>
  <c r="Z955" i="4" s="1"/>
  <c r="AC955" i="4" s="1"/>
  <c r="AD955" i="4" s="1"/>
  <c r="AE955" i="4" s="1"/>
  <c r="R955" i="4"/>
  <c r="S955" i="4" s="1"/>
  <c r="V955" i="4" s="1"/>
  <c r="W955" i="4" s="1"/>
  <c r="X955" i="4" s="1"/>
  <c r="J956" i="4" l="1"/>
  <c r="H956" i="4"/>
  <c r="Q955" i="4"/>
  <c r="AM955" i="4" s="1"/>
  <c r="F956" i="4"/>
  <c r="E956" i="4"/>
  <c r="I956" i="4"/>
  <c r="G956" i="4"/>
  <c r="C956" i="4"/>
  <c r="R956" i="4" s="1"/>
  <c r="S956" i="4" s="1"/>
  <c r="D956" i="4"/>
  <c r="Y956" i="4" l="1"/>
  <c r="Z956" i="4" s="1"/>
  <c r="AC956" i="4" s="1"/>
  <c r="AD956" i="4" s="1"/>
  <c r="AE956" i="4" s="1"/>
  <c r="M956" i="4"/>
  <c r="N956" i="4" s="1"/>
  <c r="AA956" i="4"/>
  <c r="AB956" i="4" s="1"/>
  <c r="T956" i="4"/>
  <c r="U956" i="4" s="1"/>
  <c r="V956" i="4" s="1"/>
  <c r="W956" i="4" s="1"/>
  <c r="X956" i="4" s="1"/>
  <c r="AH956" i="4"/>
  <c r="AI956" i="4" s="1"/>
  <c r="K956" i="4"/>
  <c r="L956" i="4" s="1"/>
  <c r="AF956" i="4"/>
  <c r="AG956" i="4" s="1"/>
  <c r="AJ956" i="4" s="1"/>
  <c r="AK956" i="4" s="1"/>
  <c r="AL956" i="4" s="1"/>
  <c r="O956" i="4" l="1"/>
  <c r="P956" i="4" s="1"/>
  <c r="Q956" i="4" l="1"/>
  <c r="AM956" i="4" s="1"/>
  <c r="B957" i="4"/>
  <c r="H957" i="4"/>
  <c r="E957" i="4"/>
  <c r="D957" i="4"/>
  <c r="I957" i="4"/>
  <c r="C957" i="4"/>
  <c r="J957" i="4"/>
  <c r="G957" i="4"/>
  <c r="F957" i="4"/>
  <c r="T957" i="4" l="1"/>
  <c r="U957" i="4" s="1"/>
  <c r="AH957" i="4"/>
  <c r="AI957" i="4" s="1"/>
  <c r="AA957" i="4"/>
  <c r="AB957" i="4" s="1"/>
  <c r="M957" i="4"/>
  <c r="N957" i="4" s="1"/>
  <c r="AF957" i="4"/>
  <c r="AG957" i="4" s="1"/>
  <c r="K957" i="4"/>
  <c r="L957" i="4" s="1"/>
  <c r="O957" i="4" s="1"/>
  <c r="P957" i="4" s="1"/>
  <c r="Q957" i="4" s="1"/>
  <c r="Y957" i="4"/>
  <c r="Z957" i="4" s="1"/>
  <c r="AC957" i="4" s="1"/>
  <c r="AD957" i="4" s="1"/>
  <c r="AE957" i="4" s="1"/>
  <c r="R957" i="4"/>
  <c r="S957" i="4" s="1"/>
  <c r="V957" i="4" s="1"/>
  <c r="W957" i="4" s="1"/>
  <c r="X957" i="4" s="1"/>
  <c r="AJ957" i="4" l="1"/>
  <c r="AK957" i="4" s="1"/>
  <c r="AL957" i="4" s="1"/>
  <c r="AM957" i="4" s="1"/>
  <c r="I958" i="4"/>
  <c r="B958" i="4"/>
  <c r="H958" i="4"/>
  <c r="F958" i="4"/>
  <c r="D958" i="4"/>
  <c r="C958" i="4"/>
  <c r="G958" i="4" l="1"/>
  <c r="R958" i="4"/>
  <c r="S958" i="4" s="1"/>
  <c r="Y958" i="4"/>
  <c r="Z958" i="4" s="1"/>
  <c r="K958" i="4"/>
  <c r="L958" i="4" s="1"/>
  <c r="AF958" i="4"/>
  <c r="AG958" i="4" s="1"/>
  <c r="E958" i="4"/>
  <c r="J958" i="4"/>
  <c r="AH958" i="4" l="1"/>
  <c r="AI958" i="4" s="1"/>
  <c r="AJ958" i="4" s="1"/>
  <c r="AK958" i="4" s="1"/>
  <c r="AL958" i="4" s="1"/>
  <c r="AA958" i="4"/>
  <c r="AB958" i="4" s="1"/>
  <c r="AC958" i="4" s="1"/>
  <c r="AD958" i="4" s="1"/>
  <c r="AE958" i="4" s="1"/>
  <c r="T958" i="4"/>
  <c r="U958" i="4" s="1"/>
  <c r="V958" i="4" s="1"/>
  <c r="W958" i="4" s="1"/>
  <c r="X958" i="4" s="1"/>
  <c r="M958" i="4"/>
  <c r="N958" i="4" s="1"/>
  <c r="O958" i="4" s="1"/>
  <c r="P958" i="4" s="1"/>
  <c r="Q958" i="4" l="1"/>
  <c r="AM958" i="4" s="1"/>
  <c r="D959" i="4"/>
  <c r="F959" i="4"/>
  <c r="H959" i="4"/>
  <c r="I959" i="4"/>
  <c r="C959" i="4"/>
  <c r="B959" i="4"/>
  <c r="J959" i="4"/>
  <c r="G959" i="4"/>
  <c r="E959" i="4"/>
  <c r="K959" i="4" l="1"/>
  <c r="L959" i="4" s="1"/>
  <c r="R959" i="4"/>
  <c r="S959" i="4" s="1"/>
  <c r="V959" i="4" s="1"/>
  <c r="W959" i="4" s="1"/>
  <c r="X959" i="4" s="1"/>
  <c r="AF959" i="4"/>
  <c r="AG959" i="4" s="1"/>
  <c r="AJ959" i="4" s="1"/>
  <c r="AK959" i="4" s="1"/>
  <c r="AL959" i="4" s="1"/>
  <c r="Y959" i="4"/>
  <c r="Z959" i="4" s="1"/>
  <c r="AC959" i="4" s="1"/>
  <c r="AD959" i="4" s="1"/>
  <c r="AE959" i="4" s="1"/>
  <c r="T959" i="4"/>
  <c r="U959" i="4" s="1"/>
  <c r="AA959" i="4"/>
  <c r="AB959" i="4" s="1"/>
  <c r="M959" i="4"/>
  <c r="N959" i="4" s="1"/>
  <c r="AH959" i="4"/>
  <c r="AI959" i="4" s="1"/>
  <c r="O959" i="4" l="1"/>
  <c r="P959" i="4" s="1"/>
  <c r="Q959" i="4" l="1"/>
  <c r="AM959" i="4" s="1"/>
  <c r="C960" i="4"/>
  <c r="G960" i="4"/>
  <c r="D960" i="4"/>
  <c r="H960" i="4"/>
  <c r="F960" i="4"/>
  <c r="J960" i="4"/>
  <c r="E960" i="4"/>
  <c r="B960" i="4"/>
  <c r="I960" i="4"/>
  <c r="M960" i="4" l="1"/>
  <c r="N960" i="4" s="1"/>
  <c r="AH960" i="4"/>
  <c r="AI960" i="4" s="1"/>
  <c r="T960" i="4"/>
  <c r="U960" i="4" s="1"/>
  <c r="AA960" i="4"/>
  <c r="AB960" i="4" s="1"/>
  <c r="Y960" i="4"/>
  <c r="Z960" i="4" s="1"/>
  <c r="AC960" i="4" s="1"/>
  <c r="AD960" i="4" s="1"/>
  <c r="AE960" i="4" s="1"/>
  <c r="AF960" i="4"/>
  <c r="AG960" i="4" s="1"/>
  <c r="AJ960" i="4" s="1"/>
  <c r="AK960" i="4" s="1"/>
  <c r="AL960" i="4" s="1"/>
  <c r="R960" i="4"/>
  <c r="S960" i="4" s="1"/>
  <c r="V960" i="4" s="1"/>
  <c r="W960" i="4" s="1"/>
  <c r="X960" i="4" s="1"/>
  <c r="K960" i="4"/>
  <c r="L960" i="4" s="1"/>
  <c r="O960" i="4" s="1"/>
  <c r="P960" i="4" s="1"/>
  <c r="Q960" i="4" s="1"/>
  <c r="J961" i="4" l="1"/>
  <c r="AM960" i="4"/>
  <c r="D961" i="4"/>
  <c r="F961" i="4"/>
  <c r="C961" i="4"/>
  <c r="E961" i="4"/>
  <c r="G961" i="4"/>
  <c r="H961" i="4"/>
  <c r="B961" i="4"/>
  <c r="I961" i="4"/>
  <c r="T961" i="4" l="1"/>
  <c r="U961" i="4" s="1"/>
  <c r="M961" i="4"/>
  <c r="N961" i="4" s="1"/>
  <c r="AH961" i="4"/>
  <c r="AI961" i="4" s="1"/>
  <c r="AA961" i="4"/>
  <c r="AB961" i="4" s="1"/>
  <c r="AF961" i="4"/>
  <c r="AG961" i="4" s="1"/>
  <c r="R961" i="4"/>
  <c r="S961" i="4" s="1"/>
  <c r="V961" i="4" s="1"/>
  <c r="W961" i="4" s="1"/>
  <c r="X961" i="4" s="1"/>
  <c r="Y961" i="4"/>
  <c r="Z961" i="4" s="1"/>
  <c r="AC961" i="4" s="1"/>
  <c r="AD961" i="4" s="1"/>
  <c r="AE961" i="4" s="1"/>
  <c r="K961" i="4"/>
  <c r="L961" i="4" s="1"/>
  <c r="O961" i="4" s="1"/>
  <c r="P961" i="4" s="1"/>
  <c r="Q961" i="4" s="1"/>
  <c r="AJ961" i="4" l="1"/>
  <c r="AK961" i="4" s="1"/>
  <c r="AL961" i="4" s="1"/>
  <c r="I962" i="4"/>
  <c r="F962" i="4"/>
  <c r="H962" i="4"/>
  <c r="AM961" i="4"/>
  <c r="E962" i="4"/>
  <c r="D962" i="4"/>
  <c r="C962" i="4"/>
  <c r="J962" i="4"/>
  <c r="G962" i="4"/>
  <c r="AH962" i="4" l="1"/>
  <c r="AI962" i="4" s="1"/>
  <c r="M962" i="4"/>
  <c r="N962" i="4" s="1"/>
  <c r="AA962" i="4"/>
  <c r="AB962" i="4" s="1"/>
  <c r="T962" i="4"/>
  <c r="U962" i="4" s="1"/>
  <c r="B962" i="4"/>
  <c r="R962" i="4" l="1"/>
  <c r="S962" i="4" s="1"/>
  <c r="V962" i="4" s="1"/>
  <c r="W962" i="4" s="1"/>
  <c r="X962" i="4" s="1"/>
  <c r="Y962" i="4"/>
  <c r="Z962" i="4" s="1"/>
  <c r="AC962" i="4" s="1"/>
  <c r="AD962" i="4" s="1"/>
  <c r="AE962" i="4" s="1"/>
  <c r="AF962" i="4"/>
  <c r="AG962" i="4" s="1"/>
  <c r="AJ962" i="4" s="1"/>
  <c r="AK962" i="4" s="1"/>
  <c r="AL962" i="4" s="1"/>
  <c r="K962" i="4"/>
  <c r="L962" i="4" s="1"/>
  <c r="O962" i="4" s="1"/>
  <c r="P962" i="4" s="1"/>
  <c r="B963" i="4"/>
  <c r="Q962" i="4" l="1"/>
  <c r="AM962" i="4" s="1"/>
  <c r="AP107" i="4" s="1"/>
  <c r="D963" i="4"/>
  <c r="J963" i="4"/>
  <c r="G963" i="4"/>
  <c r="C963" i="4"/>
  <c r="F963" i="4"/>
  <c r="I963" i="4"/>
  <c r="H963" i="4"/>
  <c r="E963" i="4"/>
  <c r="T963" i="4" l="1"/>
  <c r="U963" i="4" s="1"/>
  <c r="AA963" i="4"/>
  <c r="AB963" i="4" s="1"/>
  <c r="AH963" i="4"/>
  <c r="AI963" i="4" s="1"/>
  <c r="M963" i="4"/>
  <c r="N963" i="4" s="1"/>
  <c r="AF963" i="4"/>
  <c r="AG963" i="4" s="1"/>
  <c r="Y963" i="4"/>
  <c r="Z963" i="4" s="1"/>
  <c r="AC963" i="4" s="1"/>
  <c r="AD963" i="4" s="1"/>
  <c r="AE963" i="4" s="1"/>
  <c r="R963" i="4"/>
  <c r="S963" i="4" s="1"/>
  <c r="V963" i="4" s="1"/>
  <c r="W963" i="4" s="1"/>
  <c r="X963" i="4" s="1"/>
  <c r="K963" i="4"/>
  <c r="L963" i="4" s="1"/>
  <c r="O963" i="4" s="1"/>
  <c r="P963" i="4" s="1"/>
  <c r="Q963" i="4" l="1"/>
  <c r="AJ963" i="4"/>
  <c r="AK963" i="4" s="1"/>
  <c r="AL963" i="4" s="1"/>
  <c r="J964" i="4" l="1"/>
  <c r="G964" i="4"/>
  <c r="F964" i="4"/>
  <c r="B964" i="4"/>
  <c r="D964" i="4"/>
  <c r="AM963" i="4"/>
  <c r="C964" i="4"/>
  <c r="I964" i="4"/>
  <c r="H964" i="4"/>
  <c r="E964" i="4"/>
  <c r="Y964" i="4" l="1"/>
  <c r="Z964" i="4" s="1"/>
  <c r="R964" i="4"/>
  <c r="S964" i="4" s="1"/>
  <c r="K964" i="4"/>
  <c r="L964" i="4" s="1"/>
  <c r="AF964" i="4"/>
  <c r="AG964" i="4" s="1"/>
  <c r="AA964" i="4"/>
  <c r="AB964" i="4" s="1"/>
  <c r="T964" i="4"/>
  <c r="U964" i="4" s="1"/>
  <c r="AH964" i="4"/>
  <c r="AI964" i="4" s="1"/>
  <c r="M964" i="4"/>
  <c r="N964" i="4" s="1"/>
  <c r="AJ964" i="4" l="1"/>
  <c r="AK964" i="4" s="1"/>
  <c r="AL964" i="4" s="1"/>
  <c r="AC964" i="4"/>
  <c r="AD964" i="4" s="1"/>
  <c r="AE964" i="4" s="1"/>
  <c r="O964" i="4"/>
  <c r="P964" i="4" s="1"/>
  <c r="V964" i="4"/>
  <c r="W964" i="4" s="1"/>
  <c r="X964" i="4" s="1"/>
  <c r="Q964" i="4" l="1"/>
  <c r="AM964" i="4" s="1"/>
  <c r="I965" i="4"/>
  <c r="F965" i="4"/>
  <c r="J965" i="4"/>
  <c r="B965" i="4"/>
  <c r="D965" i="4"/>
  <c r="E965" i="4"/>
  <c r="C965" i="4"/>
  <c r="H965" i="4"/>
  <c r="G965" i="4"/>
  <c r="AA965" i="4" l="1"/>
  <c r="AB965" i="4" s="1"/>
  <c r="AH965" i="4"/>
  <c r="AI965" i="4" s="1"/>
  <c r="M965" i="4"/>
  <c r="N965" i="4" s="1"/>
  <c r="T965" i="4"/>
  <c r="U965" i="4" s="1"/>
  <c r="K965" i="4"/>
  <c r="L965" i="4" s="1"/>
  <c r="Y965" i="4"/>
  <c r="Z965" i="4" s="1"/>
  <c r="AC965" i="4" s="1"/>
  <c r="AD965" i="4" s="1"/>
  <c r="AE965" i="4" s="1"/>
  <c r="R965" i="4"/>
  <c r="S965" i="4" s="1"/>
  <c r="AF965" i="4"/>
  <c r="AG965" i="4" s="1"/>
  <c r="AJ965" i="4" s="1"/>
  <c r="AK965" i="4" s="1"/>
  <c r="AL965" i="4" s="1"/>
  <c r="O965" i="4" l="1"/>
  <c r="P965" i="4" s="1"/>
  <c r="V965" i="4"/>
  <c r="W965" i="4" s="1"/>
  <c r="X965" i="4" s="1"/>
  <c r="Q965" i="4" l="1"/>
  <c r="AM965" i="4" s="1"/>
  <c r="C966" i="4"/>
  <c r="B966" i="4"/>
  <c r="H966" i="4"/>
  <c r="D966" i="4"/>
  <c r="J966" i="4"/>
  <c r="I966" i="4"/>
  <c r="E966" i="4"/>
  <c r="F966" i="4"/>
  <c r="G966" i="4"/>
  <c r="M966" i="4" l="1"/>
  <c r="N966" i="4" s="1"/>
  <c r="AH966" i="4"/>
  <c r="AI966" i="4" s="1"/>
  <c r="T966" i="4"/>
  <c r="U966" i="4" s="1"/>
  <c r="AA966" i="4"/>
  <c r="AB966" i="4" s="1"/>
  <c r="Y966" i="4"/>
  <c r="Z966" i="4" s="1"/>
  <c r="K966" i="4"/>
  <c r="L966" i="4" s="1"/>
  <c r="O966" i="4" s="1"/>
  <c r="P966" i="4" s="1"/>
  <c r="Q966" i="4" s="1"/>
  <c r="AF966" i="4"/>
  <c r="AG966" i="4" s="1"/>
  <c r="R966" i="4"/>
  <c r="S966" i="4" s="1"/>
  <c r="V966" i="4" s="1"/>
  <c r="W966" i="4" s="1"/>
  <c r="X966" i="4" s="1"/>
  <c r="AC966" i="4" l="1"/>
  <c r="AD966" i="4" s="1"/>
  <c r="AJ966" i="4"/>
  <c r="AK966" i="4" s="1"/>
  <c r="AL966" i="4" s="1"/>
  <c r="E967" i="4"/>
  <c r="F967" i="4"/>
  <c r="B967" i="4" l="1"/>
  <c r="J967" i="4"/>
  <c r="H967" i="4"/>
  <c r="AE966" i="4"/>
  <c r="AM966" i="4" s="1"/>
  <c r="I967" i="4"/>
  <c r="C967" i="4"/>
  <c r="D967" i="4"/>
  <c r="G967" i="4"/>
  <c r="AF967" i="4" l="1"/>
  <c r="AG967" i="4" s="1"/>
  <c r="Y967" i="4"/>
  <c r="Z967" i="4" s="1"/>
  <c r="AC967" i="4" s="1"/>
  <c r="AD967" i="4" s="1"/>
  <c r="AE967" i="4" s="1"/>
  <c r="K967" i="4"/>
  <c r="L967" i="4" s="1"/>
  <c r="R967" i="4"/>
  <c r="S967" i="4" s="1"/>
  <c r="V967" i="4" s="1"/>
  <c r="W967" i="4" s="1"/>
  <c r="X967" i="4" s="1"/>
  <c r="AH967" i="4"/>
  <c r="AI967" i="4" s="1"/>
  <c r="AA967" i="4"/>
  <c r="AB967" i="4" s="1"/>
  <c r="T967" i="4"/>
  <c r="U967" i="4" s="1"/>
  <c r="M967" i="4"/>
  <c r="N967" i="4" s="1"/>
  <c r="AJ967" i="4" l="1"/>
  <c r="AK967" i="4" s="1"/>
  <c r="AL967" i="4" s="1"/>
  <c r="O967" i="4"/>
  <c r="P967" i="4" s="1"/>
  <c r="Q967" i="4" l="1"/>
  <c r="AM967" i="4" s="1"/>
  <c r="F968" i="4"/>
  <c r="E968" i="4"/>
  <c r="J968" i="4"/>
  <c r="D968" i="4"/>
  <c r="I968" i="4"/>
  <c r="G968" i="4"/>
  <c r="H968" i="4"/>
  <c r="C968" i="4"/>
  <c r="B968" i="4"/>
  <c r="M968" i="4" l="1"/>
  <c r="N968" i="4" s="1"/>
  <c r="AH968" i="4"/>
  <c r="AI968" i="4" s="1"/>
  <c r="T968" i="4"/>
  <c r="U968" i="4" s="1"/>
  <c r="AA968" i="4"/>
  <c r="AB968" i="4" s="1"/>
  <c r="Y968" i="4"/>
  <c r="Z968" i="4" s="1"/>
  <c r="R968" i="4"/>
  <c r="S968" i="4" s="1"/>
  <c r="V968" i="4" s="1"/>
  <c r="W968" i="4" s="1"/>
  <c r="X968" i="4" s="1"/>
  <c r="K968" i="4"/>
  <c r="L968" i="4" s="1"/>
  <c r="O968" i="4" s="1"/>
  <c r="P968" i="4" s="1"/>
  <c r="Q968" i="4" s="1"/>
  <c r="AF968" i="4"/>
  <c r="AG968" i="4" s="1"/>
  <c r="AJ968" i="4" s="1"/>
  <c r="AK968" i="4" s="1"/>
  <c r="AL968" i="4" s="1"/>
  <c r="AC968" i="4" l="1"/>
  <c r="AD968" i="4" s="1"/>
  <c r="J969" i="4"/>
  <c r="I969" i="4"/>
  <c r="D969" i="4"/>
  <c r="C969" i="4"/>
  <c r="AE968" i="4" l="1"/>
  <c r="AM968" i="4" s="1"/>
  <c r="F969" i="4"/>
  <c r="B969" i="4"/>
  <c r="H969" i="4"/>
  <c r="E969" i="4"/>
  <c r="G969" i="4"/>
  <c r="K969" i="4" l="1"/>
  <c r="L969" i="4" s="1"/>
  <c r="AF969" i="4"/>
  <c r="AG969" i="4" s="1"/>
  <c r="R969" i="4"/>
  <c r="S969" i="4" s="1"/>
  <c r="V969" i="4" s="1"/>
  <c r="W969" i="4" s="1"/>
  <c r="X969" i="4" s="1"/>
  <c r="Y969" i="4"/>
  <c r="Z969" i="4" s="1"/>
  <c r="AC969" i="4" s="1"/>
  <c r="AD969" i="4" s="1"/>
  <c r="AE969" i="4" s="1"/>
  <c r="AA969" i="4"/>
  <c r="AB969" i="4" s="1"/>
  <c r="T969" i="4"/>
  <c r="U969" i="4" s="1"/>
  <c r="AH969" i="4"/>
  <c r="AI969" i="4" s="1"/>
  <c r="M969" i="4"/>
  <c r="N969" i="4" s="1"/>
  <c r="AJ969" i="4" l="1"/>
  <c r="AK969" i="4" s="1"/>
  <c r="AL969" i="4" s="1"/>
  <c r="O969" i="4"/>
  <c r="P969" i="4" s="1"/>
  <c r="Q969" i="4" l="1"/>
  <c r="AM969" i="4" s="1"/>
  <c r="C970" i="4"/>
  <c r="D970" i="4"/>
  <c r="I970" i="4"/>
  <c r="J970" i="4"/>
  <c r="F970" i="4"/>
  <c r="E970" i="4"/>
  <c r="B970" i="4"/>
  <c r="H970" i="4"/>
  <c r="G970" i="4"/>
  <c r="M970" i="4" l="1"/>
  <c r="N970" i="4" s="1"/>
  <c r="AA970" i="4"/>
  <c r="AB970" i="4" s="1"/>
  <c r="T970" i="4"/>
  <c r="U970" i="4" s="1"/>
  <c r="AH970" i="4"/>
  <c r="AI970" i="4" s="1"/>
  <c r="R970" i="4"/>
  <c r="S970" i="4" s="1"/>
  <c r="AF970" i="4"/>
  <c r="AG970" i="4" s="1"/>
  <c r="K970" i="4"/>
  <c r="L970" i="4" s="1"/>
  <c r="O970" i="4" s="1"/>
  <c r="P970" i="4" s="1"/>
  <c r="Q970" i="4" s="1"/>
  <c r="Y970" i="4"/>
  <c r="Z970" i="4" s="1"/>
  <c r="AC970" i="4" s="1"/>
  <c r="AD970" i="4" s="1"/>
  <c r="AE970" i="4" s="1"/>
  <c r="AJ970" i="4" l="1"/>
  <c r="AK970" i="4" s="1"/>
  <c r="AL970" i="4" s="1"/>
  <c r="V970" i="4"/>
  <c r="W970" i="4" s="1"/>
  <c r="B971" i="4"/>
  <c r="H971" i="4"/>
  <c r="X970" i="4" l="1"/>
  <c r="AM970" i="4" s="1"/>
  <c r="G971" i="4"/>
  <c r="D971" i="4"/>
  <c r="E971" i="4"/>
  <c r="F971" i="4"/>
  <c r="J971" i="4"/>
  <c r="C971" i="4"/>
  <c r="Y971" i="4" s="1"/>
  <c r="Z971" i="4" s="1"/>
  <c r="I971" i="4"/>
  <c r="AF971" i="4" l="1"/>
  <c r="AG971" i="4" s="1"/>
  <c r="K971" i="4"/>
  <c r="L971" i="4" s="1"/>
  <c r="O971" i="4" s="1"/>
  <c r="P971" i="4" s="1"/>
  <c r="AA971" i="4"/>
  <c r="AB971" i="4" s="1"/>
  <c r="AC971" i="4" s="1"/>
  <c r="AD971" i="4" s="1"/>
  <c r="M971" i="4"/>
  <c r="N971" i="4" s="1"/>
  <c r="T971" i="4"/>
  <c r="U971" i="4" s="1"/>
  <c r="AH971" i="4"/>
  <c r="AI971" i="4" s="1"/>
  <c r="R971" i="4"/>
  <c r="S971" i="4" s="1"/>
  <c r="V971" i="4" s="1"/>
  <c r="W971" i="4" s="1"/>
  <c r="X971" i="4" s="1"/>
  <c r="AE971" i="4" l="1"/>
  <c r="D972" i="4"/>
  <c r="J972" i="4"/>
  <c r="Q971" i="4"/>
  <c r="AM971" i="4" s="1"/>
  <c r="H972" i="4"/>
  <c r="B972" i="4"/>
  <c r="AJ971" i="4"/>
  <c r="AK971" i="4" s="1"/>
  <c r="AL971" i="4" s="1"/>
  <c r="I972" i="4"/>
  <c r="Y972" i="4" l="1"/>
  <c r="Z972" i="4" s="1"/>
  <c r="R972" i="4"/>
  <c r="S972" i="4" s="1"/>
  <c r="AF972" i="4"/>
  <c r="AG972" i="4" s="1"/>
  <c r="K972" i="4"/>
  <c r="L972" i="4" s="1"/>
  <c r="C972" i="4"/>
  <c r="E972" i="4"/>
  <c r="F972" i="4"/>
  <c r="G972" i="4"/>
  <c r="AH972" i="4" l="1"/>
  <c r="AI972" i="4" s="1"/>
  <c r="AJ972" i="4" s="1"/>
  <c r="AK972" i="4" s="1"/>
  <c r="AL972" i="4" s="1"/>
  <c r="AA972" i="4"/>
  <c r="AB972" i="4" s="1"/>
  <c r="AC972" i="4" s="1"/>
  <c r="AD972" i="4" s="1"/>
  <c r="AE972" i="4" s="1"/>
  <c r="T972" i="4"/>
  <c r="U972" i="4" s="1"/>
  <c r="V972" i="4" s="1"/>
  <c r="W972" i="4" s="1"/>
  <c r="X972" i="4" s="1"/>
  <c r="M972" i="4"/>
  <c r="N972" i="4" s="1"/>
  <c r="O972" i="4" s="1"/>
  <c r="P972" i="4" s="1"/>
  <c r="Q972" i="4" l="1"/>
  <c r="AM972" i="4" s="1"/>
  <c r="AP108" i="4" s="1"/>
  <c r="H973" i="4"/>
  <c r="D973" i="4"/>
  <c r="I973" i="4"/>
  <c r="B973" i="4"/>
  <c r="J973" i="4"/>
  <c r="G973" i="4"/>
  <c r="F973" i="4"/>
  <c r="E973" i="4"/>
  <c r="C973" i="4"/>
  <c r="K973" i="4" l="1"/>
  <c r="L973" i="4" s="1"/>
  <c r="Y973" i="4"/>
  <c r="Z973" i="4" s="1"/>
  <c r="AC973" i="4" s="1"/>
  <c r="AD973" i="4" s="1"/>
  <c r="AE973" i="4" s="1"/>
  <c r="R973" i="4"/>
  <c r="S973" i="4" s="1"/>
  <c r="AF973" i="4"/>
  <c r="AG973" i="4" s="1"/>
  <c r="AA973" i="4"/>
  <c r="AB973" i="4" s="1"/>
  <c r="AH973" i="4"/>
  <c r="AI973" i="4" s="1"/>
  <c r="M973" i="4"/>
  <c r="N973" i="4" s="1"/>
  <c r="T973" i="4"/>
  <c r="U973" i="4" s="1"/>
  <c r="O973" i="4" l="1"/>
  <c r="P973" i="4" s="1"/>
  <c r="AJ973" i="4"/>
  <c r="AK973" i="4" s="1"/>
  <c r="AL973" i="4" s="1"/>
  <c r="V973" i="4"/>
  <c r="W973" i="4" s="1"/>
  <c r="X973" i="4" s="1"/>
  <c r="Q973" i="4" l="1"/>
  <c r="AM973" i="4" s="1"/>
  <c r="G974" i="4"/>
  <c r="B974" i="4"/>
  <c r="J974" i="4"/>
  <c r="F974" i="4"/>
  <c r="D974" i="4"/>
  <c r="I974" i="4"/>
  <c r="H974" i="4"/>
  <c r="C974" i="4"/>
  <c r="E974" i="4"/>
  <c r="R974" i="4" l="1"/>
  <c r="S974" i="4" s="1"/>
  <c r="V974" i="4" s="1"/>
  <c r="W974" i="4" s="1"/>
  <c r="X974" i="4" s="1"/>
  <c r="AF974" i="4"/>
  <c r="AG974" i="4" s="1"/>
  <c r="AJ974" i="4" s="1"/>
  <c r="AK974" i="4" s="1"/>
  <c r="AL974" i="4" s="1"/>
  <c r="K974" i="4"/>
  <c r="L974" i="4" s="1"/>
  <c r="O974" i="4" s="1"/>
  <c r="P974" i="4" s="1"/>
  <c r="Q974" i="4" s="1"/>
  <c r="Y974" i="4"/>
  <c r="Z974" i="4" s="1"/>
  <c r="AC974" i="4" s="1"/>
  <c r="AD974" i="4" s="1"/>
  <c r="AE974" i="4" s="1"/>
  <c r="I975" i="4"/>
  <c r="M974" i="4"/>
  <c r="N974" i="4" s="1"/>
  <c r="T974" i="4"/>
  <c r="U974" i="4" s="1"/>
  <c r="AA974" i="4"/>
  <c r="AB974" i="4" s="1"/>
  <c r="AH974" i="4"/>
  <c r="AI974" i="4" s="1"/>
  <c r="J975" i="4"/>
  <c r="G975" i="4" l="1"/>
  <c r="F975" i="4"/>
  <c r="AM974" i="4"/>
  <c r="E975" i="4"/>
  <c r="B975" i="4"/>
  <c r="D975" i="4"/>
  <c r="C975" i="4"/>
  <c r="H975" i="4"/>
  <c r="K975" i="4" l="1"/>
  <c r="L975" i="4" s="1"/>
  <c r="R975" i="4"/>
  <c r="S975" i="4" s="1"/>
  <c r="Y975" i="4"/>
  <c r="Z975" i="4" s="1"/>
  <c r="AC975" i="4" s="1"/>
  <c r="AD975" i="4" s="1"/>
  <c r="AE975" i="4" s="1"/>
  <c r="AF975" i="4"/>
  <c r="AG975" i="4" s="1"/>
  <c r="AH975" i="4"/>
  <c r="AI975" i="4" s="1"/>
  <c r="T975" i="4"/>
  <c r="U975" i="4" s="1"/>
  <c r="M975" i="4"/>
  <c r="N975" i="4" s="1"/>
  <c r="AA975" i="4"/>
  <c r="AB975" i="4" s="1"/>
  <c r="AJ975" i="4" l="1"/>
  <c r="AK975" i="4" s="1"/>
  <c r="AL975" i="4" s="1"/>
  <c r="V975" i="4"/>
  <c r="W975" i="4" s="1"/>
  <c r="X975" i="4" s="1"/>
  <c r="O975" i="4"/>
  <c r="P975" i="4" s="1"/>
  <c r="Q975" i="4" l="1"/>
  <c r="AM975" i="4" s="1"/>
  <c r="J976" i="4"/>
  <c r="I976" i="4"/>
  <c r="B976" i="4"/>
  <c r="H976" i="4"/>
  <c r="D976" i="4"/>
  <c r="F976" i="4"/>
  <c r="G976" i="4"/>
  <c r="E976" i="4"/>
  <c r="C976" i="4"/>
  <c r="Y976" i="4" l="1"/>
  <c r="Z976" i="4" s="1"/>
  <c r="AF976" i="4"/>
  <c r="AG976" i="4" s="1"/>
  <c r="R976" i="4"/>
  <c r="S976" i="4" s="1"/>
  <c r="K976" i="4"/>
  <c r="L976" i="4" s="1"/>
  <c r="O976" i="4" s="1"/>
  <c r="P976" i="4" s="1"/>
  <c r="Q976" i="4" s="1"/>
  <c r="AA976" i="4"/>
  <c r="AB976" i="4" s="1"/>
  <c r="AH976" i="4"/>
  <c r="AI976" i="4" s="1"/>
  <c r="T976" i="4"/>
  <c r="U976" i="4" s="1"/>
  <c r="M976" i="4"/>
  <c r="N976" i="4" s="1"/>
  <c r="V976" i="4" l="1"/>
  <c r="W976" i="4" s="1"/>
  <c r="X976" i="4" s="1"/>
  <c r="AM976" i="4" s="1"/>
  <c r="AJ976" i="4"/>
  <c r="AK976" i="4" s="1"/>
  <c r="AL976" i="4" s="1"/>
  <c r="J977" i="4"/>
  <c r="AC976" i="4"/>
  <c r="AD976" i="4" s="1"/>
  <c r="AE976" i="4" s="1"/>
  <c r="C977" i="4"/>
  <c r="G977" i="4" l="1"/>
  <c r="B977" i="4"/>
  <c r="F977" i="4"/>
  <c r="I977" i="4"/>
  <c r="H977" i="4"/>
  <c r="E977" i="4"/>
  <c r="D977" i="4"/>
  <c r="K977" i="4" l="1"/>
  <c r="L977" i="4" s="1"/>
  <c r="R977" i="4"/>
  <c r="S977" i="4" s="1"/>
  <c r="AF977" i="4"/>
  <c r="AG977" i="4" s="1"/>
  <c r="AJ977" i="4" s="1"/>
  <c r="AK977" i="4" s="1"/>
  <c r="AL977" i="4" s="1"/>
  <c r="Y977" i="4"/>
  <c r="Z977" i="4" s="1"/>
  <c r="AA977" i="4"/>
  <c r="AB977" i="4" s="1"/>
  <c r="AH977" i="4"/>
  <c r="AI977" i="4" s="1"/>
  <c r="M977" i="4"/>
  <c r="N977" i="4" s="1"/>
  <c r="T977" i="4"/>
  <c r="U977" i="4" s="1"/>
  <c r="AC977" i="4" l="1"/>
  <c r="AD977" i="4" s="1"/>
  <c r="AE977" i="4" s="1"/>
  <c r="V977" i="4"/>
  <c r="W977" i="4" s="1"/>
  <c r="X977" i="4" s="1"/>
  <c r="O977" i="4"/>
  <c r="P977" i="4" s="1"/>
  <c r="Q977" i="4" l="1"/>
  <c r="AM977" i="4" s="1"/>
  <c r="J978" i="4"/>
  <c r="C978" i="4"/>
  <c r="H978" i="4"/>
  <c r="E978" i="4"/>
  <c r="I978" i="4"/>
  <c r="B978" i="4"/>
  <c r="F978" i="4"/>
  <c r="G978" i="4"/>
  <c r="D978" i="4"/>
  <c r="K978" i="4" l="1"/>
  <c r="L978" i="4" s="1"/>
  <c r="Y978" i="4"/>
  <c r="Z978" i="4" s="1"/>
  <c r="R978" i="4"/>
  <c r="S978" i="4" s="1"/>
  <c r="V978" i="4" s="1"/>
  <c r="W978" i="4" s="1"/>
  <c r="X978" i="4" s="1"/>
  <c r="AF978" i="4"/>
  <c r="AG978" i="4" s="1"/>
  <c r="AJ978" i="4" s="1"/>
  <c r="AK978" i="4" s="1"/>
  <c r="AL978" i="4" s="1"/>
  <c r="AA978" i="4"/>
  <c r="AB978" i="4" s="1"/>
  <c r="AH978" i="4"/>
  <c r="AI978" i="4" s="1"/>
  <c r="T978" i="4"/>
  <c r="U978" i="4" s="1"/>
  <c r="M978" i="4"/>
  <c r="N978" i="4" s="1"/>
  <c r="AC978" i="4" l="1"/>
  <c r="AD978" i="4" s="1"/>
  <c r="AE978" i="4" s="1"/>
  <c r="O978" i="4"/>
  <c r="P978" i="4" s="1"/>
  <c r="Q978" i="4" l="1"/>
  <c r="AM978" i="4" s="1"/>
  <c r="F979" i="4"/>
  <c r="G979" i="4"/>
  <c r="H979" i="4"/>
  <c r="B979" i="4"/>
  <c r="D979" i="4"/>
  <c r="E979" i="4"/>
  <c r="J979" i="4"/>
  <c r="I979" i="4"/>
  <c r="C979" i="4"/>
  <c r="M979" i="4" l="1"/>
  <c r="N979" i="4" s="1"/>
  <c r="AH979" i="4"/>
  <c r="AI979" i="4" s="1"/>
  <c r="AA979" i="4"/>
  <c r="AB979" i="4" s="1"/>
  <c r="T979" i="4"/>
  <c r="U979" i="4" s="1"/>
  <c r="AF979" i="4"/>
  <c r="AG979" i="4" s="1"/>
  <c r="R979" i="4"/>
  <c r="S979" i="4" s="1"/>
  <c r="Y979" i="4"/>
  <c r="Z979" i="4" s="1"/>
  <c r="AC979" i="4" s="1"/>
  <c r="AD979" i="4" s="1"/>
  <c r="AE979" i="4" s="1"/>
  <c r="K979" i="4"/>
  <c r="L979" i="4" s="1"/>
  <c r="O979" i="4" s="1"/>
  <c r="P979" i="4" s="1"/>
  <c r="Q979" i="4" s="1"/>
  <c r="V979" i="4" l="1"/>
  <c r="W979" i="4" s="1"/>
  <c r="X979" i="4" s="1"/>
  <c r="AM979" i="4" s="1"/>
  <c r="AJ979" i="4"/>
  <c r="AK979" i="4" s="1"/>
  <c r="AL979" i="4" s="1"/>
  <c r="F980" i="4"/>
  <c r="E980" i="4" l="1"/>
  <c r="D980" i="4"/>
  <c r="H980" i="4"/>
  <c r="C980" i="4"/>
  <c r="G980" i="4"/>
  <c r="I980" i="4"/>
  <c r="B980" i="4"/>
  <c r="J980" i="4"/>
  <c r="AF980" i="4" l="1"/>
  <c r="AG980" i="4" s="1"/>
  <c r="R980" i="4"/>
  <c r="S980" i="4" s="1"/>
  <c r="K980" i="4"/>
  <c r="L980" i="4" s="1"/>
  <c r="O980" i="4" s="1"/>
  <c r="P980" i="4" s="1"/>
  <c r="Y980" i="4"/>
  <c r="Z980" i="4" s="1"/>
  <c r="AC980" i="4" s="1"/>
  <c r="AD980" i="4" s="1"/>
  <c r="AE980" i="4" s="1"/>
  <c r="M980" i="4"/>
  <c r="N980" i="4" s="1"/>
  <c r="AA980" i="4"/>
  <c r="AB980" i="4" s="1"/>
  <c r="AH980" i="4"/>
  <c r="AI980" i="4" s="1"/>
  <c r="T980" i="4"/>
  <c r="U980" i="4" s="1"/>
  <c r="Q980" i="4" l="1"/>
  <c r="V980" i="4"/>
  <c r="W980" i="4" s="1"/>
  <c r="F981" i="4" s="1"/>
  <c r="AJ980" i="4"/>
  <c r="AK980" i="4" s="1"/>
  <c r="AL980" i="4" s="1"/>
  <c r="H981" i="4"/>
  <c r="D981" i="4"/>
  <c r="E981" i="4" l="1"/>
  <c r="I981" i="4"/>
  <c r="B981" i="4"/>
  <c r="X980" i="4"/>
  <c r="J981" i="4"/>
  <c r="C981" i="4"/>
  <c r="G981" i="4"/>
  <c r="AM980" i="4"/>
  <c r="Y981" i="4" l="1"/>
  <c r="Z981" i="4" s="1"/>
  <c r="K981" i="4"/>
  <c r="L981" i="4" s="1"/>
  <c r="R981" i="4"/>
  <c r="S981" i="4" s="1"/>
  <c r="AF981" i="4"/>
  <c r="AG981" i="4" s="1"/>
  <c r="AJ981" i="4" s="1"/>
  <c r="AK981" i="4" s="1"/>
  <c r="AL981" i="4" s="1"/>
  <c r="T981" i="4"/>
  <c r="U981" i="4" s="1"/>
  <c r="AA981" i="4"/>
  <c r="AB981" i="4" s="1"/>
  <c r="AH981" i="4"/>
  <c r="AI981" i="4" s="1"/>
  <c r="M981" i="4"/>
  <c r="N981" i="4" s="1"/>
  <c r="V981" i="4" l="1"/>
  <c r="W981" i="4" s="1"/>
  <c r="X981" i="4" s="1"/>
  <c r="O981" i="4"/>
  <c r="P981" i="4" s="1"/>
  <c r="AC981" i="4"/>
  <c r="AD981" i="4" s="1"/>
  <c r="AE981" i="4" s="1"/>
  <c r="Q981" i="4" l="1"/>
  <c r="AM981" i="4" s="1"/>
  <c r="F982" i="4"/>
  <c r="H982" i="4"/>
  <c r="D982" i="4"/>
  <c r="B982" i="4"/>
  <c r="E982" i="4"/>
  <c r="I982" i="4"/>
  <c r="G982" i="4"/>
  <c r="J982" i="4"/>
  <c r="C982" i="4"/>
  <c r="AA982" i="4" l="1"/>
  <c r="AB982" i="4" s="1"/>
  <c r="T982" i="4"/>
  <c r="U982" i="4" s="1"/>
  <c r="M982" i="4"/>
  <c r="N982" i="4" s="1"/>
  <c r="AH982" i="4"/>
  <c r="AI982" i="4" s="1"/>
  <c r="K982" i="4"/>
  <c r="L982" i="4" s="1"/>
  <c r="O982" i="4" s="1"/>
  <c r="P982" i="4" s="1"/>
  <c r="Q982" i="4" s="1"/>
  <c r="R982" i="4"/>
  <c r="S982" i="4" s="1"/>
  <c r="Y982" i="4"/>
  <c r="Z982" i="4" s="1"/>
  <c r="AC982" i="4" s="1"/>
  <c r="AD982" i="4" s="1"/>
  <c r="AE982" i="4" s="1"/>
  <c r="AF982" i="4"/>
  <c r="AG982" i="4" s="1"/>
  <c r="AJ982" i="4" l="1"/>
  <c r="AK982" i="4" s="1"/>
  <c r="AL982" i="4" s="1"/>
  <c r="V982" i="4"/>
  <c r="W982" i="4" s="1"/>
  <c r="F983" i="4" l="1"/>
  <c r="B983" i="4"/>
  <c r="H983" i="4"/>
  <c r="G983" i="4"/>
  <c r="E983" i="4"/>
  <c r="I983" i="4"/>
  <c r="X982" i="4"/>
  <c r="AM982" i="4" s="1"/>
  <c r="AP109" i="4" s="1"/>
  <c r="C983" i="4"/>
  <c r="D983" i="4"/>
  <c r="J983" i="4"/>
  <c r="M983" i="4" l="1"/>
  <c r="N983" i="4" s="1"/>
  <c r="AA983" i="4"/>
  <c r="AB983" i="4" s="1"/>
  <c r="AH983" i="4"/>
  <c r="AI983" i="4" s="1"/>
  <c r="T983" i="4"/>
  <c r="U983" i="4" s="1"/>
  <c r="R983" i="4"/>
  <c r="S983" i="4" s="1"/>
  <c r="K983" i="4"/>
  <c r="L983" i="4" s="1"/>
  <c r="O983" i="4" s="1"/>
  <c r="P983" i="4" s="1"/>
  <c r="Q983" i="4" s="1"/>
  <c r="AF983" i="4"/>
  <c r="AG983" i="4" s="1"/>
  <c r="AJ983" i="4" s="1"/>
  <c r="AK983" i="4" s="1"/>
  <c r="AL983" i="4" s="1"/>
  <c r="Y983" i="4"/>
  <c r="Z983" i="4" s="1"/>
  <c r="AC983" i="4" s="1"/>
  <c r="AD983" i="4" s="1"/>
  <c r="AE983" i="4" s="1"/>
  <c r="V983" i="4" l="1"/>
  <c r="W983" i="4" s="1"/>
  <c r="H984" i="4"/>
  <c r="F984" i="4"/>
  <c r="G984" i="4"/>
  <c r="C984" i="4"/>
  <c r="X983" i="4" l="1"/>
  <c r="AM983" i="4" s="1"/>
  <c r="B984" i="4"/>
  <c r="E984" i="4"/>
  <c r="I984" i="4"/>
  <c r="D984" i="4"/>
  <c r="J984" i="4"/>
  <c r="AH984" i="4" l="1"/>
  <c r="AI984" i="4" s="1"/>
  <c r="T984" i="4"/>
  <c r="U984" i="4" s="1"/>
  <c r="AA984" i="4"/>
  <c r="AB984" i="4" s="1"/>
  <c r="M984" i="4"/>
  <c r="N984" i="4" s="1"/>
  <c r="Y984" i="4"/>
  <c r="Z984" i="4" s="1"/>
  <c r="AC984" i="4" s="1"/>
  <c r="AD984" i="4" s="1"/>
  <c r="AE984" i="4" s="1"/>
  <c r="K984" i="4"/>
  <c r="L984" i="4" s="1"/>
  <c r="R984" i="4"/>
  <c r="S984" i="4" s="1"/>
  <c r="AF984" i="4"/>
  <c r="AG984" i="4" s="1"/>
  <c r="AJ984" i="4" s="1"/>
  <c r="AK984" i="4" s="1"/>
  <c r="AL984" i="4" s="1"/>
  <c r="V984" i="4" l="1"/>
  <c r="W984" i="4" s="1"/>
  <c r="X984" i="4" s="1"/>
  <c r="O984" i="4"/>
  <c r="P984" i="4" s="1"/>
  <c r="Q984" i="4" l="1"/>
  <c r="AM984" i="4" s="1"/>
  <c r="C985" i="4"/>
  <c r="F985" i="4"/>
  <c r="H985" i="4"/>
  <c r="G985" i="4"/>
  <c r="E985" i="4"/>
  <c r="B985" i="4"/>
  <c r="D985" i="4"/>
  <c r="I985" i="4"/>
  <c r="J985" i="4"/>
  <c r="Y985" i="4" l="1"/>
  <c r="Z985" i="4" s="1"/>
  <c r="AF985" i="4"/>
  <c r="AG985" i="4" s="1"/>
  <c r="R985" i="4"/>
  <c r="S985" i="4" s="1"/>
  <c r="V985" i="4" s="1"/>
  <c r="W985" i="4" s="1"/>
  <c r="X985" i="4" s="1"/>
  <c r="K985" i="4"/>
  <c r="L985" i="4" s="1"/>
  <c r="O985" i="4" s="1"/>
  <c r="P985" i="4" s="1"/>
  <c r="Q985" i="4" s="1"/>
  <c r="AH985" i="4"/>
  <c r="AI985" i="4" s="1"/>
  <c r="T985" i="4"/>
  <c r="U985" i="4" s="1"/>
  <c r="AA985" i="4"/>
  <c r="AB985" i="4" s="1"/>
  <c r="M985" i="4"/>
  <c r="N985" i="4" s="1"/>
  <c r="AJ985" i="4" l="1"/>
  <c r="AK985" i="4" s="1"/>
  <c r="AL985" i="4" s="1"/>
  <c r="AC985" i="4"/>
  <c r="AD985" i="4" s="1"/>
  <c r="I986" i="4"/>
  <c r="D986" i="4"/>
  <c r="AE985" i="4" l="1"/>
  <c r="AM985" i="4" s="1"/>
  <c r="F986" i="4"/>
  <c r="J986" i="4"/>
  <c r="E986" i="4"/>
  <c r="C986" i="4"/>
  <c r="B986" i="4"/>
  <c r="H986" i="4"/>
  <c r="G986" i="4"/>
  <c r="K986" i="4" l="1"/>
  <c r="L986" i="4" s="1"/>
  <c r="AF986" i="4"/>
  <c r="AG986" i="4" s="1"/>
  <c r="R986" i="4"/>
  <c r="S986" i="4" s="1"/>
  <c r="V986" i="4" s="1"/>
  <c r="W986" i="4" s="1"/>
  <c r="X986" i="4" s="1"/>
  <c r="Y986" i="4"/>
  <c r="Z986" i="4" s="1"/>
  <c r="AC986" i="4" s="1"/>
  <c r="AD986" i="4" s="1"/>
  <c r="AE986" i="4" s="1"/>
  <c r="AA986" i="4"/>
  <c r="AB986" i="4" s="1"/>
  <c r="M986" i="4"/>
  <c r="N986" i="4" s="1"/>
  <c r="T986" i="4"/>
  <c r="U986" i="4" s="1"/>
  <c r="AH986" i="4"/>
  <c r="AI986" i="4" s="1"/>
  <c r="AJ986" i="4" l="1"/>
  <c r="AK986" i="4" s="1"/>
  <c r="AL986" i="4" s="1"/>
  <c r="O986" i="4"/>
  <c r="P986" i="4" s="1"/>
  <c r="Q986" i="4" l="1"/>
  <c r="AM986" i="4" s="1"/>
  <c r="D987" i="4"/>
  <c r="I987" i="4"/>
  <c r="B987" i="4"/>
  <c r="F987" i="4"/>
  <c r="C987" i="4"/>
  <c r="G987" i="4"/>
  <c r="J987" i="4"/>
  <c r="H987" i="4"/>
  <c r="E987" i="4"/>
  <c r="K987" i="4" l="1"/>
  <c r="L987" i="4" s="1"/>
  <c r="O987" i="4" s="1"/>
  <c r="P987" i="4" s="1"/>
  <c r="Q987" i="4" s="1"/>
  <c r="AF987" i="4"/>
  <c r="AG987" i="4" s="1"/>
  <c r="AJ987" i="4" s="1"/>
  <c r="AK987" i="4" s="1"/>
  <c r="AL987" i="4" s="1"/>
  <c r="R987" i="4"/>
  <c r="S987" i="4" s="1"/>
  <c r="V987" i="4" s="1"/>
  <c r="W987" i="4" s="1"/>
  <c r="X987" i="4" s="1"/>
  <c r="Y987" i="4"/>
  <c r="Z987" i="4" s="1"/>
  <c r="M987" i="4"/>
  <c r="N987" i="4" s="1"/>
  <c r="T987" i="4"/>
  <c r="U987" i="4" s="1"/>
  <c r="AH987" i="4"/>
  <c r="AI987" i="4" s="1"/>
  <c r="AA987" i="4"/>
  <c r="AB987" i="4" s="1"/>
  <c r="D988" i="4" l="1"/>
  <c r="AM987" i="4"/>
  <c r="I988" i="4"/>
  <c r="F988" i="4"/>
  <c r="B988" i="4"/>
  <c r="G988" i="4"/>
  <c r="AC987" i="4"/>
  <c r="AD987" i="4" s="1"/>
  <c r="AE987" i="4" s="1"/>
  <c r="J988" i="4"/>
  <c r="K988" i="4" l="1"/>
  <c r="L988" i="4" s="1"/>
  <c r="AF988" i="4"/>
  <c r="AG988" i="4" s="1"/>
  <c r="C988" i="4"/>
  <c r="H988" i="4"/>
  <c r="E988" i="4"/>
  <c r="AA988" i="4" l="1"/>
  <c r="AB988" i="4" s="1"/>
  <c r="M988" i="4"/>
  <c r="N988" i="4" s="1"/>
  <c r="O988" i="4" s="1"/>
  <c r="P988" i="4" s="1"/>
  <c r="AH988" i="4"/>
  <c r="AI988" i="4" s="1"/>
  <c r="AJ988" i="4" s="1"/>
  <c r="AK988" i="4" s="1"/>
  <c r="AL988" i="4" s="1"/>
  <c r="T988" i="4"/>
  <c r="U988" i="4" s="1"/>
  <c r="R988" i="4"/>
  <c r="S988" i="4" s="1"/>
  <c r="V988" i="4" s="1"/>
  <c r="W988" i="4" s="1"/>
  <c r="X988" i="4" s="1"/>
  <c r="Y988" i="4"/>
  <c r="Z988" i="4" s="1"/>
  <c r="AC988" i="4" s="1"/>
  <c r="AD988" i="4" s="1"/>
  <c r="AE988" i="4" s="1"/>
  <c r="Q988" i="4" l="1"/>
  <c r="AM988" i="4" s="1"/>
  <c r="G989" i="4"/>
  <c r="I989" i="4"/>
  <c r="B989" i="4"/>
  <c r="D989" i="4"/>
  <c r="J989" i="4"/>
  <c r="F989" i="4"/>
  <c r="H989" i="4"/>
  <c r="E989" i="4"/>
  <c r="C989" i="4"/>
  <c r="Y989" i="4" l="1"/>
  <c r="Z989" i="4" s="1"/>
  <c r="AC989" i="4" s="1"/>
  <c r="AD989" i="4" s="1"/>
  <c r="AE989" i="4" s="1"/>
  <c r="AF989" i="4"/>
  <c r="AG989" i="4" s="1"/>
  <c r="AJ989" i="4" s="1"/>
  <c r="AK989" i="4" s="1"/>
  <c r="AL989" i="4" s="1"/>
  <c r="K989" i="4"/>
  <c r="L989" i="4" s="1"/>
  <c r="R989" i="4"/>
  <c r="S989" i="4" s="1"/>
  <c r="AH989" i="4"/>
  <c r="AI989" i="4" s="1"/>
  <c r="T989" i="4"/>
  <c r="U989" i="4" s="1"/>
  <c r="M989" i="4"/>
  <c r="N989" i="4" s="1"/>
  <c r="AA989" i="4"/>
  <c r="AB989" i="4" s="1"/>
  <c r="V989" i="4" l="1"/>
  <c r="W989" i="4" s="1"/>
  <c r="X989" i="4" s="1"/>
  <c r="O989" i="4"/>
  <c r="P989" i="4" s="1"/>
  <c r="Q989" i="4" l="1"/>
  <c r="AM989" i="4" s="1"/>
  <c r="H990" i="4"/>
  <c r="F990" i="4"/>
  <c r="B990" i="4"/>
  <c r="D990" i="4"/>
  <c r="I990" i="4"/>
  <c r="C990" i="4"/>
  <c r="G990" i="4"/>
  <c r="E990" i="4"/>
  <c r="J990" i="4"/>
  <c r="AF990" i="4" l="1"/>
  <c r="AG990" i="4" s="1"/>
  <c r="R990" i="4"/>
  <c r="S990" i="4" s="1"/>
  <c r="Y990" i="4"/>
  <c r="Z990" i="4" s="1"/>
  <c r="AC990" i="4" s="1"/>
  <c r="AD990" i="4" s="1"/>
  <c r="AE990" i="4" s="1"/>
  <c r="K990" i="4"/>
  <c r="L990" i="4" s="1"/>
  <c r="M990" i="4"/>
  <c r="N990" i="4" s="1"/>
  <c r="AH990" i="4"/>
  <c r="AI990" i="4" s="1"/>
  <c r="T990" i="4"/>
  <c r="U990" i="4" s="1"/>
  <c r="AA990" i="4"/>
  <c r="AB990" i="4" s="1"/>
  <c r="V990" i="4" l="1"/>
  <c r="W990" i="4" s="1"/>
  <c r="X990" i="4" s="1"/>
  <c r="AJ990" i="4"/>
  <c r="AK990" i="4" s="1"/>
  <c r="AL990" i="4" s="1"/>
  <c r="O990" i="4"/>
  <c r="P990" i="4" s="1"/>
  <c r="Q990" i="4" l="1"/>
  <c r="AM990" i="4" s="1"/>
  <c r="C991" i="4"/>
  <c r="B991" i="4"/>
  <c r="G991" i="4"/>
  <c r="F991" i="4"/>
  <c r="D991" i="4"/>
  <c r="J991" i="4"/>
  <c r="I991" i="4"/>
  <c r="H991" i="4"/>
  <c r="E991" i="4"/>
  <c r="K991" i="4" l="1"/>
  <c r="L991" i="4" s="1"/>
  <c r="AF991" i="4"/>
  <c r="AG991" i="4" s="1"/>
  <c r="AJ991" i="4" s="1"/>
  <c r="AK991" i="4" s="1"/>
  <c r="AL991" i="4" s="1"/>
  <c r="R991" i="4"/>
  <c r="S991" i="4" s="1"/>
  <c r="V991" i="4" s="1"/>
  <c r="W991" i="4" s="1"/>
  <c r="X991" i="4" s="1"/>
  <c r="Y991" i="4"/>
  <c r="Z991" i="4" s="1"/>
  <c r="AC991" i="4" s="1"/>
  <c r="AD991" i="4" s="1"/>
  <c r="AE991" i="4" s="1"/>
  <c r="T991" i="4"/>
  <c r="U991" i="4" s="1"/>
  <c r="AH991" i="4"/>
  <c r="AI991" i="4" s="1"/>
  <c r="M991" i="4"/>
  <c r="N991" i="4" s="1"/>
  <c r="AA991" i="4"/>
  <c r="AB991" i="4" s="1"/>
  <c r="O991" i="4" l="1"/>
  <c r="P991" i="4" s="1"/>
  <c r="Q991" i="4" l="1"/>
  <c r="AM991" i="4" s="1"/>
  <c r="I992" i="4"/>
  <c r="D992" i="4"/>
  <c r="H992" i="4"/>
  <c r="J992" i="4"/>
  <c r="G992" i="4"/>
  <c r="F992" i="4"/>
  <c r="B992" i="4"/>
  <c r="E992" i="4"/>
  <c r="C992" i="4"/>
  <c r="Y992" i="4" l="1"/>
  <c r="Z992" i="4" s="1"/>
  <c r="K992" i="4"/>
  <c r="L992" i="4" s="1"/>
  <c r="AF992" i="4"/>
  <c r="AG992" i="4" s="1"/>
  <c r="R992" i="4"/>
  <c r="S992" i="4" s="1"/>
  <c r="V992" i="4" s="1"/>
  <c r="W992" i="4" s="1"/>
  <c r="X992" i="4" s="1"/>
  <c r="T992" i="4"/>
  <c r="U992" i="4" s="1"/>
  <c r="AA992" i="4"/>
  <c r="AB992" i="4" s="1"/>
  <c r="M992" i="4"/>
  <c r="N992" i="4" s="1"/>
  <c r="AH992" i="4"/>
  <c r="AI992" i="4" s="1"/>
  <c r="AJ992" i="4" l="1"/>
  <c r="AK992" i="4" s="1"/>
  <c r="AL992" i="4" s="1"/>
  <c r="AC992" i="4"/>
  <c r="AD992" i="4" s="1"/>
  <c r="AE992" i="4" s="1"/>
  <c r="O992" i="4"/>
  <c r="P992" i="4" s="1"/>
  <c r="Q992" i="4" l="1"/>
  <c r="AM992" i="4" s="1"/>
  <c r="AP110" i="4" s="1"/>
  <c r="F993" i="4"/>
  <c r="I993" i="4"/>
  <c r="E993" i="4"/>
  <c r="G993" i="4"/>
  <c r="C993" i="4"/>
  <c r="D993" i="4"/>
  <c r="H993" i="4"/>
  <c r="B993" i="4"/>
  <c r="J993" i="4"/>
  <c r="AA993" i="4" l="1"/>
  <c r="AB993" i="4" s="1"/>
  <c r="M993" i="4"/>
  <c r="N993" i="4" s="1"/>
  <c r="T993" i="4"/>
  <c r="U993" i="4" s="1"/>
  <c r="AH993" i="4"/>
  <c r="AI993" i="4" s="1"/>
  <c r="K993" i="4"/>
  <c r="L993" i="4" s="1"/>
  <c r="R993" i="4"/>
  <c r="S993" i="4" s="1"/>
  <c r="Y993" i="4"/>
  <c r="Z993" i="4" s="1"/>
  <c r="AC993" i="4" s="1"/>
  <c r="AD993" i="4" s="1"/>
  <c r="AE993" i="4" s="1"/>
  <c r="AF993" i="4"/>
  <c r="AG993" i="4" s="1"/>
  <c r="V993" i="4" l="1"/>
  <c r="W993" i="4" s="1"/>
  <c r="X993" i="4" s="1"/>
  <c r="O993" i="4"/>
  <c r="P993" i="4" s="1"/>
  <c r="AJ993" i="4"/>
  <c r="AK993" i="4" s="1"/>
  <c r="AL993" i="4" s="1"/>
  <c r="Q993" i="4" l="1"/>
  <c r="AM993" i="4" s="1"/>
  <c r="C994" i="4"/>
  <c r="J994" i="4"/>
  <c r="H994" i="4"/>
  <c r="F994" i="4"/>
  <c r="D994" i="4"/>
  <c r="G994" i="4"/>
  <c r="E994" i="4"/>
  <c r="I994" i="4"/>
  <c r="B994" i="4"/>
  <c r="AH994" i="4" l="1"/>
  <c r="AI994" i="4" s="1"/>
  <c r="M994" i="4"/>
  <c r="N994" i="4" s="1"/>
  <c r="AA994" i="4"/>
  <c r="AB994" i="4" s="1"/>
  <c r="T994" i="4"/>
  <c r="U994" i="4" s="1"/>
  <c r="Y994" i="4"/>
  <c r="Z994" i="4" s="1"/>
  <c r="AC994" i="4" s="1"/>
  <c r="AD994" i="4" s="1"/>
  <c r="AE994" i="4" s="1"/>
  <c r="R994" i="4"/>
  <c r="S994" i="4" s="1"/>
  <c r="K994" i="4"/>
  <c r="L994" i="4" s="1"/>
  <c r="O994" i="4" s="1"/>
  <c r="P994" i="4" s="1"/>
  <c r="Q994" i="4" s="1"/>
  <c r="AF994" i="4"/>
  <c r="AG994" i="4" s="1"/>
  <c r="AJ994" i="4" s="1"/>
  <c r="AK994" i="4" s="1"/>
  <c r="AL994" i="4" s="1"/>
  <c r="V994" i="4" l="1"/>
  <c r="W994" i="4" s="1"/>
  <c r="I995" i="4" s="1"/>
  <c r="X994" i="4" l="1"/>
  <c r="AM994" i="4" s="1"/>
  <c r="B995" i="4"/>
  <c r="E995" i="4"/>
  <c r="D995" i="4"/>
  <c r="G995" i="4"/>
  <c r="C995" i="4"/>
  <c r="H995" i="4"/>
  <c r="F995" i="4"/>
  <c r="J995" i="4"/>
  <c r="AF995" i="4" l="1"/>
  <c r="AG995" i="4" s="1"/>
  <c r="Y995" i="4"/>
  <c r="Z995" i="4" s="1"/>
  <c r="K995" i="4"/>
  <c r="L995" i="4" s="1"/>
  <c r="O995" i="4" s="1"/>
  <c r="P995" i="4" s="1"/>
  <c r="R995" i="4"/>
  <c r="S995" i="4" s="1"/>
  <c r="V995" i="4" s="1"/>
  <c r="W995" i="4" s="1"/>
  <c r="X995" i="4" s="1"/>
  <c r="T995" i="4"/>
  <c r="U995" i="4" s="1"/>
  <c r="M995" i="4"/>
  <c r="N995" i="4" s="1"/>
  <c r="AH995" i="4"/>
  <c r="AI995" i="4" s="1"/>
  <c r="AA995" i="4"/>
  <c r="AB995" i="4" s="1"/>
  <c r="Q995" i="4" l="1"/>
  <c r="AC995" i="4"/>
  <c r="AD995" i="4" s="1"/>
  <c r="AJ995" i="4"/>
  <c r="AK995" i="4" s="1"/>
  <c r="AL995" i="4" s="1"/>
  <c r="B996" i="4"/>
  <c r="D996" i="4"/>
  <c r="G996" i="4"/>
  <c r="AE995" i="4" l="1"/>
  <c r="AM995" i="4" s="1"/>
  <c r="F996" i="4"/>
  <c r="H996" i="4"/>
  <c r="E996" i="4"/>
  <c r="J996" i="4"/>
  <c r="I996" i="4"/>
  <c r="C996" i="4"/>
  <c r="Y996" i="4" s="1"/>
  <c r="Z996" i="4" s="1"/>
  <c r="K996" i="4" l="1"/>
  <c r="L996" i="4" s="1"/>
  <c r="O996" i="4" s="1"/>
  <c r="P996" i="4" s="1"/>
  <c r="AF996" i="4"/>
  <c r="AG996" i="4" s="1"/>
  <c r="AJ996" i="4" s="1"/>
  <c r="AK996" i="4" s="1"/>
  <c r="AL996" i="4" s="1"/>
  <c r="AH996" i="4"/>
  <c r="AI996" i="4" s="1"/>
  <c r="AA996" i="4"/>
  <c r="AB996" i="4" s="1"/>
  <c r="AC996" i="4" s="1"/>
  <c r="AD996" i="4" s="1"/>
  <c r="T996" i="4"/>
  <c r="U996" i="4" s="1"/>
  <c r="M996" i="4"/>
  <c r="N996" i="4" s="1"/>
  <c r="R996" i="4"/>
  <c r="S996" i="4" s="1"/>
  <c r="V996" i="4" s="1"/>
  <c r="W996" i="4" s="1"/>
  <c r="X996" i="4" s="1"/>
  <c r="AE996" i="4" l="1"/>
  <c r="F997" i="4"/>
  <c r="E997" i="4"/>
  <c r="H997" i="4"/>
  <c r="J997" i="4"/>
  <c r="C997" i="4"/>
  <c r="Q996" i="4"/>
  <c r="AM996" i="4" s="1"/>
  <c r="D997" i="4"/>
  <c r="G997" i="4"/>
  <c r="B997" i="4"/>
  <c r="I997" i="4"/>
  <c r="AF997" i="4" l="1"/>
  <c r="AG997" i="4" s="1"/>
  <c r="AJ997" i="4" s="1"/>
  <c r="AK997" i="4" s="1"/>
  <c r="AL997" i="4" s="1"/>
  <c r="K997" i="4"/>
  <c r="L997" i="4" s="1"/>
  <c r="O997" i="4" s="1"/>
  <c r="P997" i="4" s="1"/>
  <c r="Q997" i="4" s="1"/>
  <c r="Y997" i="4"/>
  <c r="Z997" i="4" s="1"/>
  <c r="AC997" i="4" s="1"/>
  <c r="AD997" i="4" s="1"/>
  <c r="AE997" i="4" s="1"/>
  <c r="R997" i="4"/>
  <c r="S997" i="4" s="1"/>
  <c r="V997" i="4" s="1"/>
  <c r="W997" i="4" s="1"/>
  <c r="X997" i="4" s="1"/>
  <c r="T997" i="4"/>
  <c r="U997" i="4" s="1"/>
  <c r="AH997" i="4"/>
  <c r="AI997" i="4" s="1"/>
  <c r="M997" i="4"/>
  <c r="N997" i="4" s="1"/>
  <c r="AA997" i="4"/>
  <c r="AB997" i="4" s="1"/>
  <c r="AM997" i="4" l="1"/>
  <c r="F998" i="4"/>
  <c r="B998" i="4"/>
  <c r="I998" i="4"/>
  <c r="C998" i="4"/>
  <c r="J998" i="4"/>
  <c r="D998" i="4"/>
  <c r="E998" i="4"/>
  <c r="G998" i="4"/>
  <c r="H998" i="4"/>
  <c r="AH998" i="4" l="1"/>
  <c r="AI998" i="4" s="1"/>
  <c r="T998" i="4"/>
  <c r="U998" i="4" s="1"/>
  <c r="M998" i="4"/>
  <c r="N998" i="4" s="1"/>
  <c r="AA998" i="4"/>
  <c r="AB998" i="4" s="1"/>
  <c r="R998" i="4"/>
  <c r="S998" i="4" s="1"/>
  <c r="V998" i="4" s="1"/>
  <c r="W998" i="4" s="1"/>
  <c r="X998" i="4" s="1"/>
  <c r="AF998" i="4"/>
  <c r="AG998" i="4" s="1"/>
  <c r="AJ998" i="4" s="1"/>
  <c r="AK998" i="4" s="1"/>
  <c r="AL998" i="4" s="1"/>
  <c r="Y998" i="4"/>
  <c r="Z998" i="4" s="1"/>
  <c r="AC998" i="4" s="1"/>
  <c r="AD998" i="4" s="1"/>
  <c r="AE998" i="4" s="1"/>
  <c r="K998" i="4"/>
  <c r="L998" i="4" s="1"/>
  <c r="O998" i="4" s="1"/>
  <c r="P998" i="4" s="1"/>
  <c r="Q998" i="4" s="1"/>
  <c r="AM998" i="4" s="1"/>
  <c r="J999" i="4" l="1"/>
  <c r="D999" i="4"/>
  <c r="B999" i="4"/>
  <c r="E999" i="4"/>
  <c r="F999" i="4"/>
  <c r="I999" i="4"/>
  <c r="C999" i="4"/>
  <c r="G999" i="4"/>
  <c r="H999" i="4"/>
  <c r="T999" i="4" l="1"/>
  <c r="U999" i="4" s="1"/>
  <c r="AH999" i="4"/>
  <c r="AI999" i="4" s="1"/>
  <c r="M999" i="4"/>
  <c r="N999" i="4" s="1"/>
  <c r="AA999" i="4"/>
  <c r="AB999" i="4" s="1"/>
  <c r="AF999" i="4"/>
  <c r="AG999" i="4" s="1"/>
  <c r="AJ999" i="4" s="1"/>
  <c r="AK999" i="4" s="1"/>
  <c r="AL999" i="4" s="1"/>
  <c r="K999" i="4"/>
  <c r="L999" i="4" s="1"/>
  <c r="O999" i="4" s="1"/>
  <c r="P999" i="4" s="1"/>
  <c r="Q999" i="4" s="1"/>
  <c r="R999" i="4"/>
  <c r="S999" i="4" s="1"/>
  <c r="V999" i="4" s="1"/>
  <c r="W999" i="4" s="1"/>
  <c r="X999" i="4" s="1"/>
  <c r="Y999" i="4"/>
  <c r="Z999" i="4" s="1"/>
  <c r="AC999" i="4" s="1"/>
  <c r="AD999" i="4" s="1"/>
  <c r="AE999" i="4" s="1"/>
  <c r="H1000" i="4"/>
  <c r="D1000" i="4" l="1"/>
  <c r="G1000" i="4"/>
  <c r="AM999" i="4"/>
  <c r="B1000" i="4"/>
  <c r="E1000" i="4"/>
  <c r="F1000" i="4"/>
  <c r="J1000" i="4"/>
  <c r="I1000" i="4"/>
  <c r="C1000" i="4"/>
  <c r="AH1000" i="4" l="1"/>
  <c r="AI1000" i="4" s="1"/>
  <c r="AA1000" i="4"/>
  <c r="AB1000" i="4" s="1"/>
  <c r="T1000" i="4"/>
  <c r="U1000" i="4" s="1"/>
  <c r="M1000" i="4"/>
  <c r="N1000" i="4" s="1"/>
  <c r="R1000" i="4"/>
  <c r="S1000" i="4" s="1"/>
  <c r="Y1000" i="4"/>
  <c r="Z1000" i="4" s="1"/>
  <c r="K1000" i="4"/>
  <c r="L1000" i="4" s="1"/>
  <c r="AF1000" i="4"/>
  <c r="AG1000" i="4" s="1"/>
  <c r="AJ1000" i="4" s="1"/>
  <c r="AK1000" i="4" s="1"/>
  <c r="AL1000" i="4" s="1"/>
  <c r="O1000" i="4" l="1"/>
  <c r="P1000" i="4" s="1"/>
  <c r="AC1000" i="4"/>
  <c r="AD1000" i="4" s="1"/>
  <c r="AE1000" i="4" s="1"/>
  <c r="V1000" i="4"/>
  <c r="W1000" i="4" s="1"/>
  <c r="X1000" i="4" s="1"/>
  <c r="Q1000" i="4" l="1"/>
  <c r="AM1000" i="4" s="1"/>
  <c r="H1001" i="4"/>
  <c r="J1001" i="4"/>
  <c r="E1001" i="4"/>
  <c r="F1001" i="4"/>
  <c r="B1001" i="4"/>
  <c r="I1001" i="4"/>
  <c r="G1001" i="4"/>
  <c r="D1001" i="4"/>
  <c r="C1001" i="4"/>
  <c r="AF1001" i="4" l="1"/>
  <c r="AG1001" i="4" s="1"/>
  <c r="K1001" i="4"/>
  <c r="L1001" i="4" s="1"/>
  <c r="R1001" i="4"/>
  <c r="S1001" i="4" s="1"/>
  <c r="V1001" i="4" s="1"/>
  <c r="W1001" i="4" s="1"/>
  <c r="X1001" i="4" s="1"/>
  <c r="Y1001" i="4"/>
  <c r="Z1001" i="4" s="1"/>
  <c r="AC1001" i="4" s="1"/>
  <c r="AD1001" i="4" s="1"/>
  <c r="AE1001" i="4" s="1"/>
  <c r="T1001" i="4"/>
  <c r="U1001" i="4" s="1"/>
  <c r="AA1001" i="4"/>
  <c r="AB1001" i="4" s="1"/>
  <c r="M1001" i="4"/>
  <c r="N1001" i="4" s="1"/>
  <c r="AH1001" i="4"/>
  <c r="AI1001" i="4" s="1"/>
  <c r="AJ1001" i="4" l="1"/>
  <c r="AK1001" i="4" s="1"/>
  <c r="AL1001" i="4" s="1"/>
  <c r="O1001" i="4"/>
  <c r="P1001" i="4" s="1"/>
  <c r="Q1001" i="4" l="1"/>
  <c r="AM1001" i="4" s="1"/>
  <c r="B1002" i="4"/>
  <c r="C1002" i="4"/>
  <c r="D1002" i="4"/>
  <c r="E1002" i="4"/>
  <c r="I1002" i="4"/>
  <c r="J1002" i="4"/>
  <c r="F1002" i="4"/>
  <c r="H1002" i="4"/>
  <c r="G1002" i="4"/>
  <c r="R1002" i="4" l="1"/>
  <c r="S1002" i="4" s="1"/>
  <c r="Y1002" i="4"/>
  <c r="Z1002" i="4" s="1"/>
  <c r="AC1002" i="4" s="1"/>
  <c r="AD1002" i="4" s="1"/>
  <c r="AE1002" i="4" s="1"/>
  <c r="AF1002" i="4"/>
  <c r="AG1002" i="4" s="1"/>
  <c r="AJ1002" i="4" s="1"/>
  <c r="AK1002" i="4" s="1"/>
  <c r="AL1002" i="4" s="1"/>
  <c r="K1002" i="4"/>
  <c r="L1002" i="4" s="1"/>
  <c r="AH1002" i="4"/>
  <c r="AI1002" i="4" s="1"/>
  <c r="AA1002" i="4"/>
  <c r="AB1002" i="4" s="1"/>
  <c r="M1002" i="4"/>
  <c r="N1002" i="4" s="1"/>
  <c r="T1002" i="4"/>
  <c r="U1002" i="4" s="1"/>
  <c r="V1002" i="4" l="1"/>
  <c r="W1002" i="4" s="1"/>
  <c r="X1002" i="4" s="1"/>
  <c r="O1002" i="4"/>
  <c r="P1002" i="4" s="1"/>
  <c r="Q1002" i="4" l="1"/>
  <c r="AM1002" i="4" s="1"/>
  <c r="AP111" i="4" s="1"/>
  <c r="F1003" i="4"/>
  <c r="H1003" i="4"/>
  <c r="J1003" i="4"/>
  <c r="I1003" i="4"/>
  <c r="D1003" i="4"/>
  <c r="G1003" i="4"/>
  <c r="E1003" i="4"/>
  <c r="B1003" i="4"/>
  <c r="C1003" i="4"/>
  <c r="T1003" i="4" l="1"/>
  <c r="U1003" i="4" s="1"/>
  <c r="M1003" i="4"/>
  <c r="N1003" i="4" s="1"/>
  <c r="AA1003" i="4"/>
  <c r="AB1003" i="4" s="1"/>
  <c r="AH1003" i="4"/>
  <c r="AI1003" i="4" s="1"/>
  <c r="AF1003" i="4"/>
  <c r="AG1003" i="4" s="1"/>
  <c r="AJ1003" i="4" s="1"/>
  <c r="AK1003" i="4" s="1"/>
  <c r="AL1003" i="4" s="1"/>
  <c r="Y1003" i="4"/>
  <c r="Z1003" i="4" s="1"/>
  <c r="AC1003" i="4" s="1"/>
  <c r="AD1003" i="4" s="1"/>
  <c r="AE1003" i="4" s="1"/>
  <c r="R1003" i="4"/>
  <c r="S1003" i="4" s="1"/>
  <c r="V1003" i="4" s="1"/>
  <c r="W1003" i="4" s="1"/>
  <c r="X1003" i="4" s="1"/>
  <c r="K1003" i="4"/>
  <c r="L1003" i="4" s="1"/>
  <c r="O1003" i="4" l="1"/>
  <c r="P1003" i="4" s="1"/>
  <c r="Q1003" i="4" l="1"/>
  <c r="AM1003" i="4" s="1"/>
  <c r="I1004" i="4"/>
  <c r="C1004" i="4"/>
  <c r="F1004" i="4"/>
  <c r="G1004" i="4"/>
  <c r="E1004" i="4"/>
  <c r="J1004" i="4"/>
  <c r="B1004" i="4"/>
  <c r="D1004" i="4"/>
  <c r="H1004" i="4"/>
  <c r="R1004" i="4" l="1"/>
  <c r="S1004" i="4" s="1"/>
  <c r="Y1004" i="4"/>
  <c r="Z1004" i="4" s="1"/>
  <c r="K1004" i="4"/>
  <c r="L1004" i="4" s="1"/>
  <c r="AF1004" i="4"/>
  <c r="AG1004" i="4" s="1"/>
  <c r="AJ1004" i="4" s="1"/>
  <c r="AK1004" i="4" s="1"/>
  <c r="AL1004" i="4" s="1"/>
  <c r="AH1004" i="4"/>
  <c r="AI1004" i="4" s="1"/>
  <c r="M1004" i="4"/>
  <c r="N1004" i="4" s="1"/>
  <c r="T1004" i="4"/>
  <c r="U1004" i="4" s="1"/>
  <c r="AA1004" i="4"/>
  <c r="AB1004" i="4" s="1"/>
  <c r="O1004" i="4" l="1"/>
  <c r="P1004" i="4" s="1"/>
  <c r="AC1004" i="4"/>
  <c r="AD1004" i="4" s="1"/>
  <c r="AE1004" i="4" s="1"/>
  <c r="V1004" i="4"/>
  <c r="W1004" i="4" s="1"/>
  <c r="X1004" i="4" s="1"/>
  <c r="Q1004" i="4" l="1"/>
  <c r="AM1004" i="4" s="1"/>
  <c r="H1005" i="4"/>
  <c r="D1005" i="4"/>
  <c r="I1005" i="4"/>
  <c r="B1005" i="4"/>
  <c r="J1005" i="4"/>
  <c r="G1005" i="4"/>
  <c r="E1005" i="4"/>
  <c r="C1005" i="4"/>
  <c r="F1005" i="4"/>
  <c r="T1005" i="4" l="1"/>
  <c r="U1005" i="4" s="1"/>
  <c r="AH1005" i="4"/>
  <c r="AI1005" i="4" s="1"/>
  <c r="AA1005" i="4"/>
  <c r="AB1005" i="4" s="1"/>
  <c r="M1005" i="4"/>
  <c r="N1005" i="4" s="1"/>
  <c r="AF1005" i="4"/>
  <c r="AG1005" i="4" s="1"/>
  <c r="AJ1005" i="4" s="1"/>
  <c r="AK1005" i="4" s="1"/>
  <c r="AL1005" i="4" s="1"/>
  <c r="R1005" i="4"/>
  <c r="S1005" i="4" s="1"/>
  <c r="V1005" i="4" s="1"/>
  <c r="W1005" i="4" s="1"/>
  <c r="X1005" i="4" s="1"/>
  <c r="K1005" i="4"/>
  <c r="L1005" i="4" s="1"/>
  <c r="O1005" i="4" s="1"/>
  <c r="P1005" i="4" s="1"/>
  <c r="Q1005" i="4" s="1"/>
  <c r="AM1005" i="4" s="1"/>
  <c r="Y1005" i="4"/>
  <c r="Z1005" i="4" s="1"/>
  <c r="AC1005" i="4" s="1"/>
  <c r="AD1005" i="4" s="1"/>
  <c r="AE1005" i="4" s="1"/>
  <c r="I1006" i="4" l="1"/>
  <c r="J1006" i="4"/>
  <c r="G1006" i="4"/>
  <c r="E1006" i="4"/>
  <c r="B1006" i="4"/>
  <c r="H1006" i="4"/>
  <c r="D1006" i="4"/>
  <c r="C1006" i="4"/>
  <c r="F1006" i="4"/>
  <c r="R1006" i="4" l="1"/>
  <c r="S1006" i="4" s="1"/>
  <c r="V1006" i="4" s="1"/>
  <c r="W1006" i="4" s="1"/>
  <c r="X1006" i="4" s="1"/>
  <c r="AF1006" i="4"/>
  <c r="AG1006" i="4" s="1"/>
  <c r="AJ1006" i="4" s="1"/>
  <c r="AK1006" i="4" s="1"/>
  <c r="AL1006" i="4" s="1"/>
  <c r="K1006" i="4"/>
  <c r="L1006" i="4" s="1"/>
  <c r="Y1006" i="4"/>
  <c r="Z1006" i="4" s="1"/>
  <c r="AH1006" i="4"/>
  <c r="AI1006" i="4" s="1"/>
  <c r="T1006" i="4"/>
  <c r="U1006" i="4" s="1"/>
  <c r="AA1006" i="4"/>
  <c r="AB1006" i="4" s="1"/>
  <c r="M1006" i="4"/>
  <c r="N1006" i="4" s="1"/>
  <c r="O1006" i="4" l="1"/>
  <c r="P1006" i="4" s="1"/>
  <c r="AC1006" i="4"/>
  <c r="AD1006" i="4" s="1"/>
  <c r="AE1006" i="4" s="1"/>
  <c r="Q1006" i="4" l="1"/>
  <c r="AM1006" i="4" s="1"/>
  <c r="C1007" i="4"/>
  <c r="I1007" i="4"/>
  <c r="D1007" i="4"/>
  <c r="H1007" i="4"/>
  <c r="E1007" i="4"/>
  <c r="G1007" i="4"/>
  <c r="J1007" i="4"/>
  <c r="B1007" i="4"/>
  <c r="F1007" i="4"/>
  <c r="T1007" i="4" l="1"/>
  <c r="U1007" i="4" s="1"/>
  <c r="AA1007" i="4"/>
  <c r="AB1007" i="4" s="1"/>
  <c r="M1007" i="4"/>
  <c r="N1007" i="4" s="1"/>
  <c r="AH1007" i="4"/>
  <c r="AI1007" i="4" s="1"/>
  <c r="AF1007" i="4"/>
  <c r="AG1007" i="4" s="1"/>
  <c r="AJ1007" i="4" s="1"/>
  <c r="AK1007" i="4" s="1"/>
  <c r="AL1007" i="4" s="1"/>
  <c r="Y1007" i="4"/>
  <c r="Z1007" i="4" s="1"/>
  <c r="K1007" i="4"/>
  <c r="L1007" i="4" s="1"/>
  <c r="O1007" i="4" s="1"/>
  <c r="P1007" i="4" s="1"/>
  <c r="Q1007" i="4" s="1"/>
  <c r="R1007" i="4"/>
  <c r="S1007" i="4" s="1"/>
  <c r="AC1007" i="4" l="1"/>
  <c r="AD1007" i="4" s="1"/>
  <c r="AE1007" i="4" s="1"/>
  <c r="I1008" i="4"/>
  <c r="F1008" i="4"/>
  <c r="D1008" i="4"/>
  <c r="B1008" i="4"/>
  <c r="H1008" i="4"/>
  <c r="V1007" i="4"/>
  <c r="W1007" i="4" s="1"/>
  <c r="G1008" i="4"/>
  <c r="J1008" i="4" l="1"/>
  <c r="C1008" i="4"/>
  <c r="X1007" i="4"/>
  <c r="AM1007" i="4" s="1"/>
  <c r="E1008" i="4"/>
  <c r="AH1008" i="4" l="1"/>
  <c r="AI1008" i="4" s="1"/>
  <c r="T1008" i="4"/>
  <c r="U1008" i="4" s="1"/>
  <c r="AA1008" i="4"/>
  <c r="AB1008" i="4" s="1"/>
  <c r="M1008" i="4"/>
  <c r="N1008" i="4" s="1"/>
  <c r="Y1008" i="4"/>
  <c r="Z1008" i="4" s="1"/>
  <c r="K1008" i="4"/>
  <c r="L1008" i="4" s="1"/>
  <c r="AF1008" i="4"/>
  <c r="AG1008" i="4" s="1"/>
  <c r="AJ1008" i="4" s="1"/>
  <c r="AK1008" i="4" s="1"/>
  <c r="AL1008" i="4" s="1"/>
  <c r="R1008" i="4"/>
  <c r="S1008" i="4" s="1"/>
  <c r="V1008" i="4" s="1"/>
  <c r="W1008" i="4" s="1"/>
  <c r="X1008" i="4" s="1"/>
  <c r="AC1008" i="4" l="1"/>
  <c r="AD1008" i="4" s="1"/>
  <c r="AE1008" i="4" s="1"/>
  <c r="O1008" i="4"/>
  <c r="P1008" i="4" s="1"/>
  <c r="Q1008" i="4" l="1"/>
  <c r="AM1008" i="4" s="1"/>
  <c r="I1009" i="4"/>
  <c r="G1009" i="4"/>
  <c r="B1009" i="4"/>
  <c r="F1009" i="4"/>
  <c r="H1009" i="4"/>
  <c r="D1009" i="4"/>
  <c r="E1009" i="4"/>
  <c r="C1009" i="4"/>
  <c r="J1009" i="4"/>
  <c r="T1009" i="4" l="1"/>
  <c r="U1009" i="4" s="1"/>
  <c r="AH1009" i="4"/>
  <c r="AI1009" i="4" s="1"/>
  <c r="AA1009" i="4"/>
  <c r="AB1009" i="4" s="1"/>
  <c r="M1009" i="4"/>
  <c r="N1009" i="4" s="1"/>
  <c r="AF1009" i="4"/>
  <c r="AG1009" i="4" s="1"/>
  <c r="AJ1009" i="4" s="1"/>
  <c r="AK1009" i="4" s="1"/>
  <c r="AL1009" i="4" s="1"/>
  <c r="Y1009" i="4"/>
  <c r="Z1009" i="4" s="1"/>
  <c r="R1009" i="4"/>
  <c r="S1009" i="4" s="1"/>
  <c r="V1009" i="4" s="1"/>
  <c r="W1009" i="4" s="1"/>
  <c r="X1009" i="4" s="1"/>
  <c r="K1009" i="4"/>
  <c r="L1009" i="4" s="1"/>
  <c r="O1009" i="4" l="1"/>
  <c r="P1009" i="4" s="1"/>
  <c r="AC1009" i="4"/>
  <c r="AD1009" i="4" s="1"/>
  <c r="AE1009" i="4" s="1"/>
  <c r="Q1009" i="4" l="1"/>
  <c r="AM1009" i="4" s="1"/>
  <c r="C1010" i="4"/>
  <c r="E1010" i="4"/>
  <c r="J1010" i="4"/>
  <c r="I1010" i="4"/>
  <c r="H1010" i="4"/>
  <c r="D1010" i="4"/>
  <c r="G1010" i="4"/>
  <c r="B1010" i="4"/>
  <c r="F1010" i="4"/>
  <c r="AH1010" i="4" l="1"/>
  <c r="AI1010" i="4" s="1"/>
  <c r="T1010" i="4"/>
  <c r="U1010" i="4" s="1"/>
  <c r="AA1010" i="4"/>
  <c r="AB1010" i="4" s="1"/>
  <c r="M1010" i="4"/>
  <c r="N1010" i="4" s="1"/>
  <c r="R1010" i="4"/>
  <c r="S1010" i="4" s="1"/>
  <c r="V1010" i="4" s="1"/>
  <c r="W1010" i="4" s="1"/>
  <c r="X1010" i="4" s="1"/>
  <c r="Y1010" i="4"/>
  <c r="Z1010" i="4" s="1"/>
  <c r="K1010" i="4"/>
  <c r="L1010" i="4" s="1"/>
  <c r="O1010" i="4" s="1"/>
  <c r="P1010" i="4" s="1"/>
  <c r="Q1010" i="4" s="1"/>
  <c r="AF1010" i="4"/>
  <c r="AG1010" i="4" s="1"/>
  <c r="AC1010" i="4" l="1"/>
  <c r="AD1010" i="4" s="1"/>
  <c r="AE1010" i="4" s="1"/>
  <c r="AM1010" i="4" s="1"/>
  <c r="B1011" i="4"/>
  <c r="C1011" i="4"/>
  <c r="F1011" i="4"/>
  <c r="H1011" i="4"/>
  <c r="J1011" i="4"/>
  <c r="AJ1010" i="4"/>
  <c r="AK1010" i="4" s="1"/>
  <c r="AL1010" i="4" s="1"/>
  <c r="G1011" i="4"/>
  <c r="I1011" i="4" l="1"/>
  <c r="D1011" i="4"/>
  <c r="AF1011" i="4" s="1"/>
  <c r="AG1011" i="4" s="1"/>
  <c r="E1011" i="4"/>
  <c r="T1011" i="4" l="1"/>
  <c r="U1011" i="4" s="1"/>
  <c r="M1011" i="4"/>
  <c r="N1011" i="4" s="1"/>
  <c r="AA1011" i="4"/>
  <c r="AB1011" i="4" s="1"/>
  <c r="AH1011" i="4"/>
  <c r="AI1011" i="4" s="1"/>
  <c r="AJ1011" i="4" s="1"/>
  <c r="AK1011" i="4" s="1"/>
  <c r="AL1011" i="4" s="1"/>
  <c r="K1011" i="4"/>
  <c r="L1011" i="4" s="1"/>
  <c r="O1011" i="4" s="1"/>
  <c r="P1011" i="4" s="1"/>
  <c r="Q1011" i="4" s="1"/>
  <c r="R1011" i="4"/>
  <c r="S1011" i="4" s="1"/>
  <c r="V1011" i="4" s="1"/>
  <c r="W1011" i="4" s="1"/>
  <c r="X1011" i="4" s="1"/>
  <c r="Y1011" i="4"/>
  <c r="Z1011" i="4" s="1"/>
  <c r="AC1011" i="4" s="1"/>
  <c r="AD1011" i="4" s="1"/>
  <c r="AE1011" i="4" s="1"/>
  <c r="AM1011" i="4" l="1"/>
  <c r="AM1013" i="4" s="1"/>
</calcChain>
</file>

<file path=xl/sharedStrings.xml><?xml version="1.0" encoding="utf-8"?>
<sst xmlns="http://schemas.openxmlformats.org/spreadsheetml/2006/main" count="180" uniqueCount="118">
  <si>
    <t xml:space="preserve">  Building a Neural Network from First Principles in Excel</t>
  </si>
  <si>
    <t xml:space="preserve">  About this workbook</t>
  </si>
  <si>
    <t>This workbook builds a small neural network using nothing but Excel formulas — no VBA, no add-ins, no macros. Every weight, activation, and gradient lives in a cell you can click on and inspect. The goal is to make the math of neural networks visible.</t>
  </si>
  <si>
    <t xml:space="preserve">  Sheets</t>
  </si>
  <si>
    <t>AND_OR_NOT</t>
  </si>
  <si>
    <t>Single perceptron solving the linearly-separable logic gates. Sets up the historical problem: Minsky and Papert (1969) showed a single-layer perceptron cannot solve XOR. That result froze neural-network research for over a decade.</t>
  </si>
  <si>
    <t>XOR_Forward</t>
  </si>
  <si>
    <t>A pre-trained 2-2-1 network (2 inputs, 2 hidden neurons, 1 output) that solves XOR. Forward pass only — every multiplication, sum, and sigmoid activation is a visible formula.</t>
  </si>
  <si>
    <t>XOR_Training</t>
  </si>
  <si>
    <t>The same network, trained from random initial weights via gradient descent. Each row is one training step (epoch). Watch the loss decrease as you scroll down. Includes a loss curve chart.</t>
  </si>
  <si>
    <t>Playground</t>
  </si>
  <si>
    <t>Type in your own weights and biases. See predictions and total error update live. Try to beat gradient descent by hand, or paste the trained weights from XOR_Training to verify they work.</t>
  </si>
  <si>
    <t xml:space="preserve">  Color key</t>
  </si>
  <si>
    <t xml:space="preserve">   </t>
  </si>
  <si>
    <t>Input value you can change</t>
  </si>
  <si>
    <t>Weight or bias (parameter)</t>
  </si>
  <si>
    <t>Output / prediction</t>
  </si>
  <si>
    <t xml:space="preserve">  How to use</t>
  </si>
  <si>
    <t>1. Start with AND_OR_NOT to see how a single neuron handles the easy gates.</t>
  </si>
  <si>
    <t>2. Open XOR_Forward to see the trained network solve XOR — every formula is visible.</t>
  </si>
  <si>
    <t>3. Scroll through XOR_Training to watch gradient descent in action across 1000 epochs.</t>
  </si>
  <si>
    <t>4. Visit Playground to experiment with your own weight values.</t>
  </si>
  <si>
    <t xml:space="preserve">  The math, in one place</t>
  </si>
  <si>
    <t>Sigmoid activation:   σ(z) = 1 / (1 + e^(-z))</t>
  </si>
  <si>
    <t>Sigmoid derivative:   σ'(z) = σ(z) · (1 - σ(z))</t>
  </si>
  <si>
    <t>Hidden neuron j:      h_j = σ(w1j·x1 + w2j·x2 + b_j)</t>
  </si>
  <si>
    <t>Output neuron:        ŷ   = σ(v1·h1 + v2·h2 + c)</t>
  </si>
  <si>
    <t>Loss (MSE):           L   = ½ · (y - ŷ)²</t>
  </si>
  <si>
    <t>Gradient descent:     w   ← w - η · ∂L/∂w</t>
  </si>
  <si>
    <t>Companion article: Marketing Data Science blog. Built for the historical lineage that runs from Rosenblatt's 1958 perceptron through the 1980s backpropagation revival to today's deep learning.</t>
  </si>
  <si>
    <t xml:space="preserve">  Single Perceptron: AND, OR, NOT</t>
  </si>
  <si>
    <t>A single neuron computes z = w1·x1 + w2·x2 + b, then applies an activation (we use sigmoid). For linearly separable problems — AND, OR, NOT — this is enough. You can find weights that draw a single straight line separating the two classes.</t>
  </si>
  <si>
    <t xml:space="preserve">  AND gate</t>
  </si>
  <si>
    <t>Weights &amp; bias (fixed)</t>
  </si>
  <si>
    <t>w1</t>
  </si>
  <si>
    <t>w2</t>
  </si>
  <si>
    <t>b</t>
  </si>
  <si>
    <t>x1</t>
  </si>
  <si>
    <t>x2</t>
  </si>
  <si>
    <t>z = w1·x1 + w2·x2 + b</t>
  </si>
  <si>
    <t>σ(z)</t>
  </si>
  <si>
    <t>Predicted</t>
  </si>
  <si>
    <t>Target</t>
  </si>
  <si>
    <t>Match?</t>
  </si>
  <si>
    <t xml:space="preserve">  OR gate</t>
  </si>
  <si>
    <t xml:space="preserve">  NOT gate (single input)</t>
  </si>
  <si>
    <t>w</t>
  </si>
  <si>
    <t>x</t>
  </si>
  <si>
    <t>z = w·x + b</t>
  </si>
  <si>
    <t xml:space="preserve">  Why XOR is different</t>
  </si>
  <si>
    <t>XOR cannot be solved by any single straight line. No matter what values you pick for w1, w2, and b, a single neuron will get at least one of the four cases wrong. This is the famous Minsky–Papert result from 1969. The fix — proven in the 1980s — is to add a hidden layer. See the next sheet.</t>
  </si>
  <si>
    <t xml:space="preserve">  XOR Network: Forward Pass (Pre-Trained)</t>
  </si>
  <si>
    <t>Two inputs, two hidden neurons, one output. Hidden neuron 1 learns to behave like OR. Hidden neuron 2 learns to behave like AND. The output combines them: 'OR but not AND' — which is exactly XOR. The weights below were hand-tuned; the next sheet learns them from scratch.</t>
  </si>
  <si>
    <t xml:space="preserve">  Weights and biases</t>
  </si>
  <si>
    <t>Layer 1 (Input → Hidden)</t>
  </si>
  <si>
    <t>Hidden 1 (h1)</t>
  </si>
  <si>
    <t>Hidden 2 (h2)</t>
  </si>
  <si>
    <t>from x1</t>
  </si>
  <si>
    <t>from x2</t>
  </si>
  <si>
    <t>bias</t>
  </si>
  <si>
    <t>Layer 2 (Hidden → Output)</t>
  </si>
  <si>
    <t>Output (ŷ)</t>
  </si>
  <si>
    <t>from h1</t>
  </si>
  <si>
    <t>from h2</t>
  </si>
  <si>
    <t xml:space="preserve">  Forward pass: every step visible</t>
  </si>
  <si>
    <t>z1 (hidden 1 pre-act)</t>
  </si>
  <si>
    <t>h1 = σ(z1)</t>
  </si>
  <si>
    <t>z2 (hidden 2 pre-act)</t>
  </si>
  <si>
    <t>h2 = σ(z2)</t>
  </si>
  <si>
    <t>z_out</t>
  </si>
  <si>
    <t>ŷ = σ(z_out)</t>
  </si>
  <si>
    <t>Result:</t>
  </si>
  <si>
    <t>Notice what hidden 1 and hidden 2 are doing. Hidden 1 is essentially OR (high whenever either input is 1). Hidden 2 is essentially AND (high only when both inputs are 1). The output computes 'OR minus AND' — exactly XOR. The hidden layer transformed the problem into one the output neuron can solve with a single line.</t>
  </si>
  <si>
    <t xml:space="preserve">  XOR Network: Gradient Descent Training</t>
  </si>
  <si>
    <t>Each row below is one training epoch. Row 8 starts with random weights. Each subsequent row applies one full-batch gradient descent step: it copies the previous row's weights, runs the network forward on all four XOR examples, computes the gradient of the loss, and subtracts a small fraction (the learning rate) of that gradient. Watch the rightmost column: total loss should decrease over the 1000 epochs. Click any cell to see the formula that produced it.</t>
  </si>
  <si>
    <t xml:space="preserve">  Hyperparameters</t>
  </si>
  <si>
    <t>Learning rate (η)</t>
  </si>
  <si>
    <t>Epochs</t>
  </si>
  <si>
    <t>Random seed</t>
  </si>
  <si>
    <t>fixed for reproducibility</t>
  </si>
  <si>
    <t xml:space="preserve">  Training trace — one epoch per row</t>
  </si>
  <si>
    <t>Epoch</t>
  </si>
  <si>
    <t>Weights (start of epoch)</t>
  </si>
  <si>
    <t>Forward: x=(0,0), target=0</t>
  </si>
  <si>
    <t>Forward: x=(0,1), target=1</t>
  </si>
  <si>
    <t>Forward: x=(1,0), target=1</t>
  </si>
  <si>
    <t>Forward: x=(1,1), target=0</t>
  </si>
  <si>
    <t>Total loss</t>
  </si>
  <si>
    <t>#</t>
  </si>
  <si>
    <t>w11</t>
  </si>
  <si>
    <t>w21</t>
  </si>
  <si>
    <t>b1</t>
  </si>
  <si>
    <t>w12</t>
  </si>
  <si>
    <t>w22</t>
  </si>
  <si>
    <t>b2</t>
  </si>
  <si>
    <t>v1</t>
  </si>
  <si>
    <t>v2</t>
  </si>
  <si>
    <t>c</t>
  </si>
  <si>
    <t>z1</t>
  </si>
  <si>
    <t>h1</t>
  </si>
  <si>
    <t>z2</t>
  </si>
  <si>
    <t>h2</t>
  </si>
  <si>
    <t>ŷ</t>
  </si>
  <si>
    <t>err</t>
  </si>
  <si>
    <t>MSE</t>
  </si>
  <si>
    <t>Epoch (sampled)</t>
  </si>
  <si>
    <t>Loss (sampled)</t>
  </si>
  <si>
    <t>Final:</t>
  </si>
  <si>
    <t>Trained weights →</t>
  </si>
  <si>
    <t xml:space="preserve">  Playground: Try Your Own Weights</t>
  </si>
  <si>
    <t>Edit any of the yellow weight cells below and watch the predictions and total error update instantly. Try to find weights by hand that solve XOR (yes, it's possible if you understand how the layers compose). Or copy values from the final epoch of XOR_Training. Tip: very small or very large initial weights make the network slow to learn — that's why we initialized between -1 and 1.</t>
  </si>
  <si>
    <t xml:space="preserve">  Your weights and biases (edit me!)</t>
  </si>
  <si>
    <t xml:space="preserve">  Live predictions</t>
  </si>
  <si>
    <t>ŷ (prediction)</t>
  </si>
  <si>
    <t>Predicted class</t>
  </si>
  <si>
    <t>Error ½(t-ŷ)²</t>
  </si>
  <si>
    <t>Total error:</t>
  </si>
  <si>
    <t>Things to try: (1) set all weights to zero — see why symmetry kills learning; (2) set just the output bias 'c' to a large positive number — the network ignores its inputs; (3) flip the sign of v2 — see how the network swaps which hidden neuron 'inhibits' the output; (4) copy the trained weights from the bottom row of XOR_Training and verify they solve XOR.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</si>
</sst>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8" x14ac:knownFonts="1">
    <font>
      <sz val="11"/>
      <color theme="1"/>
      <name val="Calibri"/>
      <family val="2"/>
      <charset val="1"/>
    </font>
    <font>
      <b/>
      <sz val="18"/>
      <color rgb="FFFFFFFF"/>
      <name val="Arial"/>
      <family val="2"/>
    </font>
    <font>
      <b/>
      <sz val="13"/>
      <color rgb="FFFFFFFF"/>
      <name val="Arial"/>
      <family val="2"/>
    </font>
    <font>
      <sz val="10"/>
      <color rgb="FF1A1A1A"/>
      <name val="Arial"/>
      <family val="2"/>
    </font>
    <font>
      <b/>
      <sz val="11"/>
      <color rgb="FF1F3A5F"/>
      <name val="Arial"/>
      <family val="2"/>
    </font>
    <font>
      <b/>
      <sz val="10"/>
      <color rgb="FF0000FF"/>
      <name val="Arial"/>
      <family val="2"/>
    </font>
    <font>
      <b/>
      <sz val="10"/>
      <color rgb="FF1A1A1A"/>
      <name val="Arial"/>
      <family val="2"/>
    </font>
    <font>
      <i/>
      <sz val="9"/>
      <color rgb="FF595959"/>
      <name val="Arial"/>
      <family val="2"/>
    </font>
  </fonts>
  <fills count="8">
    <fill>
      <patternFill patternType="none"/>
    </fill>
    <fill>
      <patternFill patternType="gray125"/>
    </fill>
    <fill>
      <patternFill patternType="solid">
        <fgColor rgb="FF1F3A5F"/>
        <bgColor rgb="FF333399"/>
      </patternFill>
    </fill>
    <fill>
      <patternFill patternType="solid">
        <fgColor rgb="FF2C7A7B"/>
        <bgColor rgb="FF008080"/>
      </patternFill>
    </fill>
    <fill>
      <patternFill patternType="solid">
        <fgColor rgb="FFDEEBF7"/>
        <bgColor rgb="FFE2EFDA"/>
      </patternFill>
    </fill>
    <fill>
      <patternFill patternType="solid">
        <fgColor rgb="FFFFF2CC"/>
        <bgColor rgb="FFF2F2F2"/>
      </patternFill>
    </fill>
    <fill>
      <patternFill patternType="solid">
        <fgColor rgb="FFE2EFDA"/>
        <bgColor rgb="FFDEEBF7"/>
      </patternFill>
    </fill>
    <fill>
      <patternFill patternType="solid">
        <fgColor rgb="FFF2F2F2"/>
        <bgColor rgb="FFE2EFD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33">
    <xf numFmtId="0" fontId="0" fillId="0" borderId="0" xfId="0"/>
    <xf numFmtId="164" fontId="6" fillId="6" borderId="2" xfId="0" applyNumberFormat="1" applyFont="1" applyFill="1" applyBorder="1" applyAlignment="1">
      <alignment horizontal="center" vertical="center"/>
    </xf>
    <xf numFmtId="0" fontId="6" fillId="7" borderId="2" xfId="0" applyFont="1" applyFill="1" applyBorder="1" applyAlignment="1">
      <alignment horizontal="center" vertical="center"/>
    </xf>
    <xf numFmtId="0" fontId="6" fillId="6" borderId="2" xfId="0" applyFont="1" applyFill="1" applyBorder="1" applyAlignment="1">
      <alignment horizontal="left" vertical="center" wrapText="1"/>
    </xf>
    <xf numFmtId="0" fontId="7" fillId="0" borderId="0" xfId="0" applyFont="1" applyAlignment="1">
      <alignment horizontal="left" vertical="center" wrapText="1"/>
    </xf>
    <xf numFmtId="0" fontId="3" fillId="0" borderId="0" xfId="0" applyFont="1" applyAlignment="1">
      <alignment horizontal="left" vertical="center" wrapText="1"/>
    </xf>
    <xf numFmtId="0" fontId="2" fillId="3" borderId="0" xfId="0" applyFont="1" applyFill="1" applyAlignment="1">
      <alignment horizontal="left" vertical="center" indent="1"/>
    </xf>
    <xf numFmtId="0" fontId="1" fillId="2" borderId="0" xfId="0" applyFont="1" applyFill="1" applyAlignment="1">
      <alignment horizontal="left" vertical="center" indent="1"/>
    </xf>
    <xf numFmtId="0" fontId="4" fillId="0" borderId="0" xfId="0" applyFont="1"/>
    <xf numFmtId="0" fontId="0" fillId="4" borderId="1" xfId="0" applyFill="1" applyBorder="1"/>
    <xf numFmtId="0" fontId="5" fillId="0" borderId="0" xfId="0" applyFont="1"/>
    <xf numFmtId="0" fontId="0" fillId="5" borderId="1" xfId="0" applyFill="1" applyBorder="1"/>
    <xf numFmtId="0" fontId="6" fillId="0" borderId="0" xfId="0" applyFont="1"/>
    <xf numFmtId="0" fontId="0" fillId="6" borderId="1" xfId="0" applyFill="1" applyBorder="1"/>
    <xf numFmtId="0" fontId="5" fillId="5" borderId="1" xfId="0" applyFont="1" applyFill="1" applyBorder="1" applyAlignment="1">
      <alignment horizontal="center" vertical="center"/>
    </xf>
    <xf numFmtId="0" fontId="6" fillId="7" borderId="1" xfId="0" applyFont="1" applyFill="1" applyBorder="1" applyAlignment="1">
      <alignment horizontal="center" vertical="center"/>
    </xf>
    <xf numFmtId="0" fontId="5" fillId="4" borderId="1" xfId="0" applyFont="1" applyFill="1" applyBorder="1" applyAlignment="1">
      <alignment horizontal="center" vertical="center"/>
    </xf>
    <xf numFmtId="2"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6" fillId="6" borderId="1" xfId="0" applyFont="1" applyFill="1" applyBorder="1" applyAlignment="1">
      <alignment horizontal="center" vertical="center"/>
    </xf>
    <xf numFmtId="0" fontId="6" fillId="0" borderId="1" xfId="0" applyFont="1" applyBorder="1" applyAlignment="1">
      <alignment horizontal="center" vertical="center"/>
    </xf>
    <xf numFmtId="0" fontId="6" fillId="7" borderId="1" xfId="0" applyFont="1" applyFill="1" applyBorder="1"/>
    <xf numFmtId="164" fontId="6" fillId="6" borderId="1" xfId="0" applyNumberFormat="1" applyFont="1" applyFill="1" applyBorder="1" applyAlignment="1">
      <alignment horizontal="center" vertical="center"/>
    </xf>
    <xf numFmtId="0" fontId="7" fillId="0" borderId="0" xfId="0" applyFont="1" applyAlignment="1">
      <alignment horizontal="left" vertical="center"/>
    </xf>
    <xf numFmtId="0" fontId="3" fillId="0" borderId="1" xfId="0" applyFont="1" applyBorder="1" applyAlignment="1">
      <alignment horizontal="center" vertical="center"/>
    </xf>
    <xf numFmtId="164" fontId="5" fillId="5" borderId="1" xfId="0" applyNumberFormat="1" applyFont="1" applyFill="1" applyBorder="1" applyAlignment="1">
      <alignment horizontal="center" vertical="center"/>
    </xf>
    <xf numFmtId="164" fontId="3" fillId="0" borderId="1" xfId="0" applyNumberFormat="1" applyFont="1" applyBorder="1" applyAlignment="1">
      <alignment horizontal="center" vertical="center"/>
    </xf>
    <xf numFmtId="165" fontId="6" fillId="6" borderId="1" xfId="0" applyNumberFormat="1" applyFont="1" applyFill="1" applyBorder="1" applyAlignment="1">
      <alignment horizontal="center" vertical="center"/>
    </xf>
    <xf numFmtId="165" fontId="0" fillId="0" borderId="0" xfId="0" applyNumberFormat="1"/>
    <xf numFmtId="164" fontId="3" fillId="5" borderId="1" xfId="0" applyNumberFormat="1" applyFont="1" applyFill="1" applyBorder="1" applyAlignment="1">
      <alignment horizontal="center" vertical="center"/>
    </xf>
    <xf numFmtId="0" fontId="6" fillId="0" borderId="0" xfId="0" applyFont="1" applyAlignment="1">
      <alignment horizontal="right" vertical="center"/>
    </xf>
    <xf numFmtId="165" fontId="6" fillId="6" borderId="0" xfId="0" applyNumberFormat="1" applyFont="1" applyFill="1"/>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C7A7B"/>
      <rgbColor rgb="FFBFBFBF"/>
      <rgbColor rgb="FF878787"/>
      <rgbColor rgb="FF9999FF"/>
      <rgbColor rgb="FF993366"/>
      <rgbColor rgb="FFFFF2CC"/>
      <rgbColor rgb="FFDE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4A7EBB"/>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Training Loss Over Epochs</a:t>
            </a:r>
          </a:p>
        </c:rich>
      </c:tx>
      <c:overlay val="0"/>
      <c:spPr>
        <a:noFill/>
        <a:ln w="0">
          <a:noFill/>
        </a:ln>
      </c:spPr>
    </c:title>
    <c:autoTitleDeleted val="0"/>
    <c:plotArea>
      <c:layout/>
      <c:lineChart>
        <c:grouping val="standard"/>
        <c:varyColors val="0"/>
        <c:ser>
          <c:idx val="0"/>
          <c:order val="0"/>
          <c:tx>
            <c:strRef>
              <c:f>XOR_Training!$AP$11</c:f>
              <c:strCache>
                <c:ptCount val="1"/>
                <c:pt idx="0">
                  <c:v>Loss (sampled)</c:v>
                </c:pt>
              </c:strCache>
            </c:strRef>
          </c:tx>
          <c:spPr>
            <a:ln w="28440">
              <a:solidFill>
                <a:srgbClr val="4A7EBB"/>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XOR_Training!$AO$12:$AO$111</c:f>
              <c:numCache>
                <c:formatCode>General</c:formatCode>
                <c:ptCount val="100"/>
                <c:pt idx="0">
                  <c:v>1</c:v>
                </c:pt>
                <c:pt idx="1">
                  <c:v>11</c:v>
                </c:pt>
                <c:pt idx="2">
                  <c:v>21</c:v>
                </c:pt>
                <c:pt idx="3">
                  <c:v>31</c:v>
                </c:pt>
                <c:pt idx="4">
                  <c:v>41</c:v>
                </c:pt>
                <c:pt idx="5">
                  <c:v>51</c:v>
                </c:pt>
                <c:pt idx="6">
                  <c:v>61</c:v>
                </c:pt>
                <c:pt idx="7">
                  <c:v>71</c:v>
                </c:pt>
                <c:pt idx="8">
                  <c:v>81</c:v>
                </c:pt>
                <c:pt idx="9">
                  <c:v>91</c:v>
                </c:pt>
                <c:pt idx="10">
                  <c:v>101</c:v>
                </c:pt>
                <c:pt idx="11">
                  <c:v>111</c:v>
                </c:pt>
                <c:pt idx="12">
                  <c:v>121</c:v>
                </c:pt>
                <c:pt idx="13">
                  <c:v>131</c:v>
                </c:pt>
                <c:pt idx="14">
                  <c:v>141</c:v>
                </c:pt>
                <c:pt idx="15">
                  <c:v>151</c:v>
                </c:pt>
                <c:pt idx="16">
                  <c:v>161</c:v>
                </c:pt>
                <c:pt idx="17">
                  <c:v>171</c:v>
                </c:pt>
                <c:pt idx="18">
                  <c:v>181</c:v>
                </c:pt>
                <c:pt idx="19">
                  <c:v>191</c:v>
                </c:pt>
                <c:pt idx="20">
                  <c:v>201</c:v>
                </c:pt>
                <c:pt idx="21">
                  <c:v>211</c:v>
                </c:pt>
                <c:pt idx="22">
                  <c:v>221</c:v>
                </c:pt>
                <c:pt idx="23">
                  <c:v>231</c:v>
                </c:pt>
                <c:pt idx="24">
                  <c:v>241</c:v>
                </c:pt>
                <c:pt idx="25">
                  <c:v>251</c:v>
                </c:pt>
                <c:pt idx="26">
                  <c:v>261</c:v>
                </c:pt>
                <c:pt idx="27">
                  <c:v>271</c:v>
                </c:pt>
                <c:pt idx="28">
                  <c:v>281</c:v>
                </c:pt>
                <c:pt idx="29">
                  <c:v>291</c:v>
                </c:pt>
                <c:pt idx="30">
                  <c:v>301</c:v>
                </c:pt>
                <c:pt idx="31">
                  <c:v>311</c:v>
                </c:pt>
                <c:pt idx="32">
                  <c:v>321</c:v>
                </c:pt>
                <c:pt idx="33">
                  <c:v>331</c:v>
                </c:pt>
                <c:pt idx="34">
                  <c:v>341</c:v>
                </c:pt>
                <c:pt idx="35">
                  <c:v>351</c:v>
                </c:pt>
                <c:pt idx="36">
                  <c:v>361</c:v>
                </c:pt>
                <c:pt idx="37">
                  <c:v>371</c:v>
                </c:pt>
                <c:pt idx="38">
                  <c:v>381</c:v>
                </c:pt>
                <c:pt idx="39">
                  <c:v>391</c:v>
                </c:pt>
                <c:pt idx="40">
                  <c:v>401</c:v>
                </c:pt>
                <c:pt idx="41">
                  <c:v>411</c:v>
                </c:pt>
                <c:pt idx="42">
                  <c:v>421</c:v>
                </c:pt>
                <c:pt idx="43">
                  <c:v>431</c:v>
                </c:pt>
                <c:pt idx="44">
                  <c:v>441</c:v>
                </c:pt>
                <c:pt idx="45">
                  <c:v>451</c:v>
                </c:pt>
                <c:pt idx="46">
                  <c:v>461</c:v>
                </c:pt>
                <c:pt idx="47">
                  <c:v>471</c:v>
                </c:pt>
                <c:pt idx="48">
                  <c:v>481</c:v>
                </c:pt>
                <c:pt idx="49">
                  <c:v>491</c:v>
                </c:pt>
                <c:pt idx="50">
                  <c:v>501</c:v>
                </c:pt>
                <c:pt idx="51">
                  <c:v>511</c:v>
                </c:pt>
                <c:pt idx="52">
                  <c:v>521</c:v>
                </c:pt>
                <c:pt idx="53">
                  <c:v>531</c:v>
                </c:pt>
                <c:pt idx="54">
                  <c:v>541</c:v>
                </c:pt>
                <c:pt idx="55">
                  <c:v>551</c:v>
                </c:pt>
                <c:pt idx="56">
                  <c:v>561</c:v>
                </c:pt>
                <c:pt idx="57">
                  <c:v>571</c:v>
                </c:pt>
                <c:pt idx="58">
                  <c:v>581</c:v>
                </c:pt>
                <c:pt idx="59">
                  <c:v>591</c:v>
                </c:pt>
                <c:pt idx="60">
                  <c:v>601</c:v>
                </c:pt>
                <c:pt idx="61">
                  <c:v>611</c:v>
                </c:pt>
                <c:pt idx="62">
                  <c:v>621</c:v>
                </c:pt>
                <c:pt idx="63">
                  <c:v>631</c:v>
                </c:pt>
                <c:pt idx="64">
                  <c:v>641</c:v>
                </c:pt>
                <c:pt idx="65">
                  <c:v>651</c:v>
                </c:pt>
                <c:pt idx="66">
                  <c:v>661</c:v>
                </c:pt>
                <c:pt idx="67">
                  <c:v>671</c:v>
                </c:pt>
                <c:pt idx="68">
                  <c:v>681</c:v>
                </c:pt>
                <c:pt idx="69">
                  <c:v>691</c:v>
                </c:pt>
                <c:pt idx="70">
                  <c:v>701</c:v>
                </c:pt>
                <c:pt idx="71">
                  <c:v>711</c:v>
                </c:pt>
                <c:pt idx="72">
                  <c:v>721</c:v>
                </c:pt>
                <c:pt idx="73">
                  <c:v>731</c:v>
                </c:pt>
                <c:pt idx="74">
                  <c:v>741</c:v>
                </c:pt>
                <c:pt idx="75">
                  <c:v>751</c:v>
                </c:pt>
                <c:pt idx="76">
                  <c:v>761</c:v>
                </c:pt>
                <c:pt idx="77">
                  <c:v>771</c:v>
                </c:pt>
                <c:pt idx="78">
                  <c:v>781</c:v>
                </c:pt>
                <c:pt idx="79">
                  <c:v>791</c:v>
                </c:pt>
                <c:pt idx="80">
                  <c:v>801</c:v>
                </c:pt>
                <c:pt idx="81">
                  <c:v>811</c:v>
                </c:pt>
                <c:pt idx="82">
                  <c:v>821</c:v>
                </c:pt>
                <c:pt idx="83">
                  <c:v>831</c:v>
                </c:pt>
                <c:pt idx="84">
                  <c:v>841</c:v>
                </c:pt>
                <c:pt idx="85">
                  <c:v>851</c:v>
                </c:pt>
                <c:pt idx="86">
                  <c:v>861</c:v>
                </c:pt>
                <c:pt idx="87">
                  <c:v>871</c:v>
                </c:pt>
                <c:pt idx="88">
                  <c:v>881</c:v>
                </c:pt>
                <c:pt idx="89">
                  <c:v>891</c:v>
                </c:pt>
                <c:pt idx="90">
                  <c:v>901</c:v>
                </c:pt>
                <c:pt idx="91">
                  <c:v>911</c:v>
                </c:pt>
                <c:pt idx="92">
                  <c:v>921</c:v>
                </c:pt>
                <c:pt idx="93">
                  <c:v>931</c:v>
                </c:pt>
                <c:pt idx="94">
                  <c:v>941</c:v>
                </c:pt>
                <c:pt idx="95">
                  <c:v>951</c:v>
                </c:pt>
                <c:pt idx="96">
                  <c:v>961</c:v>
                </c:pt>
                <c:pt idx="97">
                  <c:v>971</c:v>
                </c:pt>
                <c:pt idx="98">
                  <c:v>981</c:v>
                </c:pt>
                <c:pt idx="99">
                  <c:v>991</c:v>
                </c:pt>
              </c:numCache>
            </c:numRef>
          </c:cat>
          <c:val>
            <c:numRef>
              <c:f>XOR_Training!$AP$12:$AP$111</c:f>
              <c:numCache>
                <c:formatCode>0.000000</c:formatCode>
                <c:ptCount val="100"/>
                <c:pt idx="0">
                  <c:v>0.5161326442406351</c:v>
                </c:pt>
                <c:pt idx="1">
                  <c:v>0.49942412065810432</c:v>
                </c:pt>
                <c:pt idx="2">
                  <c:v>0.49900382344756916</c:v>
                </c:pt>
                <c:pt idx="3">
                  <c:v>0.49856584708923357</c:v>
                </c:pt>
                <c:pt idx="4">
                  <c:v>0.4980914217692492</c:v>
                </c:pt>
                <c:pt idx="5">
                  <c:v>0.49756180564446162</c:v>
                </c:pt>
                <c:pt idx="6">
                  <c:v>0.4969552248143978</c:v>
                </c:pt>
                <c:pt idx="7">
                  <c:v>0.49624529439806886</c:v>
                </c:pt>
                <c:pt idx="8">
                  <c:v>0.49539922413245091</c:v>
                </c:pt>
                <c:pt idx="9">
                  <c:v>0.49437576940727856</c:v>
                </c:pt>
                <c:pt idx="10">
                  <c:v>0.4931229811673441</c:v>
                </c:pt>
                <c:pt idx="11">
                  <c:v>0.49157597039526663</c:v>
                </c:pt>
                <c:pt idx="12">
                  <c:v>0.48965517433088912</c:v>
                </c:pt>
                <c:pt idx="13">
                  <c:v>0.48726602082648701</c:v>
                </c:pt>
                <c:pt idx="14">
                  <c:v>0.48430140911341601</c:v>
                </c:pt>
                <c:pt idx="15">
                  <c:v>0.48064889385479559</c:v>
                </c:pt>
                <c:pt idx="16">
                  <c:v>0.47620444978770682</c:v>
                </c:pt>
                <c:pt idx="17">
                  <c:v>0.47089348676850873</c:v>
                </c:pt>
                <c:pt idx="18">
                  <c:v>0.46469670178939282</c:v>
                </c:pt>
                <c:pt idx="19">
                  <c:v>0.45767375295083329</c:v>
                </c:pt>
                <c:pt idx="20">
                  <c:v>0.44997416195778539</c:v>
                </c:pt>
                <c:pt idx="21">
                  <c:v>0.44182639326745488</c:v>
                </c:pt>
                <c:pt idx="22">
                  <c:v>0.43350453397924082</c:v>
                </c:pt>
                <c:pt idx="23">
                  <c:v>0.42528309010484455</c:v>
                </c:pt>
                <c:pt idx="24">
                  <c:v>0.41739601676842936</c:v>
                </c:pt>
                <c:pt idx="25">
                  <c:v>0.41001219882460627</c:v>
                </c:pt>
                <c:pt idx="26">
                  <c:v>0.40323016738070955</c:v>
                </c:pt>
                <c:pt idx="27">
                  <c:v>0.39708700212512305</c:v>
                </c:pt>
                <c:pt idx="28">
                  <c:v>0.39157375592614452</c:v>
                </c:pt>
                <c:pt idx="29">
                  <c:v>0.38665126114904358</c:v>
                </c:pt>
                <c:pt idx="30">
                  <c:v>0.38226305100569885</c:v>
                </c:pt>
                <c:pt idx="31">
                  <c:v>0.37834445972887615</c:v>
                </c:pt>
                <c:pt idx="32">
                  <c:v>0.3748282300727202</c:v>
                </c:pt>
                <c:pt idx="33">
                  <c:v>0.37164738442525425</c:v>
                </c:pt>
                <c:pt idx="34">
                  <c:v>0.36873608530005086</c:v>
                </c:pt>
                <c:pt idx="35">
                  <c:v>0.36602899044276666</c:v>
                </c:pt>
                <c:pt idx="36">
                  <c:v>0.36345932122743424</c:v>
                </c:pt>
                <c:pt idx="37">
                  <c:v>0.36095552748338866</c:v>
                </c:pt>
                <c:pt idx="38">
                  <c:v>0.35843598786267294</c:v>
                </c:pt>
                <c:pt idx="39">
                  <c:v>0.35580049637826383</c:v>
                </c:pt>
                <c:pt idx="40">
                  <c:v>0.35291611265328765</c:v>
                </c:pt>
                <c:pt idx="41">
                  <c:v>0.3495929429943791</c:v>
                </c:pt>
                <c:pt idx="42">
                  <c:v>0.34554238264633813</c:v>
                </c:pt>
                <c:pt idx="43">
                  <c:v>0.34030795879183667</c:v>
                </c:pt>
                <c:pt idx="44">
                  <c:v>0.33316710698763435</c:v>
                </c:pt>
                <c:pt idx="45">
                  <c:v>0.32305056523982151</c:v>
                </c:pt>
                <c:pt idx="46">
                  <c:v>0.3086302375074681</c:v>
                </c:pt>
                <c:pt idx="47">
                  <c:v>0.28870967744476678</c:v>
                </c:pt>
                <c:pt idx="48">
                  <c:v>0.26275018544715784</c:v>
                </c:pt>
                <c:pt idx="49">
                  <c:v>0.23144167547185104</c:v>
                </c:pt>
                <c:pt idx="50">
                  <c:v>0.19724142411968046</c:v>
                </c:pt>
                <c:pt idx="51">
                  <c:v>0.16385458167978831</c:v>
                </c:pt>
                <c:pt idx="52">
                  <c:v>0.13445057290382778</c:v>
                </c:pt>
                <c:pt idx="53">
                  <c:v>0.11040162353729058</c:v>
                </c:pt>
                <c:pt idx="54">
                  <c:v>9.1519038191722538E-2</c:v>
                </c:pt>
                <c:pt idx="55">
                  <c:v>7.6910133258160068E-2</c:v>
                </c:pt>
                <c:pt idx="56">
                  <c:v>6.559078095910878E-2</c:v>
                </c:pt>
                <c:pt idx="57">
                  <c:v>5.673177692313567E-2</c:v>
                </c:pt>
                <c:pt idx="58">
                  <c:v>4.9702263591256068E-2</c:v>
                </c:pt>
                <c:pt idx="59">
                  <c:v>4.4041136985702015E-2</c:v>
                </c:pt>
                <c:pt idx="60">
                  <c:v>3.9415267357763316E-2</c:v>
                </c:pt>
                <c:pt idx="61">
                  <c:v>3.5583436563318457E-2</c:v>
                </c:pt>
                <c:pt idx="62">
                  <c:v>3.2369389178973279E-2</c:v>
                </c:pt>
                <c:pt idx="63">
                  <c:v>2.9642755833946533E-2</c:v>
                </c:pt>
                <c:pt idx="64">
                  <c:v>2.7305805490173869E-2</c:v>
                </c:pt>
                <c:pt idx="65">
                  <c:v>2.5284272352271233E-2</c:v>
                </c:pt>
                <c:pt idx="66">
                  <c:v>2.3520970960425665E-2</c:v>
                </c:pt>
                <c:pt idx="67">
                  <c:v>2.1971310306763723E-2</c:v>
                </c:pt>
                <c:pt idx="68">
                  <c:v>2.0600106225029571E-2</c:v>
                </c:pt>
                <c:pt idx="69">
                  <c:v>1.9379288587089951E-2</c:v>
                </c:pt>
                <c:pt idx="70">
                  <c:v>1.8286231648929091E-2</c:v>
                </c:pt>
                <c:pt idx="71">
                  <c:v>1.7302523340601519E-2</c:v>
                </c:pt>
                <c:pt idx="72">
                  <c:v>1.6413047405832985E-2</c:v>
                </c:pt>
                <c:pt idx="73">
                  <c:v>1.5605291149498574E-2</c:v>
                </c:pt>
                <c:pt idx="74">
                  <c:v>1.4868817753526132E-2</c:v>
                </c:pt>
                <c:pt idx="75">
                  <c:v>1.4194859970129883E-2</c:v>
                </c:pt>
                <c:pt idx="76">
                  <c:v>1.3576004288883954E-2</c:v>
                </c:pt>
                <c:pt idx="77">
                  <c:v>1.3005943225497784E-2</c:v>
                </c:pt>
                <c:pt idx="78">
                  <c:v>1.2479279395710304E-2</c:v>
                </c:pt>
                <c:pt idx="79">
                  <c:v>1.1991369314294766E-2</c:v>
                </c:pt>
                <c:pt idx="80">
                  <c:v>1.1538197930740316E-2</c:v>
                </c:pt>
                <c:pt idx="81">
                  <c:v>1.11162771411575E-2</c:v>
                </c:pt>
                <c:pt idx="82">
                  <c:v>1.072256314742483E-2</c:v>
                </c:pt>
                <c:pt idx="83">
                  <c:v>1.0354388740145177E-2</c:v>
                </c:pt>
                <c:pt idx="84">
                  <c:v>1.0009407480572769E-2</c:v>
                </c:pt>
                <c:pt idx="85">
                  <c:v>9.6855474320271997E-3</c:v>
                </c:pt>
                <c:pt idx="86">
                  <c:v>9.3809726029211171E-3</c:v>
                </c:pt>
                <c:pt idx="87">
                  <c:v>9.094050654019397E-3</c:v>
                </c:pt>
                <c:pt idx="88">
                  <c:v>8.8233257227515738E-3</c:v>
                </c:pt>
                <c:pt idx="89">
                  <c:v>8.5674954497734282E-3</c:v>
                </c:pt>
                <c:pt idx="90">
                  <c:v>8.3253914740295809E-3</c:v>
                </c:pt>
                <c:pt idx="91">
                  <c:v>8.0959628045213766E-3</c:v>
                </c:pt>
                <c:pt idx="92">
                  <c:v>7.8782615889457785E-3</c:v>
                </c:pt>
                <c:pt idx="93">
                  <c:v>7.6714308881837929E-3</c:v>
                </c:pt>
                <c:pt idx="94">
                  <c:v>7.4746941364502838E-3</c:v>
                </c:pt>
                <c:pt idx="95">
                  <c:v>7.2873460237093141E-3</c:v>
                </c:pt>
                <c:pt idx="96">
                  <c:v>7.1087445827188924E-3</c:v>
                </c:pt>
                <c:pt idx="97">
                  <c:v>6.9383043001185543E-3</c:v>
                </c:pt>
                <c:pt idx="98">
                  <c:v>6.7754901011075385E-3</c:v>
                </c:pt>
                <c:pt idx="99">
                  <c:v>6.619812081879407E-3</c:v>
                </c:pt>
              </c:numCache>
            </c:numRef>
          </c:val>
          <c:smooth val="1"/>
          <c:extLst>
            <c:ext xmlns:c16="http://schemas.microsoft.com/office/drawing/2014/chart" uri="{C3380CC4-5D6E-409C-BE32-E72D297353CC}">
              <c16:uniqueId val="{00000000-CBCF-2047-AFCC-4AEC77F10C33}"/>
            </c:ext>
          </c:extLst>
        </c:ser>
        <c:dLbls>
          <c:showLegendKey val="0"/>
          <c:showVal val="0"/>
          <c:showCatName val="0"/>
          <c:showSerName val="0"/>
          <c:showPercent val="0"/>
          <c:showBubbleSize val="0"/>
        </c:dLbls>
        <c:hiLowLines>
          <c:spPr>
            <a:ln w="0">
              <a:noFill/>
            </a:ln>
          </c:spPr>
        </c:hiLowLines>
        <c:smooth val="0"/>
        <c:axId val="46303351"/>
        <c:axId val="71615806"/>
      </c:lineChart>
      <c:catAx>
        <c:axId val="46303351"/>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Epoch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615806"/>
        <c:crosses val="autoZero"/>
        <c:auto val="1"/>
        <c:lblAlgn val="ctr"/>
        <c:lblOffset val="100"/>
        <c:noMultiLvlLbl val="0"/>
      </c:catAx>
      <c:valAx>
        <c:axId val="7161580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Total MSE Loss</a:t>
                </a:r>
              </a:p>
            </c:rich>
          </c:tx>
          <c:overlay val="0"/>
          <c:spPr>
            <a:noFill/>
            <a:ln w="0">
              <a:noFill/>
            </a:ln>
          </c:spPr>
        </c:title>
        <c:numFmt formatCode="0.000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630335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44</xdr:col>
      <xdr:colOff>0</xdr:colOff>
      <xdr:row>2</xdr:row>
      <xdr:rowOff>0</xdr:rowOff>
    </xdr:from>
    <xdr:to>
      <xdr:col>53</xdr:col>
      <xdr:colOff>135000</xdr:colOff>
      <xdr:row>15</xdr:row>
      <xdr:rowOff>12600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abSelected="1" zoomScaleNormal="100" workbookViewId="0">
      <selection sqref="A1:H1"/>
    </sheetView>
  </sheetViews>
  <sheetFormatPr baseColWidth="10" defaultColWidth="8.6640625" defaultRowHeight="15" x14ac:dyDescent="0.2"/>
  <cols>
    <col min="1" max="1" width="3" customWidth="1"/>
    <col min="2" max="2" width="22" customWidth="1"/>
    <col min="3" max="8" width="18" customWidth="1"/>
  </cols>
  <sheetData>
    <row r="1" spans="1:8" ht="31.5" customHeight="1" x14ac:dyDescent="0.2">
      <c r="A1" s="7" t="s">
        <v>0</v>
      </c>
      <c r="B1" s="7"/>
      <c r="C1" s="7"/>
      <c r="D1" s="7"/>
      <c r="E1" s="7"/>
      <c r="F1" s="7"/>
      <c r="G1" s="7"/>
      <c r="H1" s="7"/>
    </row>
    <row r="2" spans="1:8" ht="6" customHeight="1" x14ac:dyDescent="0.2"/>
    <row r="3" spans="1:8" ht="24" customHeight="1" x14ac:dyDescent="0.2">
      <c r="A3" s="6" t="s">
        <v>1</v>
      </c>
      <c r="B3" s="6"/>
      <c r="C3" s="6"/>
      <c r="D3" s="6"/>
      <c r="E3" s="6"/>
      <c r="F3" s="6"/>
      <c r="G3" s="6"/>
      <c r="H3" s="6"/>
    </row>
    <row r="4" spans="1:8" ht="23.25" customHeight="1" x14ac:dyDescent="0.2">
      <c r="A4" s="5" t="s">
        <v>2</v>
      </c>
      <c r="B4" s="5"/>
      <c r="C4" s="5"/>
      <c r="D4" s="5"/>
      <c r="E4" s="5"/>
      <c r="F4" s="5"/>
      <c r="G4" s="5"/>
      <c r="H4" s="5"/>
    </row>
    <row r="6" spans="1:8" ht="24" customHeight="1" x14ac:dyDescent="0.2">
      <c r="A6" s="6" t="s">
        <v>3</v>
      </c>
      <c r="B6" s="6"/>
      <c r="C6" s="6"/>
      <c r="D6" s="6"/>
      <c r="E6" s="6"/>
      <c r="F6" s="6"/>
      <c r="G6" s="6"/>
      <c r="H6" s="6"/>
    </row>
    <row r="7" spans="1:8" ht="37.5" customHeight="1" x14ac:dyDescent="0.2">
      <c r="B7" s="8" t="s">
        <v>4</v>
      </c>
      <c r="C7" s="5" t="s">
        <v>5</v>
      </c>
      <c r="D7" s="5"/>
      <c r="E7" s="5"/>
      <c r="F7" s="5"/>
      <c r="G7" s="5"/>
      <c r="H7" s="5"/>
    </row>
    <row r="8" spans="1:8" ht="37.5" customHeight="1" x14ac:dyDescent="0.2">
      <c r="B8" s="8" t="s">
        <v>6</v>
      </c>
      <c r="C8" s="5" t="s">
        <v>7</v>
      </c>
      <c r="D8" s="5"/>
      <c r="E8" s="5"/>
      <c r="F8" s="5"/>
      <c r="G8" s="5"/>
      <c r="H8" s="5"/>
    </row>
    <row r="9" spans="1:8" ht="37.5" customHeight="1" x14ac:dyDescent="0.2">
      <c r="B9" s="8" t="s">
        <v>8</v>
      </c>
      <c r="C9" s="5" t="s">
        <v>9</v>
      </c>
      <c r="D9" s="5"/>
      <c r="E9" s="5"/>
      <c r="F9" s="5"/>
      <c r="G9" s="5"/>
      <c r="H9" s="5"/>
    </row>
    <row r="10" spans="1:8" ht="37.5" customHeight="1" x14ac:dyDescent="0.2">
      <c r="B10" s="8" t="s">
        <v>10</v>
      </c>
      <c r="C10" s="5" t="s">
        <v>11</v>
      </c>
      <c r="D10" s="5"/>
      <c r="E10" s="5"/>
      <c r="F10" s="5"/>
      <c r="G10" s="5"/>
      <c r="H10" s="5"/>
    </row>
    <row r="12" spans="1:8" ht="24" customHeight="1" x14ac:dyDescent="0.2">
      <c r="A12" s="6" t="s">
        <v>12</v>
      </c>
      <c r="B12" s="6"/>
      <c r="C12" s="6"/>
      <c r="D12" s="6"/>
      <c r="E12" s="6"/>
      <c r="F12" s="6"/>
      <c r="G12" s="6"/>
      <c r="H12" s="6"/>
    </row>
    <row r="13" spans="1:8" ht="15" customHeight="1" x14ac:dyDescent="0.2">
      <c r="B13" s="9" t="s">
        <v>13</v>
      </c>
      <c r="C13" s="10" t="s">
        <v>14</v>
      </c>
    </row>
    <row r="14" spans="1:8" ht="15" customHeight="1" x14ac:dyDescent="0.2">
      <c r="B14" s="11" t="s">
        <v>13</v>
      </c>
      <c r="C14" s="12" t="s">
        <v>15</v>
      </c>
    </row>
    <row r="15" spans="1:8" ht="15" customHeight="1" x14ac:dyDescent="0.2">
      <c r="B15" s="13" t="s">
        <v>13</v>
      </c>
      <c r="C15" s="12" t="s">
        <v>16</v>
      </c>
    </row>
    <row r="17" spans="1:8" ht="24" customHeight="1" x14ac:dyDescent="0.2">
      <c r="A17" s="6" t="s">
        <v>17</v>
      </c>
      <c r="B17" s="6"/>
      <c r="C17" s="6"/>
      <c r="D17" s="6"/>
      <c r="E17" s="6"/>
      <c r="F17" s="6"/>
      <c r="G17" s="6"/>
      <c r="H17" s="6"/>
    </row>
    <row r="18" spans="1:8" ht="15" customHeight="1" x14ac:dyDescent="0.2">
      <c r="B18" s="5" t="s">
        <v>18</v>
      </c>
      <c r="C18" s="5"/>
      <c r="D18" s="5"/>
      <c r="E18" s="5"/>
      <c r="F18" s="5"/>
      <c r="G18" s="5"/>
      <c r="H18" s="5"/>
    </row>
    <row r="19" spans="1:8" ht="15" customHeight="1" x14ac:dyDescent="0.2">
      <c r="B19" s="5" t="s">
        <v>19</v>
      </c>
      <c r="C19" s="5"/>
      <c r="D19" s="5"/>
      <c r="E19" s="5"/>
      <c r="F19" s="5"/>
      <c r="G19" s="5"/>
      <c r="H19" s="5"/>
    </row>
    <row r="20" spans="1:8" ht="15" customHeight="1" x14ac:dyDescent="0.2">
      <c r="B20" s="5" t="s">
        <v>20</v>
      </c>
      <c r="C20" s="5"/>
      <c r="D20" s="5"/>
      <c r="E20" s="5"/>
      <c r="F20" s="5"/>
      <c r="G20" s="5"/>
      <c r="H20" s="5"/>
    </row>
    <row r="21" spans="1:8" ht="15" customHeight="1" x14ac:dyDescent="0.2">
      <c r="B21" s="5" t="s">
        <v>21</v>
      </c>
      <c r="C21" s="5"/>
      <c r="D21" s="5"/>
      <c r="E21" s="5"/>
      <c r="F21" s="5"/>
      <c r="G21" s="5"/>
      <c r="H21" s="5"/>
    </row>
    <row r="23" spans="1:8" ht="24" customHeight="1" x14ac:dyDescent="0.2">
      <c r="A23" s="6" t="s">
        <v>22</v>
      </c>
      <c r="B23" s="6"/>
      <c r="C23" s="6"/>
      <c r="D23" s="6"/>
      <c r="E23" s="6"/>
      <c r="F23" s="6"/>
      <c r="G23" s="6"/>
      <c r="H23" s="6"/>
    </row>
    <row r="24" spans="1:8" ht="15" customHeight="1" x14ac:dyDescent="0.2">
      <c r="B24" s="5" t="s">
        <v>23</v>
      </c>
      <c r="C24" s="5"/>
      <c r="D24" s="5"/>
      <c r="E24" s="5"/>
      <c r="F24" s="5"/>
      <c r="G24" s="5"/>
      <c r="H24" s="5"/>
    </row>
    <row r="25" spans="1:8" ht="15" customHeight="1" x14ac:dyDescent="0.2">
      <c r="B25" s="5" t="s">
        <v>24</v>
      </c>
      <c r="C25" s="5"/>
      <c r="D25" s="5"/>
      <c r="E25" s="5"/>
      <c r="F25" s="5"/>
      <c r="G25" s="5"/>
      <c r="H25" s="5"/>
    </row>
    <row r="26" spans="1:8" ht="15" customHeight="1" x14ac:dyDescent="0.2">
      <c r="B26" s="5" t="s">
        <v>25</v>
      </c>
      <c r="C26" s="5"/>
      <c r="D26" s="5"/>
      <c r="E26" s="5"/>
      <c r="F26" s="5"/>
      <c r="G26" s="5"/>
      <c r="H26" s="5"/>
    </row>
    <row r="27" spans="1:8" ht="15" customHeight="1" x14ac:dyDescent="0.2">
      <c r="B27" s="5" t="s">
        <v>26</v>
      </c>
      <c r="C27" s="5"/>
      <c r="D27" s="5"/>
      <c r="E27" s="5"/>
      <c r="F27" s="5"/>
      <c r="G27" s="5"/>
      <c r="H27" s="5"/>
    </row>
    <row r="28" spans="1:8" ht="15" customHeight="1" x14ac:dyDescent="0.2">
      <c r="B28" s="5" t="s">
        <v>27</v>
      </c>
      <c r="C28" s="5"/>
      <c r="D28" s="5"/>
      <c r="E28" s="5"/>
      <c r="F28" s="5"/>
      <c r="G28" s="5"/>
      <c r="H28" s="5"/>
    </row>
    <row r="29" spans="1:8" ht="15" customHeight="1" x14ac:dyDescent="0.2">
      <c r="B29" s="5" t="s">
        <v>28</v>
      </c>
      <c r="C29" s="5"/>
      <c r="D29" s="5"/>
      <c r="E29" s="5"/>
      <c r="F29" s="5"/>
      <c r="G29" s="5"/>
      <c r="H29" s="5"/>
    </row>
    <row r="31" spans="1:8" ht="21.75" customHeight="1" x14ac:dyDescent="0.2">
      <c r="B31" s="4" t="s">
        <v>29</v>
      </c>
      <c r="C31" s="4"/>
      <c r="D31" s="4"/>
      <c r="E31" s="4"/>
      <c r="F31" s="4"/>
      <c r="G31" s="4"/>
      <c r="H31" s="4"/>
    </row>
  </sheetData>
  <mergeCells count="22">
    <mergeCell ref="B29:H29"/>
    <mergeCell ref="B31:H31"/>
    <mergeCell ref="B24:H24"/>
    <mergeCell ref="B25:H25"/>
    <mergeCell ref="B26:H26"/>
    <mergeCell ref="B27:H27"/>
    <mergeCell ref="B28:H28"/>
    <mergeCell ref="B18:H18"/>
    <mergeCell ref="B19:H19"/>
    <mergeCell ref="B20:H20"/>
    <mergeCell ref="B21:H21"/>
    <mergeCell ref="A23:H23"/>
    <mergeCell ref="C8:H8"/>
    <mergeCell ref="C9:H9"/>
    <mergeCell ref="C10:H10"/>
    <mergeCell ref="A12:H12"/>
    <mergeCell ref="A17:H17"/>
    <mergeCell ref="A1:H1"/>
    <mergeCell ref="A3:H3"/>
    <mergeCell ref="A4:H4"/>
    <mergeCell ref="A6:H6"/>
    <mergeCell ref="C7:H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7"/>
  <sheetViews>
    <sheetView zoomScaleNormal="100" workbookViewId="0"/>
  </sheetViews>
  <sheetFormatPr baseColWidth="10" defaultColWidth="8.6640625" defaultRowHeight="15" x14ac:dyDescent="0.2"/>
  <cols>
    <col min="1" max="1" width="3" customWidth="1"/>
    <col min="2" max="10" width="14" customWidth="1"/>
  </cols>
  <sheetData>
    <row r="1" spans="1:10" ht="31.5" customHeight="1" x14ac:dyDescent="0.2">
      <c r="A1" s="7" t="s">
        <v>30</v>
      </c>
      <c r="B1" s="7"/>
      <c r="C1" s="7"/>
      <c r="D1" s="7"/>
      <c r="E1" s="7"/>
      <c r="F1" s="7"/>
      <c r="G1" s="7"/>
      <c r="H1" s="7"/>
    </row>
    <row r="3" spans="1:10" ht="34.5" customHeight="1" x14ac:dyDescent="0.2">
      <c r="A3" s="5" t="s">
        <v>31</v>
      </c>
      <c r="B3" s="5"/>
      <c r="C3" s="5"/>
      <c r="D3" s="5"/>
      <c r="E3" s="5"/>
      <c r="F3" s="5"/>
      <c r="G3" s="5"/>
      <c r="H3" s="5"/>
    </row>
    <row r="5" spans="1:10" ht="24" customHeight="1" x14ac:dyDescent="0.2">
      <c r="A5" s="6" t="s">
        <v>32</v>
      </c>
      <c r="B5" s="6"/>
      <c r="C5" s="6"/>
      <c r="D5" s="6"/>
      <c r="E5" s="6"/>
      <c r="F5" s="6"/>
      <c r="G5" s="6"/>
      <c r="H5" s="6"/>
      <c r="I5" s="6"/>
      <c r="J5" s="6"/>
    </row>
    <row r="6" spans="1:10" ht="15" customHeight="1" x14ac:dyDescent="0.2">
      <c r="B6" s="8" t="s">
        <v>33</v>
      </c>
    </row>
    <row r="7" spans="1:10" ht="15" customHeight="1" x14ac:dyDescent="0.2">
      <c r="B7" s="12" t="s">
        <v>34</v>
      </c>
      <c r="C7" s="14">
        <v>10</v>
      </c>
      <c r="D7" s="12" t="s">
        <v>35</v>
      </c>
      <c r="E7" s="14">
        <v>10</v>
      </c>
      <c r="F7" s="12" t="s">
        <v>36</v>
      </c>
      <c r="G7" s="14">
        <v>-15</v>
      </c>
    </row>
    <row r="9" spans="1:10" ht="15" customHeight="1" x14ac:dyDescent="0.2">
      <c r="B9" s="15" t="s">
        <v>37</v>
      </c>
      <c r="C9" s="15" t="s">
        <v>38</v>
      </c>
      <c r="D9" s="15" t="s">
        <v>39</v>
      </c>
      <c r="E9" s="15" t="s">
        <v>40</v>
      </c>
      <c r="F9" s="15" t="s">
        <v>41</v>
      </c>
      <c r="G9" s="15" t="s">
        <v>42</v>
      </c>
      <c r="H9" s="15" t="s">
        <v>43</v>
      </c>
    </row>
    <row r="10" spans="1:10" ht="15" customHeight="1" x14ac:dyDescent="0.2">
      <c r="B10" s="16">
        <v>0</v>
      </c>
      <c r="C10" s="16">
        <v>0</v>
      </c>
      <c r="D10" s="17">
        <f>B10*C7+C10*E7+G7</f>
        <v>-15</v>
      </c>
      <c r="E10" s="18">
        <f>1/(1+EXP(-D10))</f>
        <v>3.0590222692562472E-7</v>
      </c>
      <c r="F10" s="19">
        <f>IF(E10&gt;=0.5,1,0)</f>
        <v>0</v>
      </c>
      <c r="G10" s="16">
        <v>0</v>
      </c>
      <c r="H10" s="20" t="str">
        <f>IF(F10=G10,"✓","✗")</f>
        <v>✓</v>
      </c>
    </row>
    <row r="11" spans="1:10" ht="15" customHeight="1" x14ac:dyDescent="0.2">
      <c r="B11" s="16">
        <v>0</v>
      </c>
      <c r="C11" s="16">
        <v>1</v>
      </c>
      <c r="D11" s="17">
        <f>B11*C7+C11*E7+G7</f>
        <v>-5</v>
      </c>
      <c r="E11" s="18">
        <f>1/(1+EXP(-D11))</f>
        <v>6.6928509242848554E-3</v>
      </c>
      <c r="F11" s="19">
        <f>IF(E11&gt;=0.5,1,0)</f>
        <v>0</v>
      </c>
      <c r="G11" s="16">
        <v>0</v>
      </c>
      <c r="H11" s="20" t="str">
        <f>IF(F11=G11,"✓","✗")</f>
        <v>✓</v>
      </c>
    </row>
    <row r="12" spans="1:10" ht="15" customHeight="1" x14ac:dyDescent="0.2">
      <c r="B12" s="16">
        <v>1</v>
      </c>
      <c r="C12" s="16">
        <v>0</v>
      </c>
      <c r="D12" s="17">
        <f>B12*C7+C12*E7+G7</f>
        <v>-5</v>
      </c>
      <c r="E12" s="18">
        <f>1/(1+EXP(-D12))</f>
        <v>6.6928509242848554E-3</v>
      </c>
      <c r="F12" s="19">
        <f>IF(E12&gt;=0.5,1,0)</f>
        <v>0</v>
      </c>
      <c r="G12" s="16">
        <v>0</v>
      </c>
      <c r="H12" s="20" t="str">
        <f>IF(F12=G12,"✓","✗")</f>
        <v>✓</v>
      </c>
    </row>
    <row r="13" spans="1:10" ht="15" customHeight="1" x14ac:dyDescent="0.2">
      <c r="B13" s="16">
        <v>1</v>
      </c>
      <c r="C13" s="16">
        <v>1</v>
      </c>
      <c r="D13" s="17">
        <f>B13*C7+C13*E7+G7</f>
        <v>5</v>
      </c>
      <c r="E13" s="18">
        <f>1/(1+EXP(-D13))</f>
        <v>0.99330714907571527</v>
      </c>
      <c r="F13" s="19">
        <f>IF(E13&gt;=0.5,1,0)</f>
        <v>1</v>
      </c>
      <c r="G13" s="16">
        <v>1</v>
      </c>
      <c r="H13" s="20" t="str">
        <f>IF(F13=G13,"✓","✗")</f>
        <v>✓</v>
      </c>
    </row>
    <row r="16" spans="1:10" ht="24" customHeight="1" x14ac:dyDescent="0.2">
      <c r="A16" s="6" t="s">
        <v>44</v>
      </c>
      <c r="B16" s="6"/>
      <c r="C16" s="6"/>
      <c r="D16" s="6"/>
      <c r="E16" s="6"/>
      <c r="F16" s="6"/>
      <c r="G16" s="6"/>
      <c r="H16" s="6"/>
      <c r="I16" s="6"/>
      <c r="J16" s="6"/>
    </row>
    <row r="17" spans="1:10" ht="15" customHeight="1" x14ac:dyDescent="0.2">
      <c r="B17" s="8" t="s">
        <v>33</v>
      </c>
    </row>
    <row r="18" spans="1:10" ht="15" customHeight="1" x14ac:dyDescent="0.2">
      <c r="B18" s="12" t="s">
        <v>34</v>
      </c>
      <c r="C18" s="14">
        <v>10</v>
      </c>
      <c r="D18" s="12" t="s">
        <v>35</v>
      </c>
      <c r="E18" s="14">
        <v>10</v>
      </c>
      <c r="F18" s="12" t="s">
        <v>36</v>
      </c>
      <c r="G18" s="14">
        <v>-5</v>
      </c>
    </row>
    <row r="20" spans="1:10" ht="15" customHeight="1" x14ac:dyDescent="0.2">
      <c r="B20" s="15" t="s">
        <v>37</v>
      </c>
      <c r="C20" s="15" t="s">
        <v>38</v>
      </c>
      <c r="D20" s="15" t="s">
        <v>39</v>
      </c>
      <c r="E20" s="15" t="s">
        <v>40</v>
      </c>
      <c r="F20" s="15" t="s">
        <v>41</v>
      </c>
      <c r="G20" s="15" t="s">
        <v>42</v>
      </c>
      <c r="H20" s="15" t="s">
        <v>43</v>
      </c>
    </row>
    <row r="21" spans="1:10" ht="15" customHeight="1" x14ac:dyDescent="0.2">
      <c r="B21" s="16">
        <v>0</v>
      </c>
      <c r="C21" s="16">
        <v>0</v>
      </c>
      <c r="D21" s="17">
        <f>B21*C18+C21*E18+G18</f>
        <v>-5</v>
      </c>
      <c r="E21" s="18">
        <f>1/(1+EXP(-D21))</f>
        <v>6.6928509242848554E-3</v>
      </c>
      <c r="F21" s="19">
        <f>IF(E21&gt;=0.5,1,0)</f>
        <v>0</v>
      </c>
      <c r="G21" s="16">
        <v>0</v>
      </c>
      <c r="H21" s="20" t="str">
        <f>IF(F21=G21,"✓","✗")</f>
        <v>✓</v>
      </c>
    </row>
    <row r="22" spans="1:10" ht="15" customHeight="1" x14ac:dyDescent="0.2">
      <c r="B22" s="16">
        <v>0</v>
      </c>
      <c r="C22" s="16">
        <v>1</v>
      </c>
      <c r="D22" s="17">
        <f>B22*C18+C22*E18+G18</f>
        <v>5</v>
      </c>
      <c r="E22" s="18">
        <f>1/(1+EXP(-D22))</f>
        <v>0.99330714907571527</v>
      </c>
      <c r="F22" s="19">
        <f>IF(E22&gt;=0.5,1,0)</f>
        <v>1</v>
      </c>
      <c r="G22" s="16">
        <v>1</v>
      </c>
      <c r="H22" s="20" t="str">
        <f>IF(F22=G22,"✓","✗")</f>
        <v>✓</v>
      </c>
    </row>
    <row r="23" spans="1:10" ht="15" customHeight="1" x14ac:dyDescent="0.2">
      <c r="B23" s="16">
        <v>1</v>
      </c>
      <c r="C23" s="16">
        <v>0</v>
      </c>
      <c r="D23" s="17">
        <f>B23*C18+C23*E18+G18</f>
        <v>5</v>
      </c>
      <c r="E23" s="18">
        <f>1/(1+EXP(-D23))</f>
        <v>0.99330714907571527</v>
      </c>
      <c r="F23" s="19">
        <f>IF(E23&gt;=0.5,1,0)</f>
        <v>1</v>
      </c>
      <c r="G23" s="16">
        <v>1</v>
      </c>
      <c r="H23" s="20" t="str">
        <f>IF(F23=G23,"✓","✗")</f>
        <v>✓</v>
      </c>
    </row>
    <row r="24" spans="1:10" ht="15" customHeight="1" x14ac:dyDescent="0.2">
      <c r="B24" s="16">
        <v>1</v>
      </c>
      <c r="C24" s="16">
        <v>1</v>
      </c>
      <c r="D24" s="17">
        <f>B24*C18+C24*E18+G18</f>
        <v>15</v>
      </c>
      <c r="E24" s="18">
        <f>1/(1+EXP(-D24))</f>
        <v>0.99999969409777301</v>
      </c>
      <c r="F24" s="19">
        <f>IF(E24&gt;=0.5,1,0)</f>
        <v>1</v>
      </c>
      <c r="G24" s="16">
        <v>1</v>
      </c>
      <c r="H24" s="20" t="str">
        <f>IF(F24=G24,"✓","✗")</f>
        <v>✓</v>
      </c>
    </row>
    <row r="27" spans="1:10" ht="24" customHeight="1" x14ac:dyDescent="0.2">
      <c r="A27" s="6" t="s">
        <v>45</v>
      </c>
      <c r="B27" s="6"/>
      <c r="C27" s="6"/>
      <c r="D27" s="6"/>
      <c r="E27" s="6"/>
      <c r="F27" s="6"/>
      <c r="G27" s="6"/>
      <c r="H27" s="6"/>
      <c r="I27" s="6"/>
      <c r="J27" s="6"/>
    </row>
    <row r="28" spans="1:10" ht="15" customHeight="1" x14ac:dyDescent="0.2">
      <c r="B28" s="8" t="s">
        <v>33</v>
      </c>
    </row>
    <row r="29" spans="1:10" ht="15" customHeight="1" x14ac:dyDescent="0.2">
      <c r="B29" s="12" t="s">
        <v>46</v>
      </c>
      <c r="C29" s="14">
        <v>-10</v>
      </c>
      <c r="D29" s="12" t="s">
        <v>36</v>
      </c>
      <c r="E29" s="14">
        <v>5</v>
      </c>
    </row>
    <row r="31" spans="1:10" ht="15" customHeight="1" x14ac:dyDescent="0.2">
      <c r="B31" s="15" t="s">
        <v>47</v>
      </c>
      <c r="C31" s="15" t="s">
        <v>48</v>
      </c>
      <c r="D31" s="15" t="s">
        <v>40</v>
      </c>
      <c r="E31" s="15" t="s">
        <v>41</v>
      </c>
      <c r="F31" s="15" t="s">
        <v>42</v>
      </c>
      <c r="G31" s="15" t="s">
        <v>43</v>
      </c>
    </row>
    <row r="32" spans="1:10" ht="15" customHeight="1" x14ac:dyDescent="0.2">
      <c r="B32" s="16">
        <v>0</v>
      </c>
      <c r="C32" s="17">
        <f>B32*C29+E29</f>
        <v>5</v>
      </c>
      <c r="D32" s="18">
        <f>1/(1+EXP(-C32))</f>
        <v>0.99330714907571527</v>
      </c>
      <c r="E32" s="19">
        <f>IF(D32&gt;=0.5,1,0)</f>
        <v>1</v>
      </c>
      <c r="F32" s="16">
        <v>1</v>
      </c>
      <c r="G32" s="20" t="str">
        <f>IF(E32=F32,"✓","✗")</f>
        <v>✓</v>
      </c>
    </row>
    <row r="33" spans="1:10" ht="15" customHeight="1" x14ac:dyDescent="0.2">
      <c r="B33" s="16">
        <v>1</v>
      </c>
      <c r="C33" s="17">
        <f>B33*C29+E29</f>
        <v>-5</v>
      </c>
      <c r="D33" s="18">
        <f>1/(1+EXP(-C33))</f>
        <v>6.6928509242848554E-3</v>
      </c>
      <c r="E33" s="19">
        <f>IF(D33&gt;=0.5,1,0)</f>
        <v>0</v>
      </c>
      <c r="F33" s="16">
        <v>0</v>
      </c>
      <c r="G33" s="20" t="str">
        <f>IF(E33=F33,"✓","✗")</f>
        <v>✓</v>
      </c>
    </row>
    <row r="36" spans="1:10" ht="24" customHeight="1" x14ac:dyDescent="0.2">
      <c r="A36" s="6" t="s">
        <v>49</v>
      </c>
      <c r="B36" s="6"/>
      <c r="C36" s="6"/>
      <c r="D36" s="6"/>
      <c r="E36" s="6"/>
      <c r="F36" s="6"/>
      <c r="G36" s="6"/>
      <c r="H36" s="6"/>
      <c r="I36" s="6"/>
      <c r="J36" s="6"/>
    </row>
    <row r="37" spans="1:10" ht="34.5" customHeight="1" x14ac:dyDescent="0.2">
      <c r="A37" s="5" t="s">
        <v>50</v>
      </c>
      <c r="B37" s="5"/>
      <c r="C37" s="5"/>
      <c r="D37" s="5"/>
      <c r="E37" s="5"/>
      <c r="F37" s="5"/>
      <c r="G37" s="5"/>
      <c r="H37" s="5"/>
    </row>
  </sheetData>
  <mergeCells count="7">
    <mergeCell ref="A36:J36"/>
    <mergeCell ref="A37:H37"/>
    <mergeCell ref="A1:H1"/>
    <mergeCell ref="A3:H3"/>
    <mergeCell ref="A5:J5"/>
    <mergeCell ref="A16:J16"/>
    <mergeCell ref="A27:J2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zoomScaleNormal="100" workbookViewId="0"/>
  </sheetViews>
  <sheetFormatPr baseColWidth="10" defaultColWidth="8.6640625" defaultRowHeight="15" x14ac:dyDescent="0.2"/>
  <cols>
    <col min="1" max="1" width="3" customWidth="1"/>
    <col min="2" max="10" width="14" customWidth="1"/>
  </cols>
  <sheetData>
    <row r="1" spans="1:10" ht="31.5" customHeight="1" x14ac:dyDescent="0.2">
      <c r="A1" s="7" t="s">
        <v>51</v>
      </c>
      <c r="B1" s="7"/>
      <c r="C1" s="7"/>
      <c r="D1" s="7"/>
      <c r="E1" s="7"/>
      <c r="F1" s="7"/>
      <c r="G1" s="7"/>
      <c r="H1" s="7"/>
      <c r="I1" s="7"/>
      <c r="J1" s="7"/>
    </row>
    <row r="3" spans="1:10" ht="23.25" customHeight="1" x14ac:dyDescent="0.2">
      <c r="A3" s="5" t="s">
        <v>52</v>
      </c>
      <c r="B3" s="5"/>
      <c r="C3" s="5"/>
      <c r="D3" s="5"/>
      <c r="E3" s="5"/>
      <c r="F3" s="5"/>
      <c r="G3" s="5"/>
      <c r="H3" s="5"/>
      <c r="I3" s="5"/>
      <c r="J3" s="5"/>
    </row>
    <row r="5" spans="1:10" ht="24" customHeight="1" x14ac:dyDescent="0.2">
      <c r="A5" s="6" t="s">
        <v>53</v>
      </c>
      <c r="B5" s="6"/>
      <c r="C5" s="6"/>
      <c r="D5" s="6"/>
      <c r="E5" s="6"/>
      <c r="F5" s="6"/>
      <c r="G5" s="6"/>
      <c r="H5" s="6"/>
      <c r="I5" s="6"/>
      <c r="J5" s="6"/>
    </row>
    <row r="6" spans="1:10" ht="15" customHeight="1" x14ac:dyDescent="0.2">
      <c r="B6" s="8" t="s">
        <v>54</v>
      </c>
    </row>
    <row r="7" spans="1:10" ht="15" customHeight="1" x14ac:dyDescent="0.2">
      <c r="C7" s="15" t="s">
        <v>55</v>
      </c>
      <c r="D7" s="15" t="s">
        <v>56</v>
      </c>
    </row>
    <row r="8" spans="1:10" ht="15" customHeight="1" x14ac:dyDescent="0.2">
      <c r="B8" s="21" t="s">
        <v>57</v>
      </c>
      <c r="C8" s="14">
        <v>20</v>
      </c>
      <c r="D8" s="14">
        <v>20</v>
      </c>
    </row>
    <row r="9" spans="1:10" ht="15" customHeight="1" x14ac:dyDescent="0.2">
      <c r="B9" s="21" t="s">
        <v>58</v>
      </c>
      <c r="C9" s="14">
        <v>20</v>
      </c>
      <c r="D9" s="14">
        <v>20</v>
      </c>
    </row>
    <row r="10" spans="1:10" ht="15" customHeight="1" x14ac:dyDescent="0.2">
      <c r="B10" s="21" t="s">
        <v>59</v>
      </c>
      <c r="C10" s="14">
        <v>-10</v>
      </c>
      <c r="D10" s="14">
        <v>-30</v>
      </c>
    </row>
    <row r="12" spans="1:10" ht="15" customHeight="1" x14ac:dyDescent="0.2">
      <c r="B12" s="8" t="s">
        <v>60</v>
      </c>
    </row>
    <row r="13" spans="1:10" ht="15" customHeight="1" x14ac:dyDescent="0.2">
      <c r="C13" s="15" t="s">
        <v>61</v>
      </c>
    </row>
    <row r="14" spans="1:10" ht="15" customHeight="1" x14ac:dyDescent="0.2">
      <c r="B14" s="21" t="s">
        <v>62</v>
      </c>
      <c r="C14" s="14">
        <v>20</v>
      </c>
    </row>
    <row r="15" spans="1:10" ht="15" customHeight="1" x14ac:dyDescent="0.2">
      <c r="B15" s="21" t="s">
        <v>63</v>
      </c>
      <c r="C15" s="14">
        <v>-20</v>
      </c>
    </row>
    <row r="16" spans="1:10" ht="15" customHeight="1" x14ac:dyDescent="0.2">
      <c r="B16" s="21" t="s">
        <v>59</v>
      </c>
      <c r="C16" s="14">
        <v>-10</v>
      </c>
    </row>
    <row r="19" spans="1:10" ht="24" customHeight="1" x14ac:dyDescent="0.2">
      <c r="A19" s="6" t="s">
        <v>64</v>
      </c>
      <c r="B19" s="6"/>
      <c r="C19" s="6"/>
      <c r="D19" s="6"/>
      <c r="E19" s="6"/>
      <c r="F19" s="6"/>
      <c r="G19" s="6"/>
      <c r="H19" s="6"/>
      <c r="I19" s="6"/>
      <c r="J19" s="6"/>
    </row>
    <row r="20" spans="1:10" ht="30" customHeight="1" x14ac:dyDescent="0.2">
      <c r="B20" s="15" t="s">
        <v>37</v>
      </c>
      <c r="C20" s="15" t="s">
        <v>38</v>
      </c>
      <c r="D20" s="15" t="s">
        <v>65</v>
      </c>
      <c r="E20" s="15" t="s">
        <v>66</v>
      </c>
      <c r="F20" s="15" t="s">
        <v>67</v>
      </c>
      <c r="G20" s="15" t="s">
        <v>68</v>
      </c>
      <c r="H20" s="15" t="s">
        <v>69</v>
      </c>
      <c r="I20" s="15" t="s">
        <v>70</v>
      </c>
      <c r="J20" s="15" t="s">
        <v>42</v>
      </c>
    </row>
    <row r="21" spans="1:10" ht="15" customHeight="1" x14ac:dyDescent="0.2">
      <c r="B21" s="16">
        <v>0</v>
      </c>
      <c r="C21" s="16">
        <v>0</v>
      </c>
      <c r="D21" s="18">
        <f>B21*C8+C21*C9+C10</f>
        <v>-10</v>
      </c>
      <c r="E21" s="18">
        <f>1/(1+EXP(-D21))</f>
        <v>4.5397868702434395E-5</v>
      </c>
      <c r="F21" s="18">
        <f>B21*D8+C21*D9+D10</f>
        <v>-30</v>
      </c>
      <c r="G21" s="18">
        <f>1/(1+EXP(-F21))</f>
        <v>9.3576229688392989E-14</v>
      </c>
      <c r="H21" s="18">
        <f>E21*C14+G21*C15+C16</f>
        <v>-9.9990920426278223</v>
      </c>
      <c r="I21" s="22">
        <f>1/(1+EXP(-H21))</f>
        <v>4.5439104876545751E-5</v>
      </c>
      <c r="J21" s="16">
        <v>0</v>
      </c>
    </row>
    <row r="22" spans="1:10" ht="15" customHeight="1" x14ac:dyDescent="0.2">
      <c r="B22" s="16">
        <v>0</v>
      </c>
      <c r="C22" s="16">
        <v>1</v>
      </c>
      <c r="D22" s="18">
        <f>B22*C8+C22*C9+C10</f>
        <v>10</v>
      </c>
      <c r="E22" s="18">
        <f>1/(1+EXP(-D22))</f>
        <v>0.99995460213129761</v>
      </c>
      <c r="F22" s="18">
        <f>B22*D8+C22*D9+D10</f>
        <v>-10</v>
      </c>
      <c r="G22" s="18">
        <f>1/(1+EXP(-F22))</f>
        <v>4.5397868702434395E-5</v>
      </c>
      <c r="H22" s="18">
        <f>E22*C14+G22*C15+C16</f>
        <v>9.9981840852519035</v>
      </c>
      <c r="I22" s="22">
        <f>1/(1+EXP(-H22))</f>
        <v>0.99995451962149495</v>
      </c>
      <c r="J22" s="16">
        <v>1</v>
      </c>
    </row>
    <row r="23" spans="1:10" ht="15" customHeight="1" x14ac:dyDescent="0.2">
      <c r="B23" s="16">
        <v>1</v>
      </c>
      <c r="C23" s="16">
        <v>0</v>
      </c>
      <c r="D23" s="18">
        <f>B23*C8+C23*C9+C10</f>
        <v>10</v>
      </c>
      <c r="E23" s="18">
        <f>1/(1+EXP(-D23))</f>
        <v>0.99995460213129761</v>
      </c>
      <c r="F23" s="18">
        <f>B23*D8+C23*D9+D10</f>
        <v>-10</v>
      </c>
      <c r="G23" s="18">
        <f>1/(1+EXP(-F23))</f>
        <v>4.5397868702434395E-5</v>
      </c>
      <c r="H23" s="18">
        <f>E23*C14+G23*C15+C16</f>
        <v>9.9981840852519035</v>
      </c>
      <c r="I23" s="22">
        <f>1/(1+EXP(-H23))</f>
        <v>0.99995451962149495</v>
      </c>
      <c r="J23" s="16">
        <v>1</v>
      </c>
    </row>
    <row r="24" spans="1:10" ht="15" customHeight="1" x14ac:dyDescent="0.2">
      <c r="B24" s="16">
        <v>1</v>
      </c>
      <c r="C24" s="16">
        <v>1</v>
      </c>
      <c r="D24" s="18">
        <f>B24*C8+C24*C9+C10</f>
        <v>30</v>
      </c>
      <c r="E24" s="18">
        <f>1/(1+EXP(-D24))</f>
        <v>0.99999999999990652</v>
      </c>
      <c r="F24" s="18">
        <f>B24*D8+C24*D9+D10</f>
        <v>10</v>
      </c>
      <c r="G24" s="18">
        <f>1/(1+EXP(-F24))</f>
        <v>0.99995460213129761</v>
      </c>
      <c r="H24" s="18">
        <f>E24*C14+G24*C15+C16</f>
        <v>-9.9990920426278223</v>
      </c>
      <c r="I24" s="22">
        <f>1/(1+EXP(-H24))</f>
        <v>4.5439104876545751E-5</v>
      </c>
      <c r="J24" s="16">
        <v>0</v>
      </c>
    </row>
    <row r="26" spans="1:10" ht="15" customHeight="1" x14ac:dyDescent="0.2">
      <c r="B26" s="12" t="s">
        <v>71</v>
      </c>
      <c r="C26" s="3" t="e">
        <f>IF(SUMPRODUCT(--(IF(I21:I24&gt;=0.5,1,0)=J21:J24))=4,"All four cases correct — XOR solved.","Some cases incorrect.")</f>
        <v>#VALUE!</v>
      </c>
      <c r="D26" s="3"/>
      <c r="E26" s="3"/>
      <c r="F26" s="3"/>
      <c r="G26" s="3"/>
      <c r="H26" s="3"/>
      <c r="I26" s="3"/>
      <c r="J26" s="3"/>
    </row>
    <row r="28" spans="1:10" ht="34.5" customHeight="1" x14ac:dyDescent="0.2">
      <c r="A28" s="5" t="s">
        <v>72</v>
      </c>
      <c r="B28" s="5"/>
      <c r="C28" s="5"/>
      <c r="D28" s="5"/>
      <c r="E28" s="5"/>
      <c r="F28" s="5"/>
      <c r="G28" s="5"/>
      <c r="H28" s="5"/>
      <c r="I28" s="5"/>
      <c r="J28" s="5"/>
    </row>
  </sheetData>
  <mergeCells count="6">
    <mergeCell ref="A28:J28"/>
    <mergeCell ref="A1:J1"/>
    <mergeCell ref="A3:J3"/>
    <mergeCell ref="A5:J5"/>
    <mergeCell ref="A19:J19"/>
    <mergeCell ref="C26:J2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V1013"/>
  <sheetViews>
    <sheetView zoomScaleNormal="100" workbookViewId="0">
      <pane xSplit="1" ySplit="11" topLeftCell="B12" activePane="bottomRight" state="frozen"/>
      <selection pane="topRight" activeCell="B1" sqref="B1"/>
      <selection pane="bottomLeft" activeCell="A12" sqref="A12"/>
      <selection pane="bottomRight"/>
    </sheetView>
  </sheetViews>
  <sheetFormatPr baseColWidth="10" defaultColWidth="8.6640625" defaultRowHeight="15" x14ac:dyDescent="0.2"/>
  <cols>
    <col min="1" max="1" width="8" customWidth="1"/>
    <col min="2" max="59" width="10" customWidth="1"/>
  </cols>
  <sheetData>
    <row r="1" spans="1:48" ht="31.5" customHeight="1" x14ac:dyDescent="0.2">
      <c r="A1" s="7" t="s">
        <v>73</v>
      </c>
      <c r="B1" s="7"/>
      <c r="C1" s="7"/>
      <c r="D1" s="7"/>
      <c r="E1" s="7"/>
      <c r="F1" s="7"/>
      <c r="G1" s="7"/>
      <c r="H1" s="7"/>
      <c r="I1" s="7"/>
      <c r="J1" s="7"/>
      <c r="K1" s="7"/>
      <c r="L1" s="7"/>
    </row>
    <row r="3" spans="1:48" ht="45.75" customHeight="1" x14ac:dyDescent="0.2">
      <c r="A3" s="5" t="s">
        <v>74</v>
      </c>
      <c r="B3" s="5"/>
      <c r="C3" s="5"/>
      <c r="D3" s="5"/>
      <c r="E3" s="5"/>
      <c r="F3" s="5"/>
      <c r="G3" s="5"/>
      <c r="H3" s="5"/>
      <c r="I3" s="5"/>
      <c r="J3" s="5"/>
      <c r="K3" s="5"/>
      <c r="L3" s="5"/>
    </row>
    <row r="5" spans="1:48" ht="24" customHeight="1" x14ac:dyDescent="0.2">
      <c r="A5" s="6" t="s">
        <v>75</v>
      </c>
      <c r="B5" s="6"/>
      <c r="C5" s="6"/>
      <c r="D5" s="6"/>
      <c r="E5" s="6"/>
      <c r="F5" s="6"/>
      <c r="G5" s="6"/>
      <c r="H5" s="6"/>
      <c r="I5" s="6"/>
      <c r="J5" s="6"/>
      <c r="K5" s="6"/>
      <c r="L5" s="6"/>
    </row>
    <row r="6" spans="1:48" ht="15" customHeight="1" x14ac:dyDescent="0.2">
      <c r="B6" s="12" t="s">
        <v>76</v>
      </c>
      <c r="C6" s="14">
        <v>1</v>
      </c>
      <c r="D6" s="12" t="s">
        <v>77</v>
      </c>
      <c r="E6" s="14">
        <v>1000</v>
      </c>
      <c r="F6" s="12" t="s">
        <v>78</v>
      </c>
      <c r="G6" s="14">
        <v>42</v>
      </c>
      <c r="H6" s="23" t="s">
        <v>79</v>
      </c>
    </row>
    <row r="8" spans="1:48" ht="24" customHeight="1" x14ac:dyDescent="0.2">
      <c r="A8" s="6" t="s">
        <v>80</v>
      </c>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row>
    <row r="10" spans="1:48" ht="21.75" customHeight="1" x14ac:dyDescent="0.2">
      <c r="A10" s="15" t="s">
        <v>81</v>
      </c>
      <c r="B10" s="2" t="s">
        <v>82</v>
      </c>
      <c r="C10" s="2"/>
      <c r="D10" s="2"/>
      <c r="E10" s="2"/>
      <c r="F10" s="2"/>
      <c r="G10" s="2"/>
      <c r="H10" s="2"/>
      <c r="I10" s="2"/>
      <c r="J10" s="2"/>
      <c r="K10" s="2" t="s">
        <v>83</v>
      </c>
      <c r="L10" s="2"/>
      <c r="M10" s="2"/>
      <c r="N10" s="2"/>
      <c r="O10" s="2"/>
      <c r="P10" s="2"/>
      <c r="Q10" s="2"/>
      <c r="R10" s="2" t="s">
        <v>84</v>
      </c>
      <c r="S10" s="2"/>
      <c r="T10" s="2"/>
      <c r="U10" s="2"/>
      <c r="V10" s="2"/>
      <c r="W10" s="2"/>
      <c r="X10" s="2"/>
      <c r="Y10" s="2" t="s">
        <v>85</v>
      </c>
      <c r="Z10" s="2"/>
      <c r="AA10" s="2"/>
      <c r="AB10" s="2"/>
      <c r="AC10" s="2"/>
      <c r="AD10" s="2"/>
      <c r="AE10" s="2"/>
      <c r="AF10" s="2" t="s">
        <v>86</v>
      </c>
      <c r="AG10" s="2"/>
      <c r="AH10" s="2"/>
      <c r="AI10" s="2"/>
      <c r="AJ10" s="2"/>
      <c r="AK10" s="2"/>
      <c r="AL10" s="2"/>
      <c r="AM10" s="15" t="s">
        <v>87</v>
      </c>
    </row>
    <row r="11" spans="1:48" ht="18" customHeight="1" x14ac:dyDescent="0.2">
      <c r="A11" s="15" t="s">
        <v>88</v>
      </c>
      <c r="B11" s="15" t="s">
        <v>89</v>
      </c>
      <c r="C11" s="15" t="s">
        <v>90</v>
      </c>
      <c r="D11" s="15" t="s">
        <v>91</v>
      </c>
      <c r="E11" s="15" t="s">
        <v>92</v>
      </c>
      <c r="F11" s="15" t="s">
        <v>93</v>
      </c>
      <c r="G11" s="15" t="s">
        <v>94</v>
      </c>
      <c r="H11" s="15" t="s">
        <v>95</v>
      </c>
      <c r="I11" s="15" t="s">
        <v>96</v>
      </c>
      <c r="J11" s="15" t="s">
        <v>97</v>
      </c>
      <c r="K11" s="15" t="s">
        <v>98</v>
      </c>
      <c r="L11" s="15" t="s">
        <v>99</v>
      </c>
      <c r="M11" s="15" t="s">
        <v>100</v>
      </c>
      <c r="N11" s="15" t="s">
        <v>101</v>
      </c>
      <c r="O11" s="15" t="s">
        <v>69</v>
      </c>
      <c r="P11" s="15" t="s">
        <v>102</v>
      </c>
      <c r="Q11" s="15" t="s">
        <v>103</v>
      </c>
      <c r="R11" s="15" t="s">
        <v>98</v>
      </c>
      <c r="S11" s="15" t="s">
        <v>99</v>
      </c>
      <c r="T11" s="15" t="s">
        <v>100</v>
      </c>
      <c r="U11" s="15" t="s">
        <v>101</v>
      </c>
      <c r="V11" s="15" t="s">
        <v>69</v>
      </c>
      <c r="W11" s="15" t="s">
        <v>102</v>
      </c>
      <c r="X11" s="15" t="s">
        <v>103</v>
      </c>
      <c r="Y11" s="15" t="s">
        <v>98</v>
      </c>
      <c r="Z11" s="15" t="s">
        <v>99</v>
      </c>
      <c r="AA11" s="15" t="s">
        <v>100</v>
      </c>
      <c r="AB11" s="15" t="s">
        <v>101</v>
      </c>
      <c r="AC11" s="15" t="s">
        <v>69</v>
      </c>
      <c r="AD11" s="15" t="s">
        <v>102</v>
      </c>
      <c r="AE11" s="15" t="s">
        <v>103</v>
      </c>
      <c r="AF11" s="15" t="s">
        <v>98</v>
      </c>
      <c r="AG11" s="15" t="s">
        <v>99</v>
      </c>
      <c r="AH11" s="15" t="s">
        <v>100</v>
      </c>
      <c r="AI11" s="15" t="s">
        <v>101</v>
      </c>
      <c r="AJ11" s="15" t="s">
        <v>69</v>
      </c>
      <c r="AK11" s="15" t="s">
        <v>102</v>
      </c>
      <c r="AL11" s="15" t="s">
        <v>103</v>
      </c>
      <c r="AM11" s="15" t="s">
        <v>104</v>
      </c>
      <c r="AO11" s="15" t="s">
        <v>105</v>
      </c>
      <c r="AP11" s="15" t="s">
        <v>106</v>
      </c>
    </row>
    <row r="12" spans="1:48" ht="15" customHeight="1" x14ac:dyDescent="0.2">
      <c r="A12" s="24">
        <v>1</v>
      </c>
      <c r="B12" s="25">
        <v>0.27889999999999998</v>
      </c>
      <c r="C12" s="25">
        <v>-0.95</v>
      </c>
      <c r="D12" s="25">
        <v>-0.44990000000000002</v>
      </c>
      <c r="E12" s="25">
        <v>-0.55359999999999998</v>
      </c>
      <c r="F12" s="25">
        <v>0.47289999999999999</v>
      </c>
      <c r="G12" s="25">
        <v>0.35339999999999999</v>
      </c>
      <c r="H12" s="25">
        <v>0.78439999999999999</v>
      </c>
      <c r="I12" s="25">
        <v>-0.82609999999999995</v>
      </c>
      <c r="J12" s="25">
        <v>-0.15620000000000001</v>
      </c>
      <c r="K12" s="26">
        <f t="shared" ref="K12:K75" si="0">0*B12+0*C12+D12</f>
        <v>-0.44990000000000002</v>
      </c>
      <c r="L12" s="26">
        <f t="shared" ref="L12:L75" si="1">1/(1+EXP(-K12))</f>
        <v>0.38938454220980695</v>
      </c>
      <c r="M12" s="26">
        <f t="shared" ref="M12:M75" si="2">0*E12+0*F12+G12</f>
        <v>0.35339999999999999</v>
      </c>
      <c r="N12" s="26">
        <f t="shared" ref="N12:N75" si="3">1/(1+EXP(-M12))</f>
        <v>0.5874418265256518</v>
      </c>
      <c r="O12" s="26">
        <f t="shared" ref="O12:O75" si="4">L12*H12+N12*I12+J12</f>
        <v>-0.33605245798346833</v>
      </c>
      <c r="P12" s="26">
        <f t="shared" ref="P12:P75" si="5">1/(1+EXP(-O12))</f>
        <v>0.41676869976445197</v>
      </c>
      <c r="Q12" s="26">
        <f t="shared" ref="Q12:Q75" si="6">0.5*(0-P12)^2</f>
        <v>8.6848074551675952E-2</v>
      </c>
      <c r="R12" s="26">
        <f t="shared" ref="R12:R75" si="7">0*B12+1*C12+D12</f>
        <v>-1.3998999999999999</v>
      </c>
      <c r="S12" s="26">
        <f t="shared" ref="S12:S75" si="8">1/(1+EXP(-R12))</f>
        <v>0.19783198041068931</v>
      </c>
      <c r="T12" s="26">
        <f t="shared" ref="T12:T75" si="9">0*E12+1*F12+G12</f>
        <v>0.82630000000000003</v>
      </c>
      <c r="U12" s="26">
        <f t="shared" ref="U12:U75" si="10">1/(1+EXP(-T12))</f>
        <v>0.69557201637634669</v>
      </c>
      <c r="V12" s="26">
        <f t="shared" ref="V12:V75" si="11">S12*H12+U12*I12+J12</f>
        <v>-0.57563263729435532</v>
      </c>
      <c r="W12" s="26">
        <f t="shared" ref="W12:W75" si="12">1/(1+EXP(-V12))</f>
        <v>0.35993814167872124</v>
      </c>
      <c r="X12" s="26">
        <f t="shared" ref="X12:X75" si="13">0.5*(1-W12)^2</f>
        <v>0.20483959123884432</v>
      </c>
      <c r="Y12" s="26">
        <f t="shared" ref="Y12:Y75" si="14">1*B12+0*C12+D12</f>
        <v>-0.17100000000000004</v>
      </c>
      <c r="Z12" s="26">
        <f t="shared" ref="Z12:Z75" si="15">1/(1+EXP(-Y12))</f>
        <v>0.45735386735453781</v>
      </c>
      <c r="AA12" s="26">
        <f t="shared" ref="AA12:AA75" si="16">1*E12+0*F12+G12</f>
        <v>-0.20019999999999999</v>
      </c>
      <c r="AB12" s="26">
        <f t="shared" ref="AB12:AB75" si="17">1/(1+EXP(-AA12))</f>
        <v>0.45011649986652941</v>
      </c>
      <c r="AC12" s="26">
        <f t="shared" ref="AC12:AC75" si="18">Z12*H12+AB12*I12+J12</f>
        <v>-0.16929286698684048</v>
      </c>
      <c r="AD12" s="26">
        <f t="shared" ref="AD12:AD75" si="19">1/(1+EXP(-AC12))</f>
        <v>0.45777757660184121</v>
      </c>
      <c r="AE12" s="26">
        <f t="shared" ref="AE12:AE75" si="20">0.5*(1-AD12)^2</f>
        <v>0.14700257821788607</v>
      </c>
      <c r="AF12" s="26">
        <f t="shared" ref="AF12:AF75" si="21">1*B12+1*C12+D12</f>
        <v>-1.121</v>
      </c>
      <c r="AG12" s="26">
        <f t="shared" ref="AG12:AG75" si="22">1/(1+EXP(-AF12))</f>
        <v>0.24582584093492091</v>
      </c>
      <c r="AH12" s="26">
        <f t="shared" ref="AH12:AH75" si="23">1*E12+1*F12+G12</f>
        <v>0.2727</v>
      </c>
      <c r="AI12" s="26">
        <f t="shared" ref="AI12:AI75" si="24">1/(1+EXP(-AH12))</f>
        <v>0.56775563057322465</v>
      </c>
      <c r="AJ12" s="26">
        <f t="shared" ref="AJ12:AJ75" si="25">AG12*H12+AI12*I12+J12</f>
        <v>-0.43239713678718894</v>
      </c>
      <c r="AK12" s="26">
        <f t="shared" ref="AK12:AK75" si="26">1/(1+EXP(-AJ12))</f>
        <v>0.39355406295000611</v>
      </c>
      <c r="AL12" s="26">
        <f t="shared" ref="AL12:AL75" si="27">0.5*(0-AK12)^2</f>
        <v>7.7442400232228689E-2</v>
      </c>
      <c r="AM12" s="27">
        <f t="shared" ref="AM12:AM75" si="28">Q12+X12+AE12+AL12</f>
        <v>0.5161326442406351</v>
      </c>
      <c r="AO12">
        <v>1</v>
      </c>
      <c r="AP12" s="28">
        <f>AM12</f>
        <v>0.5161326442406351</v>
      </c>
    </row>
    <row r="13" spans="1:48" ht="15" customHeight="1" x14ac:dyDescent="0.2">
      <c r="A13" s="24">
        <v>2</v>
      </c>
      <c r="B13" s="29">
        <f t="shared" ref="B13:B76" si="29">B12-$C$6*(((((P12)-0)*(P12)*(1-(P12)))*H12*(L12)*(1-(L12))*0)+((((W12)-1)*(W12)*(1-(W12)))*H12*(S12)*(1-(S12))*0)+((((AD12)-1)*(AD12)*(1-(AD12)))*H12*(Z12)*(1-(Z12))*1)+((((AK12)-0)*(AK12)*(1-(AK12)))*H12*(AG12)*(1-(AG12))*1))</f>
        <v>0.29144130456283657</v>
      </c>
      <c r="C13" s="29">
        <f t="shared" ref="C13:C76" si="30">C12-$C$6*(((((P12)-0)*(P12)*(1-(P12)))*H12*(L12)*(1-(L12))*0)+((((W12)-1)*(W12)*(1-(W12)))*H12*(S12)*(1-(S12))*1)+((((AD12)-1)*(AD12)*(1-(AD12)))*H12*(Z12)*(1-(Z12))*0)+((((AK12)-0)*(AK12)*(1-(AK12)))*H12*(AG12)*(1-(AG12))*1))</f>
        <v>-0.94530387955014783</v>
      </c>
      <c r="D13" s="29">
        <f t="shared" ref="D13:D76" si="31">D12-$C$6*(((((P12)-0)*(P12)*(1-(P12)))*H12*(L12)*(1-(L12)))+((((W12)-1)*(W12)*(1-(W12)))*H12*(S12)*(1-(S12)))+((((AD12)-1)*(AD12)*(1-(AD12)))*H12*(Z12)*(1-(Z12)))+((((AK12)-0)*(AK12)*(1-(AK12)))*H12*(AG12)*(1-(AG12))))</f>
        <v>-0.43789660184603485</v>
      </c>
      <c r="E13" s="29">
        <f t="shared" ref="E13:E76" si="32">E12-$C$6*(((((P12)-0)*(P12)*(1-(P12)))*I12*(N12)*(1-(N12))*0)+((((W12)-1)*(W12)*(1-(W12)))*I12*(U12)*(1-(U12))*0)+((((AD12)-1)*(AD12)*(1-(AD12)))*I12*(AB12)*(1-(AB12))*1)+((((AK12)-0)*(AK12)*(1-(AK12)))*I12*(AI12)*(1-(AI12))*1))</f>
        <v>-0.56207680545732897</v>
      </c>
      <c r="F13" s="29">
        <f t="shared" ref="F13:F76" si="33">F12-$C$6*(((((P12)-0)*(P12)*(1-(P12)))*I12*(N12)*(1-(N12))*0)+((((W12)-1)*(W12)*(1-(W12)))*I12*(U12)*(1-(U12))*1)+((((AD12)-1)*(AD12)*(1-(AD12)))*I12*(AB12)*(1-(AB12))*0)+((((AK12)-0)*(AK12)*(1-(AK12)))*I12*(AI12)*(1-(AI12))*1))</f>
        <v>0.46614778063811785</v>
      </c>
      <c r="G13" s="29">
        <f t="shared" ref="G13:G76" si="34">G12-$C$6*(((((P12)-0)*(P12)*(1-(P12)))*I12*(N12)*(1-(N12)))+((((W12)-1)*(W12)*(1-(W12)))*I12*(U12)*(1-(U12)))+((((AD12)-1)*(AD12)*(1-(AD12)))*I12*(AB12)*(1-(AB12)))+((((AK12)-0)*(AK12)*(1-(AK12)))*I12*(AI12)*(1-(AI12))))</f>
        <v>0.3394105963881156</v>
      </c>
      <c r="H13" s="29">
        <f t="shared" ref="H13:H76" si="35">H12-$C$6*((((P12)-0)*(P12)*(1-(P12))*L12)+(((W12)-1)*(W12)*(1-(W12))*S12)+(((AD12)-1)*(AD12)*(1-(AD12))*Z12)+(((AK12)-0)*(AK12)*(1-(AK12))*AG12))</f>
        <v>0.81259007149745177</v>
      </c>
      <c r="I13" s="29">
        <f t="shared" ref="I13:I76" si="36">I12-$C$6*((((P12)-0)*(P12)*(1-(P12))*N12)+(((W12)-1)*(W12)*(1-(W12))*U12)+(((AD12)-1)*(AD12)*(1-(AD12))*AB12)+(((AK12)-0)*(AK12)*(1-(AK12))*AI12))</f>
        <v>-0.77579049447616433</v>
      </c>
      <c r="J13" s="29">
        <f t="shared" ref="J13:J76" si="37">J12-$C$6*((((P12)-0)*(P12)*(1-(P12)))+(((W12)-1)*(W12)*(1-(W12)))+(((AD12)-1)*(AD12)*(1-(AD12)))+(((AK12)-0)*(AK12)*(1-(AK12))))</f>
        <v>-6.9386157192834794E-2</v>
      </c>
      <c r="K13" s="26">
        <f t="shared" si="0"/>
        <v>-0.43789660184603485</v>
      </c>
      <c r="L13" s="26">
        <f t="shared" si="1"/>
        <v>0.392242280898073</v>
      </c>
      <c r="M13" s="26">
        <f t="shared" si="2"/>
        <v>0.3394105963881156</v>
      </c>
      <c r="N13" s="26">
        <f t="shared" si="3"/>
        <v>0.5840473426504853</v>
      </c>
      <c r="O13" s="26">
        <f t="shared" si="4"/>
        <v>-0.20375235086585591</v>
      </c>
      <c r="P13" s="26">
        <f t="shared" si="5"/>
        <v>0.44923740839331261</v>
      </c>
      <c r="Q13" s="26">
        <f t="shared" si="6"/>
        <v>0.10090712454996997</v>
      </c>
      <c r="R13" s="26">
        <f t="shared" si="7"/>
        <v>-1.3832004813961827</v>
      </c>
      <c r="S13" s="26">
        <f t="shared" si="8"/>
        <v>0.20049548024744879</v>
      </c>
      <c r="T13" s="26">
        <f t="shared" si="9"/>
        <v>0.80555837702623345</v>
      </c>
      <c r="U13" s="26">
        <f t="shared" si="10"/>
        <v>0.69116221462552774</v>
      </c>
      <c r="V13" s="26">
        <f t="shared" si="11"/>
        <v>-0.44266259681122344</v>
      </c>
      <c r="W13" s="26">
        <f t="shared" si="12"/>
        <v>0.39110670893288096</v>
      </c>
      <c r="X13" s="26">
        <f t="shared" si="13"/>
        <v>0.18537551995327364</v>
      </c>
      <c r="Y13" s="26">
        <f t="shared" si="14"/>
        <v>-0.14645529728319828</v>
      </c>
      <c r="Z13" s="26">
        <f t="shared" si="15"/>
        <v>0.46345148024002841</v>
      </c>
      <c r="AA13" s="26">
        <f t="shared" si="16"/>
        <v>-0.22266620906921336</v>
      </c>
      <c r="AB13" s="26">
        <f t="shared" si="17"/>
        <v>0.44456230985059592</v>
      </c>
      <c r="AC13" s="26">
        <f t="shared" si="18"/>
        <v>-3.7677299913449855E-2</v>
      </c>
      <c r="AD13" s="26">
        <f t="shared" si="19"/>
        <v>0.4905817891530832</v>
      </c>
      <c r="AE13" s="26">
        <f t="shared" si="20"/>
        <v>0.12975345677123687</v>
      </c>
      <c r="AF13" s="26">
        <f t="shared" si="21"/>
        <v>-1.0917591768333461</v>
      </c>
      <c r="AG13" s="26">
        <f t="shared" si="22"/>
        <v>0.25128715869200591</v>
      </c>
      <c r="AH13" s="26">
        <f t="shared" si="23"/>
        <v>0.24348157156890449</v>
      </c>
      <c r="AI13" s="26">
        <f t="shared" si="24"/>
        <v>0.5605714486496759</v>
      </c>
      <c r="AJ13" s="26">
        <f t="shared" si="25"/>
        <v>-0.30007870828205802</v>
      </c>
      <c r="AK13" s="26">
        <f t="shared" si="26"/>
        <v>0.4255382424073394</v>
      </c>
      <c r="AL13" s="26">
        <f t="shared" si="27"/>
        <v>9.054139787556377E-2</v>
      </c>
      <c r="AM13" s="27">
        <f t="shared" si="28"/>
        <v>0.50657749915004424</v>
      </c>
      <c r="AO13">
        <v>11</v>
      </c>
      <c r="AP13" s="28">
        <f>AM22</f>
        <v>0.49942412065810432</v>
      </c>
    </row>
    <row r="14" spans="1:48" ht="15" customHeight="1" x14ac:dyDescent="0.2">
      <c r="A14" s="24">
        <v>3</v>
      </c>
      <c r="B14" s="29">
        <f t="shared" si="29"/>
        <v>0.30126209940472953</v>
      </c>
      <c r="C14" s="29">
        <f t="shared" si="30"/>
        <v>-0.94231996987007205</v>
      </c>
      <c r="D14" s="29">
        <f t="shared" si="31"/>
        <v>-0.43071971830784639</v>
      </c>
      <c r="E14" s="29">
        <f t="shared" si="32"/>
        <v>-0.56658527269237746</v>
      </c>
      <c r="F14" s="29">
        <f t="shared" si="33"/>
        <v>0.46201489188487938</v>
      </c>
      <c r="G14" s="29">
        <f t="shared" si="34"/>
        <v>0.33183838547634792</v>
      </c>
      <c r="H14" s="29">
        <f t="shared" si="35"/>
        <v>0.83092568191433891</v>
      </c>
      <c r="I14" s="29">
        <f t="shared" si="36"/>
        <v>-0.74220420444209556</v>
      </c>
      <c r="J14" s="29">
        <f t="shared" si="37"/>
        <v>-1.225045217270665E-2</v>
      </c>
      <c r="K14" s="26">
        <f t="shared" si="0"/>
        <v>-0.43071971830784639</v>
      </c>
      <c r="L14" s="26">
        <f t="shared" si="1"/>
        <v>0.39395448258414123</v>
      </c>
      <c r="M14" s="26">
        <f t="shared" si="2"/>
        <v>0.33183838547634792</v>
      </c>
      <c r="N14" s="26">
        <f t="shared" si="3"/>
        <v>0.58220661699876619</v>
      </c>
      <c r="O14" s="26">
        <f t="shared" si="4"/>
        <v>-0.11701975407876164</v>
      </c>
      <c r="P14" s="26">
        <f t="shared" si="5"/>
        <v>0.47077839967019652</v>
      </c>
      <c r="Q14" s="26">
        <f t="shared" si="6"/>
        <v>0.11081615079801564</v>
      </c>
      <c r="R14" s="26">
        <f t="shared" si="7"/>
        <v>-1.3730396881779185</v>
      </c>
      <c r="S14" s="26">
        <f t="shared" si="8"/>
        <v>0.20212918298567298</v>
      </c>
      <c r="T14" s="26">
        <f t="shared" si="9"/>
        <v>0.79385327736122724</v>
      </c>
      <c r="U14" s="26">
        <f t="shared" si="10"/>
        <v>0.68865810453813359</v>
      </c>
      <c r="V14" s="26">
        <f t="shared" si="11"/>
        <v>-0.35542106357687514</v>
      </c>
      <c r="W14" s="26">
        <f t="shared" si="12"/>
        <v>0.41206844749359145</v>
      </c>
      <c r="X14" s="26">
        <f t="shared" si="13"/>
        <v>0.17283175521629796</v>
      </c>
      <c r="Y14" s="26">
        <f t="shared" si="14"/>
        <v>-0.12945761890311686</v>
      </c>
      <c r="Z14" s="26">
        <f t="shared" si="15"/>
        <v>0.4676807199801592</v>
      </c>
      <c r="AA14" s="26">
        <f t="shared" si="16"/>
        <v>-0.23474688721602954</v>
      </c>
      <c r="AB14" s="26">
        <f t="shared" si="17"/>
        <v>0.44158130102538656</v>
      </c>
      <c r="AC14" s="26">
        <f t="shared" si="18"/>
        <v>4.8613970770943538E-2</v>
      </c>
      <c r="AD14" s="26">
        <f t="shared" si="19"/>
        <v>0.51215109971077899</v>
      </c>
      <c r="AE14" s="26">
        <f t="shared" si="20"/>
        <v>0.11899827475670115</v>
      </c>
      <c r="AF14" s="26">
        <f t="shared" si="21"/>
        <v>-1.0717775887731888</v>
      </c>
      <c r="AG14" s="26">
        <f t="shared" si="22"/>
        <v>0.25506518294635638</v>
      </c>
      <c r="AH14" s="26">
        <f t="shared" si="23"/>
        <v>0.22726800466884983</v>
      </c>
      <c r="AI14" s="26">
        <f t="shared" si="24"/>
        <v>0.55657370436174325</v>
      </c>
      <c r="AJ14" s="26">
        <f t="shared" si="25"/>
        <v>-0.2134015845595976</v>
      </c>
      <c r="AK14" s="26">
        <f t="shared" si="26"/>
        <v>0.44685115185936136</v>
      </c>
      <c r="AL14" s="26">
        <f t="shared" si="27"/>
        <v>9.9837975959019012E-2</v>
      </c>
      <c r="AM14" s="27">
        <f t="shared" si="28"/>
        <v>0.50248415673003377</v>
      </c>
      <c r="AO14">
        <v>21</v>
      </c>
      <c r="AP14" s="28">
        <f>AM32</f>
        <v>0.49900382344756916</v>
      </c>
    </row>
    <row r="15" spans="1:48" ht="15" customHeight="1" x14ac:dyDescent="0.2">
      <c r="A15" s="24">
        <v>4</v>
      </c>
      <c r="B15" s="29">
        <f t="shared" si="29"/>
        <v>0.30903862036267832</v>
      </c>
      <c r="C15" s="29">
        <f t="shared" si="30"/>
        <v>-0.94067068393594133</v>
      </c>
      <c r="D15" s="29">
        <f t="shared" si="31"/>
        <v>-0.42712514280709551</v>
      </c>
      <c r="E15" s="29">
        <f t="shared" si="32"/>
        <v>-0.56866154742066766</v>
      </c>
      <c r="F15" s="29">
        <f t="shared" si="33"/>
        <v>0.45958006842633536</v>
      </c>
      <c r="G15" s="29">
        <f t="shared" si="34"/>
        <v>0.32827090409538845</v>
      </c>
      <c r="H15" s="29">
        <f t="shared" si="35"/>
        <v>0.84234202670153269</v>
      </c>
      <c r="I15" s="29">
        <f t="shared" si="36"/>
        <v>-0.72005174658494708</v>
      </c>
      <c r="J15" s="29">
        <f t="shared" si="37"/>
        <v>2.4333644346820255E-2</v>
      </c>
      <c r="K15" s="26">
        <f t="shared" si="0"/>
        <v>-0.42712514280709551</v>
      </c>
      <c r="L15" s="26">
        <f t="shared" si="1"/>
        <v>0.39481302945886732</v>
      </c>
      <c r="M15" s="26">
        <f t="shared" si="2"/>
        <v>0.32827090409538845</v>
      </c>
      <c r="N15" s="26">
        <f t="shared" si="3"/>
        <v>0.58133860179268393</v>
      </c>
      <c r="O15" s="26">
        <f t="shared" si="4"/>
        <v>-6.1692623828698639E-2</v>
      </c>
      <c r="P15" s="26">
        <f t="shared" si="5"/>
        <v>0.48458173386682352</v>
      </c>
      <c r="Q15" s="26">
        <f t="shared" si="6"/>
        <v>0.11740972839868849</v>
      </c>
      <c r="R15" s="26">
        <f t="shared" si="7"/>
        <v>-1.3677958267430368</v>
      </c>
      <c r="S15" s="26">
        <f t="shared" si="8"/>
        <v>0.20297619721656165</v>
      </c>
      <c r="T15" s="26">
        <f t="shared" si="9"/>
        <v>0.78785097252172376</v>
      </c>
      <c r="U15" s="26">
        <f t="shared" si="10"/>
        <v>0.68736970655187735</v>
      </c>
      <c r="V15" s="26">
        <f t="shared" si="11"/>
        <v>-0.29963273206987306</v>
      </c>
      <c r="W15" s="26">
        <f t="shared" si="12"/>
        <v>0.42564726734019886</v>
      </c>
      <c r="X15" s="26">
        <f t="shared" si="13"/>
        <v>0.1649405307568905</v>
      </c>
      <c r="Y15" s="26">
        <f t="shared" si="14"/>
        <v>-0.1180865224444172</v>
      </c>
      <c r="Z15" s="26">
        <f t="shared" si="15"/>
        <v>0.47051262680440065</v>
      </c>
      <c r="AA15" s="26">
        <f t="shared" si="16"/>
        <v>-0.24039064332527921</v>
      </c>
      <c r="AB15" s="26">
        <f t="shared" si="17"/>
        <v>0.44019008507295748</v>
      </c>
      <c r="AC15" s="26">
        <f t="shared" si="18"/>
        <v>0.1037065644117415</v>
      </c>
      <c r="AD15" s="26">
        <f t="shared" si="19"/>
        <v>0.52590342920377131</v>
      </c>
      <c r="AE15" s="26">
        <f t="shared" si="20"/>
        <v>0.11238377922037174</v>
      </c>
      <c r="AF15" s="26">
        <f t="shared" si="21"/>
        <v>-1.0587572063803585</v>
      </c>
      <c r="AG15" s="26">
        <f t="shared" si="22"/>
        <v>0.2575470257969445</v>
      </c>
      <c r="AH15" s="26">
        <f t="shared" si="23"/>
        <v>0.21918942510105616</v>
      </c>
      <c r="AI15" s="26">
        <f t="shared" si="24"/>
        <v>0.5545790148475882</v>
      </c>
      <c r="AJ15" s="26">
        <f t="shared" si="25"/>
        <v>-0.15804926023279478</v>
      </c>
      <c r="AK15" s="26">
        <f t="shared" si="26"/>
        <v>0.46056973005165841</v>
      </c>
      <c r="AL15" s="26">
        <f t="shared" si="27"/>
        <v>0.10606223811992875</v>
      </c>
      <c r="AM15" s="27">
        <f t="shared" si="28"/>
        <v>0.50079627649587943</v>
      </c>
      <c r="AO15">
        <v>31</v>
      </c>
      <c r="AP15" s="28">
        <f>AM42</f>
        <v>0.49856584708923357</v>
      </c>
    </row>
    <row r="16" spans="1:48" ht="15" customHeight="1" x14ac:dyDescent="0.2">
      <c r="A16" s="24">
        <v>5</v>
      </c>
      <c r="B16" s="29">
        <f t="shared" si="29"/>
        <v>0.31541389578331697</v>
      </c>
      <c r="C16" s="29">
        <f t="shared" si="30"/>
        <v>-0.93996702948393418</v>
      </c>
      <c r="D16" s="29">
        <f t="shared" si="31"/>
        <v>-0.42597480948074984</v>
      </c>
      <c r="E16" s="29">
        <f t="shared" si="32"/>
        <v>-0.56928290025326744</v>
      </c>
      <c r="F16" s="29">
        <f t="shared" si="33"/>
        <v>0.45820622553785184</v>
      </c>
      <c r="G16" s="29">
        <f t="shared" si="34"/>
        <v>0.32713336012757105</v>
      </c>
      <c r="H16" s="29">
        <f t="shared" si="35"/>
        <v>0.84920546321804946</v>
      </c>
      <c r="I16" s="29">
        <f t="shared" si="36"/>
        <v>-0.70532100951328325</v>
      </c>
      <c r="J16" s="29">
        <f t="shared" si="37"/>
        <v>4.7496045727635966E-2</v>
      </c>
      <c r="K16" s="26">
        <f t="shared" si="0"/>
        <v>-0.42597480948074984</v>
      </c>
      <c r="L16" s="26">
        <f t="shared" si="1"/>
        <v>0.39508791839011353</v>
      </c>
      <c r="M16" s="26">
        <f t="shared" si="2"/>
        <v>0.32713336012757105</v>
      </c>
      <c r="N16" s="26">
        <f t="shared" si="3"/>
        <v>0.58106171616605318</v>
      </c>
      <c r="O16" s="26">
        <f t="shared" si="4"/>
        <v>-2.6828171759794267E-2</v>
      </c>
      <c r="P16" s="26">
        <f t="shared" si="5"/>
        <v>0.49329335931439255</v>
      </c>
      <c r="Q16" s="26">
        <f t="shared" si="6"/>
        <v>0.1216691691718392</v>
      </c>
      <c r="R16" s="26">
        <f t="shared" si="7"/>
        <v>-1.365941838964684</v>
      </c>
      <c r="S16" s="26">
        <f t="shared" si="8"/>
        <v>0.20327629471017541</v>
      </c>
      <c r="T16" s="26">
        <f t="shared" si="9"/>
        <v>0.78533958566542283</v>
      </c>
      <c r="U16" s="26">
        <f t="shared" si="10"/>
        <v>0.68682977433258841</v>
      </c>
      <c r="V16" s="26">
        <f t="shared" si="11"/>
        <v>-0.2643160840578026</v>
      </c>
      <c r="W16" s="26">
        <f t="shared" si="12"/>
        <v>0.43430301668896248</v>
      </c>
      <c r="X16" s="26">
        <f t="shared" si="13"/>
        <v>0.1600065384636041</v>
      </c>
      <c r="Y16" s="26">
        <f t="shared" si="14"/>
        <v>-0.11056091369743287</v>
      </c>
      <c r="Z16" s="26">
        <f t="shared" si="15"/>
        <v>0.47238789272601545</v>
      </c>
      <c r="AA16" s="26">
        <f t="shared" si="16"/>
        <v>-0.24214954012569639</v>
      </c>
      <c r="AB16" s="26">
        <f t="shared" si="17"/>
        <v>0.43975669854784777</v>
      </c>
      <c r="AC16" s="26">
        <f t="shared" si="18"/>
        <v>0.13848078642863362</v>
      </c>
      <c r="AD16" s="26">
        <f t="shared" si="19"/>
        <v>0.53456497674739101</v>
      </c>
      <c r="AE16" s="26">
        <f t="shared" si="20"/>
        <v>0.10831488043507834</v>
      </c>
      <c r="AF16" s="26">
        <f t="shared" si="21"/>
        <v>-1.050527943181367</v>
      </c>
      <c r="AG16" s="26">
        <f t="shared" si="22"/>
        <v>0.25912373412370837</v>
      </c>
      <c r="AH16" s="26">
        <f t="shared" si="23"/>
        <v>0.21605668541215545</v>
      </c>
      <c r="AI16" s="26">
        <f t="shared" si="24"/>
        <v>0.55380503024175154</v>
      </c>
      <c r="AJ16" s="26">
        <f t="shared" si="25"/>
        <v>-0.12306498660869614</v>
      </c>
      <c r="AK16" s="26">
        <f t="shared" si="26"/>
        <v>0.46927252417437498</v>
      </c>
      <c r="AL16" s="26">
        <f t="shared" si="27"/>
        <v>0.11010835097249468</v>
      </c>
      <c r="AM16" s="27">
        <f t="shared" si="28"/>
        <v>0.50009893904301639</v>
      </c>
      <c r="AO16">
        <v>41</v>
      </c>
      <c r="AP16" s="28">
        <f>AM52</f>
        <v>0.4980914217692492</v>
      </c>
    </row>
    <row r="17" spans="1:42" ht="15" customHeight="1" x14ac:dyDescent="0.2">
      <c r="A17" s="24">
        <v>6</v>
      </c>
      <c r="B17" s="29">
        <f t="shared" si="29"/>
        <v>0.32086992822035781</v>
      </c>
      <c r="C17" s="29">
        <f t="shared" si="30"/>
        <v>-0.9399063724535105</v>
      </c>
      <c r="D17" s="29">
        <f t="shared" si="31"/>
        <v>-0.42642859162862162</v>
      </c>
      <c r="E17" s="29">
        <f t="shared" si="32"/>
        <v>-0.56903602433384637</v>
      </c>
      <c r="F17" s="29">
        <f t="shared" si="33"/>
        <v>0.45749102383127621</v>
      </c>
      <c r="G17" s="29">
        <f t="shared" si="34"/>
        <v>0.32746533627725488</v>
      </c>
      <c r="H17" s="29">
        <f t="shared" si="35"/>
        <v>0.85316122971391173</v>
      </c>
      <c r="I17" s="29">
        <f t="shared" si="36"/>
        <v>-0.69531015741321023</v>
      </c>
      <c r="J17" s="29">
        <f t="shared" si="37"/>
        <v>6.2105167169336409E-2</v>
      </c>
      <c r="K17" s="26">
        <f t="shared" si="0"/>
        <v>-0.42642859162862162</v>
      </c>
      <c r="L17" s="26">
        <f t="shared" si="1"/>
        <v>0.39497947259138122</v>
      </c>
      <c r="M17" s="26">
        <f t="shared" si="2"/>
        <v>0.32746533627725488</v>
      </c>
      <c r="N17" s="26">
        <f t="shared" si="3"/>
        <v>0.58114252661219157</v>
      </c>
      <c r="O17" s="26">
        <f t="shared" si="4"/>
        <v>-4.987961941082128E-3</v>
      </c>
      <c r="P17" s="26">
        <f t="shared" si="5"/>
        <v>0.49875301210012551</v>
      </c>
      <c r="Q17" s="26">
        <f t="shared" si="6"/>
        <v>0.12437728353947397</v>
      </c>
      <c r="R17" s="26">
        <f t="shared" si="7"/>
        <v>-1.3663349640821321</v>
      </c>
      <c r="S17" s="26">
        <f t="shared" si="8"/>
        <v>0.2032126335418511</v>
      </c>
      <c r="T17" s="26">
        <f t="shared" si="9"/>
        <v>0.78495636010853109</v>
      </c>
      <c r="U17" s="26">
        <f t="shared" si="10"/>
        <v>0.68674733866992888</v>
      </c>
      <c r="V17" s="26">
        <f t="shared" si="11"/>
        <v>-0.24202409265838687</v>
      </c>
      <c r="W17" s="26">
        <f t="shared" si="12"/>
        <v>0.43978760536731448</v>
      </c>
      <c r="X17" s="26">
        <f t="shared" si="13"/>
        <v>0.15691896355004392</v>
      </c>
      <c r="Y17" s="26">
        <f t="shared" si="14"/>
        <v>-0.10555866340826381</v>
      </c>
      <c r="Z17" s="26">
        <f t="shared" si="15"/>
        <v>0.47363481106789113</v>
      </c>
      <c r="AA17" s="26">
        <f t="shared" si="16"/>
        <v>-0.24157068805659149</v>
      </c>
      <c r="AB17" s="26">
        <f t="shared" si="17"/>
        <v>0.43989931573250229</v>
      </c>
      <c r="AC17" s="26">
        <f t="shared" si="18"/>
        <v>0.16032556254740499</v>
      </c>
      <c r="AD17" s="26">
        <f t="shared" si="19"/>
        <v>0.53999575545519984</v>
      </c>
      <c r="AE17" s="26">
        <f t="shared" si="20"/>
        <v>0.10580195249961616</v>
      </c>
      <c r="AF17" s="26">
        <f t="shared" si="21"/>
        <v>-1.0454650358617743</v>
      </c>
      <c r="AG17" s="26">
        <f t="shared" si="22"/>
        <v>0.26009688882379145</v>
      </c>
      <c r="AH17" s="26">
        <f t="shared" si="23"/>
        <v>0.21592033577468472</v>
      </c>
      <c r="AI17" s="26">
        <f t="shared" si="24"/>
        <v>0.55377133731490269</v>
      </c>
      <c r="AJ17" s="26">
        <f t="shared" si="25"/>
        <v>-0.10103308703634405</v>
      </c>
      <c r="AK17" s="26">
        <f t="shared" si="26"/>
        <v>0.47476319203774486</v>
      </c>
      <c r="AL17" s="26">
        <f t="shared" si="27"/>
        <v>0.11270004425693431</v>
      </c>
      <c r="AM17" s="27">
        <f t="shared" si="28"/>
        <v>0.49979824384606836</v>
      </c>
      <c r="AO17">
        <v>51</v>
      </c>
      <c r="AP17" s="28">
        <f>AM62</f>
        <v>0.49756180564446162</v>
      </c>
    </row>
    <row r="18" spans="1:42" ht="15" customHeight="1" x14ac:dyDescent="0.2">
      <c r="A18" s="24">
        <v>7</v>
      </c>
      <c r="B18" s="29">
        <f t="shared" si="29"/>
        <v>0.32573587947223948</v>
      </c>
      <c r="C18" s="29">
        <f t="shared" si="30"/>
        <v>-0.94027774368920658</v>
      </c>
      <c r="D18" s="29">
        <f t="shared" si="31"/>
        <v>-0.42791741479521883</v>
      </c>
      <c r="E18" s="29">
        <f t="shared" si="32"/>
        <v>-0.56827032345393325</v>
      </c>
      <c r="F18" s="29">
        <f t="shared" si="33"/>
        <v>0.45718700206263424</v>
      </c>
      <c r="G18" s="29">
        <f t="shared" si="34"/>
        <v>0.32868915233275264</v>
      </c>
      <c r="H18" s="29">
        <f t="shared" si="35"/>
        <v>0.85528757682127454</v>
      </c>
      <c r="I18" s="29">
        <f t="shared" si="36"/>
        <v>-0.68828001843511633</v>
      </c>
      <c r="J18" s="29">
        <f t="shared" si="37"/>
        <v>7.131650765936258E-2</v>
      </c>
      <c r="K18" s="26">
        <f t="shared" si="0"/>
        <v>-0.42791741479521883</v>
      </c>
      <c r="L18" s="26">
        <f t="shared" si="1"/>
        <v>0.39462374318021465</v>
      </c>
      <c r="M18" s="26">
        <f t="shared" si="2"/>
        <v>0.32868915233275264</v>
      </c>
      <c r="N18" s="26">
        <f t="shared" si="3"/>
        <v>0.58144039327060915</v>
      </c>
      <c r="O18" s="26">
        <f t="shared" si="4"/>
        <v>8.6394881208931434E-3</v>
      </c>
      <c r="P18" s="26">
        <f t="shared" si="5"/>
        <v>0.5021598585957836</v>
      </c>
      <c r="Q18" s="26">
        <f t="shared" si="6"/>
        <v>0.1260822617924687</v>
      </c>
      <c r="R18" s="26">
        <f t="shared" si="7"/>
        <v>-1.3681951584844254</v>
      </c>
      <c r="S18" s="26">
        <f t="shared" si="8"/>
        <v>0.2029116022436446</v>
      </c>
      <c r="T18" s="26">
        <f t="shared" si="9"/>
        <v>0.78587615439538694</v>
      </c>
      <c r="U18" s="26">
        <f t="shared" si="10"/>
        <v>0.68694517581651637</v>
      </c>
      <c r="V18" s="26">
        <f t="shared" si="11"/>
        <v>-0.22794635802365443</v>
      </c>
      <c r="W18" s="26">
        <f t="shared" si="12"/>
        <v>0.4432588848576034</v>
      </c>
      <c r="X18" s="26">
        <f t="shared" si="13"/>
        <v>0.15498033464499969</v>
      </c>
      <c r="Y18" s="26">
        <f t="shared" si="14"/>
        <v>-0.10218153532297936</v>
      </c>
      <c r="Z18" s="26">
        <f t="shared" si="15"/>
        <v>0.47447681974020495</v>
      </c>
      <c r="AA18" s="26">
        <f t="shared" si="16"/>
        <v>-0.2395811711211806</v>
      </c>
      <c r="AB18" s="26">
        <f t="shared" si="17"/>
        <v>0.44038956710595245</v>
      </c>
      <c r="AC18" s="26">
        <f t="shared" si="18"/>
        <v>0.17401929770650931</v>
      </c>
      <c r="AD18" s="26">
        <f t="shared" si="19"/>
        <v>0.54339536885574324</v>
      </c>
      <c r="AE18" s="26">
        <f t="shared" si="20"/>
        <v>0.10424389459119138</v>
      </c>
      <c r="AF18" s="26">
        <f t="shared" si="21"/>
        <v>-1.0424592790121858</v>
      </c>
      <c r="AG18" s="26">
        <f t="shared" si="22"/>
        <v>0.26067575317879849</v>
      </c>
      <c r="AH18" s="26">
        <f t="shared" si="23"/>
        <v>0.21760583094145364</v>
      </c>
      <c r="AI18" s="26">
        <f t="shared" si="24"/>
        <v>0.55418779989567268</v>
      </c>
      <c r="AJ18" s="26">
        <f t="shared" si="25"/>
        <v>-8.7167148196992353E-2</v>
      </c>
      <c r="AK18" s="26">
        <f t="shared" si="26"/>
        <v>0.47822200051096136</v>
      </c>
      <c r="AL18" s="26">
        <f t="shared" si="27"/>
        <v>0.11434814088635296</v>
      </c>
      <c r="AM18" s="27">
        <f t="shared" si="28"/>
        <v>0.49965463191501275</v>
      </c>
      <c r="AO18">
        <v>61</v>
      </c>
      <c r="AP18" s="28">
        <f>AM72</f>
        <v>0.4969552248143978</v>
      </c>
    </row>
    <row r="19" spans="1:42" ht="15" customHeight="1" x14ac:dyDescent="0.2">
      <c r="A19" s="24">
        <v>8</v>
      </c>
      <c r="B19" s="29">
        <f t="shared" si="29"/>
        <v>0.33022744982818136</v>
      </c>
      <c r="C19" s="29">
        <f t="shared" si="30"/>
        <v>-0.94094126234931286</v>
      </c>
      <c r="D19" s="29">
        <f t="shared" si="31"/>
        <v>-0.43007032536320017</v>
      </c>
      <c r="E19" s="29">
        <f t="shared" si="32"/>
        <v>-0.56719555348099204</v>
      </c>
      <c r="F19" s="29">
        <f t="shared" si="33"/>
        <v>0.45714243787933773</v>
      </c>
      <c r="G19" s="29">
        <f t="shared" si="34"/>
        <v>0.33045580903556526</v>
      </c>
      <c r="H19" s="29">
        <f t="shared" si="35"/>
        <v>0.85627404743576463</v>
      </c>
      <c r="I19" s="29">
        <f t="shared" si="36"/>
        <v>-0.68312952458649578</v>
      </c>
      <c r="J19" s="29">
        <f t="shared" si="37"/>
        <v>7.713431691064733E-2</v>
      </c>
      <c r="K19" s="26">
        <f t="shared" si="0"/>
        <v>-0.43007032536320017</v>
      </c>
      <c r="L19" s="26">
        <f t="shared" si="1"/>
        <v>0.39410953864590864</v>
      </c>
      <c r="M19" s="26">
        <f t="shared" si="2"/>
        <v>0.33045580903556526</v>
      </c>
      <c r="N19" s="26">
        <f t="shared" si="3"/>
        <v>0.58187027806676905</v>
      </c>
      <c r="O19" s="26">
        <f t="shared" si="4"/>
        <v>1.7107320273257356E-2</v>
      </c>
      <c r="P19" s="26">
        <f t="shared" si="5"/>
        <v>0.50427672576646454</v>
      </c>
      <c r="Q19" s="26">
        <f t="shared" si="6"/>
        <v>0.12714750807487304</v>
      </c>
      <c r="R19" s="26">
        <f t="shared" si="7"/>
        <v>-1.3710115877125131</v>
      </c>
      <c r="S19" s="26">
        <f t="shared" si="8"/>
        <v>0.20245645838290591</v>
      </c>
      <c r="T19" s="26">
        <f t="shared" si="9"/>
        <v>0.78759824691490299</v>
      </c>
      <c r="U19" s="26">
        <f t="shared" si="10"/>
        <v>0.68731539511936646</v>
      </c>
      <c r="V19" s="26">
        <f t="shared" si="11"/>
        <v>-0.21903291114918366</v>
      </c>
      <c r="W19" s="26">
        <f t="shared" si="12"/>
        <v>0.44545964773603369</v>
      </c>
      <c r="X19" s="26">
        <f t="shared" si="13"/>
        <v>0.15375750114452189</v>
      </c>
      <c r="Y19" s="26">
        <f t="shared" si="14"/>
        <v>-9.9842875535018805E-2</v>
      </c>
      <c r="Z19" s="26">
        <f t="shared" si="15"/>
        <v>0.4750599957516618</v>
      </c>
      <c r="AA19" s="26">
        <f t="shared" si="16"/>
        <v>-0.23673974444542678</v>
      </c>
      <c r="AB19" s="26">
        <f t="shared" si="17"/>
        <v>0.44108994519669203</v>
      </c>
      <c r="AC19" s="26">
        <f t="shared" si="18"/>
        <v>0.18259429768564023</v>
      </c>
      <c r="AD19" s="26">
        <f t="shared" si="19"/>
        <v>0.54552216632449158</v>
      </c>
      <c r="AE19" s="26">
        <f t="shared" si="20"/>
        <v>0.10327505065119155</v>
      </c>
      <c r="AF19" s="26">
        <f t="shared" si="21"/>
        <v>-1.0407841378843317</v>
      </c>
      <c r="AG19" s="26">
        <f t="shared" si="22"/>
        <v>0.26099872232160526</v>
      </c>
      <c r="AH19" s="26">
        <f t="shared" si="23"/>
        <v>0.22040269343391095</v>
      </c>
      <c r="AI19" s="26">
        <f t="shared" si="24"/>
        <v>0.55487869788207467</v>
      </c>
      <c r="AJ19" s="26">
        <f t="shared" si="25"/>
        <v>-7.8433271838823967E-2</v>
      </c>
      <c r="AK19" s="26">
        <f t="shared" si="26"/>
        <v>0.48040172802873821</v>
      </c>
      <c r="AL19" s="26">
        <f t="shared" si="27"/>
        <v>0.11539291014649887</v>
      </c>
      <c r="AM19" s="27">
        <f t="shared" si="28"/>
        <v>0.49957297001708534</v>
      </c>
      <c r="AO19">
        <v>71</v>
      </c>
      <c r="AP19" s="28">
        <f>AM82</f>
        <v>0.49624529439806886</v>
      </c>
    </row>
    <row r="20" spans="1:42" ht="15" customHeight="1" x14ac:dyDescent="0.2">
      <c r="A20" s="24">
        <v>9</v>
      </c>
      <c r="B20" s="29">
        <f t="shared" si="29"/>
        <v>0.33448325216586205</v>
      </c>
      <c r="C20" s="29">
        <f t="shared" si="30"/>
        <v>-0.94180646848703953</v>
      </c>
      <c r="D20" s="29">
        <f t="shared" si="31"/>
        <v>-0.43264994366026449</v>
      </c>
      <c r="E20" s="29">
        <f t="shared" si="32"/>
        <v>-0.56593896932452481</v>
      </c>
      <c r="F20" s="29">
        <f t="shared" si="33"/>
        <v>0.45726394531746511</v>
      </c>
      <c r="G20" s="29">
        <f t="shared" si="34"/>
        <v>0.3325526970706153</v>
      </c>
      <c r="H20" s="29">
        <f t="shared" si="35"/>
        <v>0.85655696757772215</v>
      </c>
      <c r="I20" s="29">
        <f t="shared" si="36"/>
        <v>-0.67916561104062723</v>
      </c>
      <c r="J20" s="29">
        <f t="shared" si="37"/>
        <v>8.0821628774155913E-2</v>
      </c>
      <c r="K20" s="26">
        <f t="shared" si="0"/>
        <v>-0.43264994366026449</v>
      </c>
      <c r="L20" s="26">
        <f t="shared" si="1"/>
        <v>0.39349372734402638</v>
      </c>
      <c r="M20" s="26">
        <f t="shared" si="2"/>
        <v>0.3325526970706153</v>
      </c>
      <c r="N20" s="26">
        <f t="shared" si="3"/>
        <v>0.5823803574214732</v>
      </c>
      <c r="O20" s="26">
        <f t="shared" si="4"/>
        <v>2.2338711322596377E-2</v>
      </c>
      <c r="P20" s="26">
        <f t="shared" si="5"/>
        <v>0.5055844456043298</v>
      </c>
      <c r="Q20" s="26">
        <f t="shared" si="6"/>
        <v>0.12780781581851877</v>
      </c>
      <c r="R20" s="26">
        <f t="shared" si="7"/>
        <v>-1.374456412147304</v>
      </c>
      <c r="S20" s="26">
        <f t="shared" si="8"/>
        <v>0.20190080011037204</v>
      </c>
      <c r="T20" s="26">
        <f t="shared" si="9"/>
        <v>0.78981664238808036</v>
      </c>
      <c r="U20" s="26">
        <f t="shared" si="10"/>
        <v>0.6877919587921616</v>
      </c>
      <c r="V20" s="26">
        <f t="shared" si="11"/>
        <v>-0.21336348009369629</v>
      </c>
      <c r="W20" s="26">
        <f t="shared" si="12"/>
        <v>0.4468605703574125</v>
      </c>
      <c r="X20" s="26">
        <f t="shared" si="13"/>
        <v>0.15298161431266352</v>
      </c>
      <c r="Y20" s="26">
        <f t="shared" si="14"/>
        <v>-9.8166691494402436E-2</v>
      </c>
      <c r="Z20" s="26">
        <f t="shared" si="15"/>
        <v>0.47547801654603761</v>
      </c>
      <c r="AA20" s="26">
        <f t="shared" si="16"/>
        <v>-0.23338627225390951</v>
      </c>
      <c r="AB20" s="26">
        <f t="shared" si="17"/>
        <v>0.4419168379533458</v>
      </c>
      <c r="AC20" s="26">
        <f t="shared" si="18"/>
        <v>0.18796091749897395</v>
      </c>
      <c r="AD20" s="26">
        <f t="shared" si="19"/>
        <v>0.54685237204329085</v>
      </c>
      <c r="AE20" s="26">
        <f t="shared" si="20"/>
        <v>0.10267138636139604</v>
      </c>
      <c r="AF20" s="26">
        <f t="shared" si="21"/>
        <v>-1.0399731599814419</v>
      </c>
      <c r="AG20" s="26">
        <f t="shared" si="22"/>
        <v>0.2611551727486377</v>
      </c>
      <c r="AH20" s="26">
        <f t="shared" si="23"/>
        <v>0.2238776730635556</v>
      </c>
      <c r="AI20" s="26">
        <f t="shared" si="24"/>
        <v>0.55573681278439024</v>
      </c>
      <c r="AJ20" s="26">
        <f t="shared" si="25"/>
        <v>-7.2921420421515837E-2</v>
      </c>
      <c r="AK20" s="26">
        <f t="shared" si="26"/>
        <v>0.48177771897831184</v>
      </c>
      <c r="AL20" s="26">
        <f t="shared" si="27"/>
        <v>0.11605488525197261</v>
      </c>
      <c r="AM20" s="27">
        <f t="shared" si="28"/>
        <v>0.49951570174455096</v>
      </c>
      <c r="AO20">
        <v>81</v>
      </c>
      <c r="AP20" s="28">
        <f>AM92</f>
        <v>0.49539922413245091</v>
      </c>
    </row>
    <row r="21" spans="1:42" ht="15" customHeight="1" x14ac:dyDescent="0.2">
      <c r="A21" s="24">
        <v>10</v>
      </c>
      <c r="B21" s="29">
        <f t="shared" si="29"/>
        <v>0.33859151946339688</v>
      </c>
      <c r="C21" s="29">
        <f t="shared" si="30"/>
        <v>-0.94281563310164773</v>
      </c>
      <c r="D21" s="29">
        <f t="shared" si="31"/>
        <v>-0.43550580959208773</v>
      </c>
      <c r="E21" s="29">
        <f t="shared" si="32"/>
        <v>-0.56457844557225156</v>
      </c>
      <c r="F21" s="29">
        <f t="shared" si="33"/>
        <v>0.45749374674667431</v>
      </c>
      <c r="G21" s="29">
        <f t="shared" si="34"/>
        <v>0.33484933003008671</v>
      </c>
      <c r="H21" s="29">
        <f t="shared" si="35"/>
        <v>0.85641111492799926</v>
      </c>
      <c r="I21" s="29">
        <f t="shared" si="36"/>
        <v>-0.67595282126244227</v>
      </c>
      <c r="J21" s="29">
        <f t="shared" si="37"/>
        <v>8.3171915025469834E-2</v>
      </c>
      <c r="K21" s="26">
        <f t="shared" si="0"/>
        <v>-0.43550580959208773</v>
      </c>
      <c r="L21" s="26">
        <f t="shared" si="1"/>
        <v>0.39281236433387506</v>
      </c>
      <c r="M21" s="26">
        <f t="shared" si="2"/>
        <v>0.33484933003008671</v>
      </c>
      <c r="N21" s="26">
        <f t="shared" si="3"/>
        <v>0.58293882360243132</v>
      </c>
      <c r="O21" s="26">
        <f t="shared" si="4"/>
        <v>2.5541647484674579E-2</v>
      </c>
      <c r="P21" s="26">
        <f t="shared" si="5"/>
        <v>0.50638506475315559</v>
      </c>
      <c r="Q21" s="26">
        <f t="shared" si="6"/>
        <v>0.12821291690252878</v>
      </c>
      <c r="R21" s="26">
        <f t="shared" si="7"/>
        <v>-1.3783214426937356</v>
      </c>
      <c r="S21" s="26">
        <f t="shared" si="8"/>
        <v>0.2012787187104442</v>
      </c>
      <c r="T21" s="26">
        <f t="shared" si="9"/>
        <v>0.79234307677676097</v>
      </c>
      <c r="U21" s="26">
        <f t="shared" si="10"/>
        <v>0.6883342130517347</v>
      </c>
      <c r="V21" s="26">
        <f t="shared" si="11"/>
        <v>-0.20973220635622258</v>
      </c>
      <c r="W21" s="26">
        <f t="shared" si="12"/>
        <v>0.44775830704891822</v>
      </c>
      <c r="X21" s="26">
        <f t="shared" si="13"/>
        <v>0.15248544371673847</v>
      </c>
      <c r="Y21" s="26">
        <f t="shared" si="14"/>
        <v>-9.691429012869085E-2</v>
      </c>
      <c r="Z21" s="26">
        <f t="shared" si="15"/>
        <v>0.47579037333594282</v>
      </c>
      <c r="AA21" s="26">
        <f t="shared" si="16"/>
        <v>-0.22972911554216485</v>
      </c>
      <c r="AB21" s="26">
        <f t="shared" si="17"/>
        <v>0.44281897977773255</v>
      </c>
      <c r="AC21" s="26">
        <f t="shared" si="18"/>
        <v>0.19131934043679893</v>
      </c>
      <c r="AD21" s="26">
        <f t="shared" si="19"/>
        <v>0.54768447383982122</v>
      </c>
      <c r="AE21" s="26">
        <f t="shared" si="20"/>
        <v>0.10229466760277969</v>
      </c>
      <c r="AF21" s="26">
        <f t="shared" si="21"/>
        <v>-1.0397299232303387</v>
      </c>
      <c r="AG21" s="26">
        <f t="shared" si="22"/>
        <v>0.26120210877214917</v>
      </c>
      <c r="AH21" s="26">
        <f t="shared" si="23"/>
        <v>0.22776463120450946</v>
      </c>
      <c r="AI21" s="26">
        <f t="shared" si="24"/>
        <v>0.55669626805463268</v>
      </c>
      <c r="AJ21" s="26">
        <f t="shared" si="25"/>
        <v>-6.9432108757231131E-2</v>
      </c>
      <c r="AK21" s="26">
        <f t="shared" si="26"/>
        <v>0.48264894277438336</v>
      </c>
      <c r="AL21" s="26">
        <f t="shared" si="27"/>
        <v>0.11647500098061499</v>
      </c>
      <c r="AM21" s="27">
        <f t="shared" si="28"/>
        <v>0.49946802920266192</v>
      </c>
      <c r="AO21">
        <v>91</v>
      </c>
      <c r="AP21" s="28">
        <f>AM102</f>
        <v>0.49437576940727856</v>
      </c>
    </row>
    <row r="22" spans="1:42" ht="15" customHeight="1" x14ac:dyDescent="0.2">
      <c r="A22" s="24">
        <v>11</v>
      </c>
      <c r="B22" s="29">
        <f t="shared" si="29"/>
        <v>0.34260817692270229</v>
      </c>
      <c r="C22" s="29">
        <f t="shared" si="30"/>
        <v>-0.94393218639095755</v>
      </c>
      <c r="D22" s="29">
        <f t="shared" si="31"/>
        <v>-0.43854305911340868</v>
      </c>
      <c r="E22" s="29">
        <f t="shared" si="32"/>
        <v>-0.56316191754764622</v>
      </c>
      <c r="F22" s="29">
        <f t="shared" si="33"/>
        <v>0.4577959218669711</v>
      </c>
      <c r="G22" s="29">
        <f t="shared" si="34"/>
        <v>0.33726519471999261</v>
      </c>
      <c r="H22" s="29">
        <f t="shared" si="35"/>
        <v>0.85600913527111944</v>
      </c>
      <c r="I22" s="29">
        <f t="shared" si="36"/>
        <v>-0.67321767256798715</v>
      </c>
      <c r="J22" s="29">
        <f t="shared" si="37"/>
        <v>8.4683014542531909E-2</v>
      </c>
      <c r="K22" s="26">
        <f t="shared" si="0"/>
        <v>-0.43854305911340868</v>
      </c>
      <c r="L22" s="26">
        <f t="shared" si="1"/>
        <v>0.39208818380579297</v>
      </c>
      <c r="M22" s="26">
        <f t="shared" si="2"/>
        <v>0.33726519471999261</v>
      </c>
      <c r="N22" s="26">
        <f t="shared" si="3"/>
        <v>0.58352605345955078</v>
      </c>
      <c r="O22" s="26">
        <f t="shared" si="4"/>
        <v>2.7474030119330917E-2</v>
      </c>
      <c r="P22" s="26">
        <f t="shared" si="5"/>
        <v>0.50686807552053637</v>
      </c>
      <c r="Q22" s="26">
        <f t="shared" si="6"/>
        <v>0.12845762299094607</v>
      </c>
      <c r="R22" s="26">
        <f t="shared" si="7"/>
        <v>-1.3824752455043663</v>
      </c>
      <c r="S22" s="26">
        <f t="shared" si="8"/>
        <v>0.20061175866803416</v>
      </c>
      <c r="T22" s="26">
        <f t="shared" si="9"/>
        <v>0.79506111658696366</v>
      </c>
      <c r="U22" s="26">
        <f t="shared" si="10"/>
        <v>0.68891701604599853</v>
      </c>
      <c r="V22" s="26">
        <f t="shared" si="11"/>
        <v>-0.20738259752979543</v>
      </c>
      <c r="W22" s="26">
        <f t="shared" si="12"/>
        <v>0.44833936777253625</v>
      </c>
      <c r="X22" s="26">
        <f t="shared" si="13"/>
        <v>0.15216472657480251</v>
      </c>
      <c r="Y22" s="26">
        <f t="shared" si="14"/>
        <v>-9.5934882190706394E-2</v>
      </c>
      <c r="Z22" s="26">
        <f t="shared" si="15"/>
        <v>0.47603465705625608</v>
      </c>
      <c r="AA22" s="26">
        <f t="shared" si="16"/>
        <v>-0.22589672282765361</v>
      </c>
      <c r="AB22" s="26">
        <f t="shared" si="17"/>
        <v>0.44376475339980737</v>
      </c>
      <c r="AC22" s="26">
        <f t="shared" si="18"/>
        <v>0.19342275523681651</v>
      </c>
      <c r="AD22" s="26">
        <f t="shared" si="19"/>
        <v>0.5482054923258568</v>
      </c>
      <c r="AE22" s="26">
        <f t="shared" si="20"/>
        <v>0.10205913858226072</v>
      </c>
      <c r="AF22" s="26">
        <f t="shared" si="21"/>
        <v>-1.039867068581664</v>
      </c>
      <c r="AG22" s="26">
        <f t="shared" si="22"/>
        <v>0.26117564393696124</v>
      </c>
      <c r="AH22" s="26">
        <f t="shared" si="23"/>
        <v>0.23189919903931749</v>
      </c>
      <c r="AI22" s="26">
        <f t="shared" si="24"/>
        <v>0.55771637900018278</v>
      </c>
      <c r="AJ22" s="26">
        <f t="shared" si="25"/>
        <v>-6.7212770960660556E-2</v>
      </c>
      <c r="AK22" s="26">
        <f t="shared" si="26"/>
        <v>0.48320313018459427</v>
      </c>
      <c r="AL22" s="26">
        <f t="shared" si="27"/>
        <v>0.11674263251009498</v>
      </c>
      <c r="AM22" s="27">
        <f t="shared" si="28"/>
        <v>0.49942412065810432</v>
      </c>
      <c r="AO22">
        <v>101</v>
      </c>
      <c r="AP22" s="28">
        <f>AM112</f>
        <v>0.4931229811673441</v>
      </c>
    </row>
    <row r="23" spans="1:42" ht="15" customHeight="1" x14ac:dyDescent="0.2">
      <c r="A23" s="24">
        <v>12</v>
      </c>
      <c r="B23" s="29">
        <f t="shared" si="29"/>
        <v>0.3465686369296524</v>
      </c>
      <c r="C23" s="29">
        <f t="shared" si="30"/>
        <v>-0.94513306046492929</v>
      </c>
      <c r="D23" s="29">
        <f t="shared" si="31"/>
        <v>-0.4417020701191347</v>
      </c>
      <c r="E23" s="29">
        <f t="shared" si="32"/>
        <v>-0.5617189850138653</v>
      </c>
      <c r="F23" s="29">
        <f t="shared" si="33"/>
        <v>0.45814803944395066</v>
      </c>
      <c r="G23" s="29">
        <f t="shared" si="34"/>
        <v>0.33975044886554862</v>
      </c>
      <c r="H23" s="29">
        <f t="shared" si="35"/>
        <v>0.85545938066834537</v>
      </c>
      <c r="I23" s="29">
        <f t="shared" si="36"/>
        <v>-0.67078840132159356</v>
      </c>
      <c r="J23" s="29">
        <f t="shared" si="37"/>
        <v>8.5667085998249806E-2</v>
      </c>
      <c r="K23" s="26">
        <f t="shared" si="0"/>
        <v>-0.4417020701191347</v>
      </c>
      <c r="L23" s="26">
        <f t="shared" si="1"/>
        <v>0.39133547483179554</v>
      </c>
      <c r="M23" s="26">
        <f t="shared" si="2"/>
        <v>0.33975044886554862</v>
      </c>
      <c r="N23" s="26">
        <f t="shared" si="3"/>
        <v>0.58412990270794696</v>
      </c>
      <c r="O23" s="26">
        <f t="shared" si="4"/>
        <v>2.8611125329808765E-2</v>
      </c>
      <c r="P23" s="26">
        <f t="shared" si="5"/>
        <v>0.50715229343558199</v>
      </c>
      <c r="Q23" s="26">
        <f t="shared" si="6"/>
        <v>0.12860172436848533</v>
      </c>
      <c r="R23" s="26">
        <f t="shared" si="7"/>
        <v>-1.386835130584064</v>
      </c>
      <c r="S23" s="26">
        <f t="shared" si="8"/>
        <v>0.1999134909222807</v>
      </c>
      <c r="T23" s="26">
        <f t="shared" si="9"/>
        <v>0.79789848830949928</v>
      </c>
      <c r="U23" s="26">
        <f t="shared" si="10"/>
        <v>0.68952476802459328</v>
      </c>
      <c r="V23" s="26">
        <f t="shared" si="11"/>
        <v>-0.20584025968498865</v>
      </c>
      <c r="W23" s="26">
        <f t="shared" si="12"/>
        <v>0.44872086633170155</v>
      </c>
      <c r="X23" s="26">
        <f t="shared" si="13"/>
        <v>0.15195434160903487</v>
      </c>
      <c r="Y23" s="26">
        <f t="shared" si="14"/>
        <v>-9.5133433189482308E-2</v>
      </c>
      <c r="Z23" s="26">
        <f t="shared" si="15"/>
        <v>0.47623456283310606</v>
      </c>
      <c r="AA23" s="26">
        <f t="shared" si="16"/>
        <v>-0.22196853614831669</v>
      </c>
      <c r="AB23" s="26">
        <f t="shared" si="17"/>
        <v>0.44473459055285436</v>
      </c>
      <c r="AC23" s="26">
        <f t="shared" si="18"/>
        <v>0.19474360516295625</v>
      </c>
      <c r="AD23" s="26">
        <f t="shared" si="19"/>
        <v>0.54853261458047209</v>
      </c>
      <c r="AE23" s="26">
        <f t="shared" si="20"/>
        <v>0.10191140004877228</v>
      </c>
      <c r="AF23" s="26">
        <f t="shared" si="21"/>
        <v>-1.0402664936544117</v>
      </c>
      <c r="AG23" s="26">
        <f t="shared" si="22"/>
        <v>0.26109857705844802</v>
      </c>
      <c r="AH23" s="26">
        <f t="shared" si="23"/>
        <v>0.23617950329563397</v>
      </c>
      <c r="AI23" s="26">
        <f t="shared" si="24"/>
        <v>0.5587719342188</v>
      </c>
      <c r="AJ23" s="26">
        <f t="shared" si="25"/>
        <v>-6.5791419435947476E-2</v>
      </c>
      <c r="AK23" s="26">
        <f t="shared" si="26"/>
        <v>0.48355807546729224</v>
      </c>
      <c r="AL23" s="26">
        <f t="shared" si="27"/>
        <v>0.11691420617481575</v>
      </c>
      <c r="AM23" s="27">
        <f t="shared" si="28"/>
        <v>0.49938167220110818</v>
      </c>
      <c r="AO23">
        <v>111</v>
      </c>
      <c r="AP23" s="28">
        <f>AM122</f>
        <v>0.49157597039526663</v>
      </c>
    </row>
    <row r="24" spans="1:42" ht="15" customHeight="1" x14ac:dyDescent="0.2">
      <c r="A24" s="24">
        <v>13</v>
      </c>
      <c r="B24" s="29">
        <f t="shared" si="29"/>
        <v>0.35049536023290784</v>
      </c>
      <c r="C24" s="29">
        <f t="shared" si="30"/>
        <v>-0.94640374031806929</v>
      </c>
      <c r="D24" s="29">
        <f t="shared" si="31"/>
        <v>-0.44494544843042316</v>
      </c>
      <c r="E24" s="29">
        <f t="shared" si="32"/>
        <v>-0.56026793884982162</v>
      </c>
      <c r="F24" s="29">
        <f t="shared" si="33"/>
        <v>0.45853602755643713</v>
      </c>
      <c r="G24" s="29">
        <f t="shared" si="34"/>
        <v>0.34227418994120173</v>
      </c>
      <c r="H24" s="29">
        <f t="shared" si="35"/>
        <v>0.85482981782720435</v>
      </c>
      <c r="I24" s="29">
        <f t="shared" si="36"/>
        <v>-0.66855710621637909</v>
      </c>
      <c r="J24" s="29">
        <f t="shared" si="37"/>
        <v>8.6319781951461644E-2</v>
      </c>
      <c r="K24" s="26">
        <f t="shared" si="0"/>
        <v>-0.44494544843042316</v>
      </c>
      <c r="L24" s="26">
        <f t="shared" si="1"/>
        <v>0.39056320085442164</v>
      </c>
      <c r="M24" s="26">
        <f t="shared" si="2"/>
        <v>0.34227418994120173</v>
      </c>
      <c r="N24" s="26">
        <f t="shared" si="3"/>
        <v>0.58474284487349359</v>
      </c>
      <c r="O24" s="26">
        <f t="shared" si="4"/>
        <v>2.9250867538500785E-2</v>
      </c>
      <c r="P24" s="26">
        <f t="shared" si="5"/>
        <v>0.50731219552444395</v>
      </c>
      <c r="Q24" s="26">
        <f t="shared" si="6"/>
        <v>0.12868283186391583</v>
      </c>
      <c r="R24" s="26">
        <f t="shared" si="7"/>
        <v>-1.3913491887484923</v>
      </c>
      <c r="S24" s="26">
        <f t="shared" si="8"/>
        <v>0.19919245390080959</v>
      </c>
      <c r="T24" s="26">
        <f t="shared" si="9"/>
        <v>0.80081021749763881</v>
      </c>
      <c r="U24" s="26">
        <f t="shared" si="10"/>
        <v>0.6901477678247675</v>
      </c>
      <c r="V24" s="26">
        <f t="shared" si="11"/>
        <v>-0.20480776348657551</v>
      </c>
      <c r="W24" s="26">
        <f t="shared" si="12"/>
        <v>0.44897628888217744</v>
      </c>
      <c r="X24" s="26">
        <f t="shared" si="13"/>
        <v>0.15181356510702879</v>
      </c>
      <c r="Y24" s="26">
        <f t="shared" si="14"/>
        <v>-9.4450088197515325E-2</v>
      </c>
      <c r="Z24" s="26">
        <f t="shared" si="15"/>
        <v>0.47640501589210066</v>
      </c>
      <c r="AA24" s="26">
        <f t="shared" si="16"/>
        <v>-0.21799374890861989</v>
      </c>
      <c r="AB24" s="26">
        <f t="shared" si="17"/>
        <v>0.44571636167867834</v>
      </c>
      <c r="AC24" s="26">
        <f t="shared" si="18"/>
        <v>0.19557815394128228</v>
      </c>
      <c r="AD24" s="26">
        <f t="shared" si="19"/>
        <v>0.54873927768417563</v>
      </c>
      <c r="AE24" s="26">
        <f t="shared" si="20"/>
        <v>0.10181811975249977</v>
      </c>
      <c r="AF24" s="26">
        <f t="shared" si="21"/>
        <v>-1.0408538285155846</v>
      </c>
      <c r="AG24" s="26">
        <f t="shared" si="22"/>
        <v>0.26098528072879273</v>
      </c>
      <c r="AH24" s="26">
        <f t="shared" si="23"/>
        <v>0.24054227864781724</v>
      </c>
      <c r="AI24" s="26">
        <f t="shared" si="24"/>
        <v>0.55984728098491487</v>
      </c>
      <c r="AJ24" s="26">
        <f t="shared" si="25"/>
        <v>-6.4872096165945442E-2</v>
      </c>
      <c r="AK24" s="26">
        <f t="shared" si="26"/>
        <v>0.48378766121192684</v>
      </c>
      <c r="AL24" s="26">
        <f t="shared" si="27"/>
        <v>0.11702525057045306</v>
      </c>
      <c r="AM24" s="27">
        <f t="shared" si="28"/>
        <v>0.49933976729389745</v>
      </c>
      <c r="AO24">
        <v>121</v>
      </c>
      <c r="AP24" s="28">
        <f>AM132</f>
        <v>0.48965517433088912</v>
      </c>
    </row>
    <row r="25" spans="1:42" ht="15" customHeight="1" x14ac:dyDescent="0.2">
      <c r="A25" s="24">
        <v>14</v>
      </c>
      <c r="B25" s="29">
        <f t="shared" si="29"/>
        <v>0.35440265650904679</v>
      </c>
      <c r="C25" s="29">
        <f t="shared" si="30"/>
        <v>-0.94773510611267309</v>
      </c>
      <c r="D25" s="29">
        <f t="shared" si="31"/>
        <v>-0.44824977855568054</v>
      </c>
      <c r="E25" s="29">
        <f t="shared" si="32"/>
        <v>-0.55882006222054303</v>
      </c>
      <c r="F25" s="29">
        <f t="shared" si="33"/>
        <v>0.45895100991717214</v>
      </c>
      <c r="G25" s="29">
        <f t="shared" si="34"/>
        <v>0.34481725884507719</v>
      </c>
      <c r="H25" s="29">
        <f t="shared" si="35"/>
        <v>0.85416307807693204</v>
      </c>
      <c r="I25" s="29">
        <f t="shared" si="36"/>
        <v>-0.66645597989765715</v>
      </c>
      <c r="J25" s="29">
        <f t="shared" si="37"/>
        <v>8.6763686657282749E-2</v>
      </c>
      <c r="K25" s="26">
        <f t="shared" si="0"/>
        <v>-0.44824977855568054</v>
      </c>
      <c r="L25" s="26">
        <f t="shared" si="1"/>
        <v>0.38977697737122136</v>
      </c>
      <c r="M25" s="26">
        <f t="shared" si="2"/>
        <v>0.34481725884507719</v>
      </c>
      <c r="N25" s="26">
        <f t="shared" si="3"/>
        <v>0.58536021605174027</v>
      </c>
      <c r="O25" s="26">
        <f t="shared" si="4"/>
        <v>2.9579973030341003E-2</v>
      </c>
      <c r="P25" s="26">
        <f t="shared" si="5"/>
        <v>0.50739445410202832</v>
      </c>
      <c r="Q25" s="26">
        <f t="shared" si="6"/>
        <v>0.12872456602674767</v>
      </c>
      <c r="R25" s="26">
        <f t="shared" si="7"/>
        <v>-1.3959848846683536</v>
      </c>
      <c r="S25" s="26">
        <f t="shared" si="8"/>
        <v>0.19845402272904875</v>
      </c>
      <c r="T25" s="26">
        <f t="shared" si="9"/>
        <v>0.80376826876224938</v>
      </c>
      <c r="U25" s="26">
        <f t="shared" si="10"/>
        <v>0.6907799727705457</v>
      </c>
      <c r="V25" s="26">
        <f t="shared" si="11"/>
        <v>-0.20409865807819449</v>
      </c>
      <c r="W25" s="26">
        <f t="shared" si="12"/>
        <v>0.44915172547586468</v>
      </c>
      <c r="X25" s="26">
        <f t="shared" si="13"/>
        <v>0.15171691077310856</v>
      </c>
      <c r="Y25" s="26">
        <f t="shared" si="14"/>
        <v>-9.3847122046633757E-2</v>
      </c>
      <c r="Z25" s="26">
        <f t="shared" si="15"/>
        <v>0.4765554238798248</v>
      </c>
      <c r="AA25" s="26">
        <f t="shared" si="16"/>
        <v>-0.21400280337546584</v>
      </c>
      <c r="AB25" s="26">
        <f t="shared" si="17"/>
        <v>0.44670255023124633</v>
      </c>
      <c r="AC25" s="26">
        <f t="shared" si="18"/>
        <v>0.19611214855558329</v>
      </c>
      <c r="AD25" s="26">
        <f t="shared" si="19"/>
        <v>0.54887150437982402</v>
      </c>
      <c r="AE25" s="26">
        <f t="shared" si="20"/>
        <v>0.10175845978026157</v>
      </c>
      <c r="AF25" s="26">
        <f t="shared" si="21"/>
        <v>-1.0415822281593068</v>
      </c>
      <c r="AG25" s="26">
        <f t="shared" si="22"/>
        <v>0.26084481731959397</v>
      </c>
      <c r="AH25" s="26">
        <f t="shared" si="23"/>
        <v>0.24494820654170629</v>
      </c>
      <c r="AI25" s="26">
        <f t="shared" si="24"/>
        <v>0.5609326942988041</v>
      </c>
      <c r="AJ25" s="26">
        <f t="shared" si="25"/>
        <v>-6.4269249716140273E-2</v>
      </c>
      <c r="AK25" s="26">
        <f t="shared" si="26"/>
        <v>0.48393821583915375</v>
      </c>
      <c r="AL25" s="26">
        <f t="shared" si="27"/>
        <v>0.11709809837479168</v>
      </c>
      <c r="AM25" s="27">
        <f t="shared" si="28"/>
        <v>0.49929803495490943</v>
      </c>
      <c r="AO25">
        <v>131</v>
      </c>
      <c r="AP25" s="28">
        <f>AM142</f>
        <v>0.48726602082648701</v>
      </c>
    </row>
    <row r="26" spans="1:42" ht="15" customHeight="1" x14ac:dyDescent="0.2">
      <c r="A26" s="24">
        <v>15</v>
      </c>
      <c r="B26" s="29">
        <f t="shared" si="29"/>
        <v>0.35829971551427164</v>
      </c>
      <c r="C26" s="29">
        <f t="shared" si="30"/>
        <v>-0.94912143331598187</v>
      </c>
      <c r="D26" s="29">
        <f t="shared" si="31"/>
        <v>-0.45160042036491171</v>
      </c>
      <c r="E26" s="29">
        <f t="shared" si="32"/>
        <v>-0.55738228311114246</v>
      </c>
      <c r="F26" s="29">
        <f t="shared" si="33"/>
        <v>0.45938734613183735</v>
      </c>
      <c r="G26" s="29">
        <f t="shared" si="34"/>
        <v>0.34736779669101769</v>
      </c>
      <c r="H26" s="29">
        <f t="shared" si="35"/>
        <v>0.85348591242189065</v>
      </c>
      <c r="I26" s="29">
        <f t="shared" si="36"/>
        <v>-0.66444238676806133</v>
      </c>
      <c r="J26" s="29">
        <f t="shared" si="37"/>
        <v>8.70755716039881E-2</v>
      </c>
      <c r="K26" s="26">
        <f t="shared" si="0"/>
        <v>-0.45160042036491171</v>
      </c>
      <c r="L26" s="26">
        <f t="shared" si="1"/>
        <v>0.38898031921604898</v>
      </c>
      <c r="M26" s="26">
        <f t="shared" si="2"/>
        <v>0.34736779669101769</v>
      </c>
      <c r="N26" s="26">
        <f t="shared" si="3"/>
        <v>0.58597913127743617</v>
      </c>
      <c r="O26" s="26">
        <f t="shared" si="4"/>
        <v>2.9715421682001142E-2</v>
      </c>
      <c r="P26" s="26">
        <f t="shared" si="5"/>
        <v>0.50742830882492895</v>
      </c>
      <c r="Q26" s="26">
        <f t="shared" si="6"/>
        <v>0.12874174429846375</v>
      </c>
      <c r="R26" s="26">
        <f t="shared" si="7"/>
        <v>-1.4007218536808936</v>
      </c>
      <c r="S26" s="26">
        <f t="shared" si="8"/>
        <v>0.19770158915007138</v>
      </c>
      <c r="T26" s="26">
        <f t="shared" si="9"/>
        <v>0.80675514282285499</v>
      </c>
      <c r="U26" s="26">
        <f t="shared" si="10"/>
        <v>0.69141761421151071</v>
      </c>
      <c r="V26" s="26">
        <f t="shared" si="11"/>
        <v>-0.20359607703318033</v>
      </c>
      <c r="W26" s="26">
        <f t="shared" si="12"/>
        <v>0.44927607446536205</v>
      </c>
      <c r="X26" s="26">
        <f t="shared" si="13"/>
        <v>0.15164842107814069</v>
      </c>
      <c r="Y26" s="26">
        <f t="shared" si="14"/>
        <v>-9.330070485064007E-2</v>
      </c>
      <c r="Z26" s="26">
        <f t="shared" si="15"/>
        <v>0.47669172958437811</v>
      </c>
      <c r="AA26" s="26">
        <f t="shared" si="16"/>
        <v>-0.21001448642012477</v>
      </c>
      <c r="AB26" s="26">
        <f t="shared" si="17"/>
        <v>0.44768850845990399</v>
      </c>
      <c r="AC26" s="26">
        <f t="shared" si="18"/>
        <v>0.19646202628254822</v>
      </c>
      <c r="AD26" s="26">
        <f t="shared" si="19"/>
        <v>0.54895813667301219</v>
      </c>
      <c r="AE26" s="26">
        <f t="shared" si="20"/>
        <v>0.10171938123674058</v>
      </c>
      <c r="AF26" s="26">
        <f t="shared" si="21"/>
        <v>-1.0424221381666219</v>
      </c>
      <c r="AG26" s="26">
        <f t="shared" si="22"/>
        <v>0.26068291117121073</v>
      </c>
      <c r="AH26" s="26">
        <f t="shared" si="23"/>
        <v>0.24937285971171258</v>
      </c>
      <c r="AI26" s="26">
        <f t="shared" si="24"/>
        <v>0.56202213427197478</v>
      </c>
      <c r="AJ26" s="26">
        <f t="shared" si="25"/>
        <v>-6.386656441440719E-2</v>
      </c>
      <c r="AK26" s="26">
        <f t="shared" si="26"/>
        <v>0.48403878392856614</v>
      </c>
      <c r="AL26" s="26">
        <f t="shared" si="27"/>
        <v>0.11714677217352257</v>
      </c>
      <c r="AM26" s="27">
        <f t="shared" si="28"/>
        <v>0.4992563187868676</v>
      </c>
      <c r="AO26">
        <v>141</v>
      </c>
      <c r="AP26" s="28">
        <f>AM152</f>
        <v>0.48430140911341601</v>
      </c>
    </row>
    <row r="27" spans="1:42" ht="15" customHeight="1" x14ac:dyDescent="0.2">
      <c r="A27" s="24">
        <v>16</v>
      </c>
      <c r="B27" s="29">
        <f t="shared" si="29"/>
        <v>0.36219251474684178</v>
      </c>
      <c r="C27" s="29">
        <f t="shared" si="30"/>
        <v>-0.95055913176917728</v>
      </c>
      <c r="D27" s="29">
        <f t="shared" si="31"/>
        <v>-0.45498823664019206</v>
      </c>
      <c r="E27" s="29">
        <f t="shared" si="32"/>
        <v>-0.55595881820566428</v>
      </c>
      <c r="F27" s="29">
        <f t="shared" si="33"/>
        <v>0.45984141412949203</v>
      </c>
      <c r="G27" s="29">
        <f t="shared" si="34"/>
        <v>0.34991848964830063</v>
      </c>
      <c r="H27" s="29">
        <f t="shared" si="35"/>
        <v>0.85281512481256405</v>
      </c>
      <c r="I27" s="29">
        <f t="shared" si="36"/>
        <v>-0.66248949403920487</v>
      </c>
      <c r="J27" s="29">
        <f t="shared" si="37"/>
        <v>8.7303490733374955E-2</v>
      </c>
      <c r="K27" s="26">
        <f t="shared" si="0"/>
        <v>-0.45498823664019206</v>
      </c>
      <c r="L27" s="26">
        <f t="shared" si="1"/>
        <v>0.38817542473683531</v>
      </c>
      <c r="M27" s="26">
        <f t="shared" si="2"/>
        <v>0.34991848964830063</v>
      </c>
      <c r="N27" s="26">
        <f t="shared" si="3"/>
        <v>0.5865978127298328</v>
      </c>
      <c r="O27" s="26">
        <f t="shared" si="4"/>
        <v>2.9730475869598039E-2</v>
      </c>
      <c r="P27" s="26">
        <f t="shared" si="5"/>
        <v>0.50743207154072067</v>
      </c>
      <c r="Q27" s="26">
        <f t="shared" si="6"/>
        <v>0.12874365361405354</v>
      </c>
      <c r="R27" s="26">
        <f t="shared" si="7"/>
        <v>-1.4055473684093693</v>
      </c>
      <c r="S27" s="26">
        <f t="shared" si="8"/>
        <v>0.19693730327606959</v>
      </c>
      <c r="T27" s="26">
        <f t="shared" si="9"/>
        <v>0.80975990377779272</v>
      </c>
      <c r="U27" s="26">
        <f t="shared" si="10"/>
        <v>0.6920583388924666</v>
      </c>
      <c r="V27" s="26">
        <f t="shared" si="11"/>
        <v>-0.20322677717147675</v>
      </c>
      <c r="W27" s="26">
        <f t="shared" si="12"/>
        <v>0.44936745096369241</v>
      </c>
      <c r="X27" s="26">
        <f t="shared" si="13"/>
        <v>0.15159810202911081</v>
      </c>
      <c r="Y27" s="26">
        <f t="shared" si="14"/>
        <v>-9.279572189335028E-2</v>
      </c>
      <c r="Z27" s="26">
        <f t="shared" si="15"/>
        <v>0.47681770245890615</v>
      </c>
      <c r="AA27" s="26">
        <f t="shared" si="16"/>
        <v>-0.20604032855736365</v>
      </c>
      <c r="AB27" s="26">
        <f t="shared" si="17"/>
        <v>0.44867137571252819</v>
      </c>
      <c r="AC27" s="26">
        <f t="shared" si="18"/>
        <v>0.19670076648304025</v>
      </c>
      <c r="AD27" s="26">
        <f t="shared" si="19"/>
        <v>0.54901724879575287</v>
      </c>
      <c r="AE27" s="26">
        <f t="shared" si="20"/>
        <v>0.10169272094187594</v>
      </c>
      <c r="AF27" s="26">
        <f t="shared" si="21"/>
        <v>-1.0433548536625277</v>
      </c>
      <c r="AG27" s="26">
        <f t="shared" si="22"/>
        <v>0.26050319153221219</v>
      </c>
      <c r="AH27" s="26">
        <f t="shared" si="23"/>
        <v>0.25380108557212838</v>
      </c>
      <c r="AI27" s="26">
        <f t="shared" si="24"/>
        <v>0.56311185541030984</v>
      </c>
      <c r="AJ27" s="26">
        <f t="shared" si="25"/>
        <v>-6.3591135644264302E-2</v>
      </c>
      <c r="AK27" s="26">
        <f t="shared" si="26"/>
        <v>0.48410757125471959</v>
      </c>
      <c r="AL27" s="26">
        <f t="shared" si="27"/>
        <v>0.1171800702730717</v>
      </c>
      <c r="AM27" s="27">
        <f t="shared" si="28"/>
        <v>0.49921454685811195</v>
      </c>
      <c r="AO27">
        <v>151</v>
      </c>
      <c r="AP27" s="28">
        <f>AM162</f>
        <v>0.48064889385479559</v>
      </c>
    </row>
    <row r="28" spans="1:42" ht="15" customHeight="1" x14ac:dyDescent="0.2">
      <c r="A28" s="24">
        <v>17</v>
      </c>
      <c r="B28" s="29">
        <f t="shared" si="29"/>
        <v>0.36608501762355605</v>
      </c>
      <c r="C28" s="29">
        <f t="shared" si="30"/>
        <v>-0.95204595284821991</v>
      </c>
      <c r="D28" s="29">
        <f t="shared" si="31"/>
        <v>-0.45840753874388507</v>
      </c>
      <c r="E28" s="29">
        <f t="shared" si="32"/>
        <v>-0.55455219485463092</v>
      </c>
      <c r="F28" s="29">
        <f t="shared" si="33"/>
        <v>0.46031085224759488</v>
      </c>
      <c r="G28" s="29">
        <f t="shared" si="34"/>
        <v>0.3524648558321854</v>
      </c>
      <c r="H28" s="29">
        <f t="shared" si="35"/>
        <v>0.85216129265800633</v>
      </c>
      <c r="I28" s="29">
        <f t="shared" si="36"/>
        <v>-0.66058038929955987</v>
      </c>
      <c r="J28" s="29">
        <f t="shared" si="37"/>
        <v>8.7477500207669534E-2</v>
      </c>
      <c r="K28" s="26">
        <f t="shared" si="0"/>
        <v>-0.45840753874388507</v>
      </c>
      <c r="L28" s="26">
        <f t="shared" si="1"/>
        <v>0.38736366785565285</v>
      </c>
      <c r="M28" s="26">
        <f t="shared" si="2"/>
        <v>0.3524648558321854</v>
      </c>
      <c r="N28" s="26">
        <f t="shared" si="3"/>
        <v>0.58721517214712216</v>
      </c>
      <c r="O28" s="26">
        <f t="shared" si="4"/>
        <v>2.9670997116735265E-2</v>
      </c>
      <c r="P28" s="26">
        <f t="shared" si="5"/>
        <v>0.50741720513128752</v>
      </c>
      <c r="Q28" s="26">
        <f t="shared" si="6"/>
        <v>0.12873611003162355</v>
      </c>
      <c r="R28" s="26">
        <f t="shared" si="7"/>
        <v>-1.410453491592105</v>
      </c>
      <c r="S28" s="26">
        <f t="shared" si="8"/>
        <v>0.19616253869003972</v>
      </c>
      <c r="T28" s="26">
        <f t="shared" si="9"/>
        <v>0.81277570807978028</v>
      </c>
      <c r="U28" s="26">
        <f t="shared" si="10"/>
        <v>0.69270067525273782</v>
      </c>
      <c r="V28" s="26">
        <f t="shared" si="11"/>
        <v>-0.20294485897767156</v>
      </c>
      <c r="W28" s="26">
        <f t="shared" si="12"/>
        <v>0.44943720876642779</v>
      </c>
      <c r="X28" s="26">
        <f t="shared" si="13"/>
        <v>0.15155969354545101</v>
      </c>
      <c r="Y28" s="26">
        <f t="shared" si="14"/>
        <v>-9.2322521120329015E-2</v>
      </c>
      <c r="Z28" s="26">
        <f t="shared" si="15"/>
        <v>0.47693574963787416</v>
      </c>
      <c r="AA28" s="26">
        <f t="shared" si="16"/>
        <v>-0.20208733902244552</v>
      </c>
      <c r="AB28" s="26">
        <f t="shared" si="17"/>
        <v>0.44964940561082473</v>
      </c>
      <c r="AC28" s="26">
        <f t="shared" si="18"/>
        <v>0.19687410572718134</v>
      </c>
      <c r="AD28" s="26">
        <f t="shared" si="19"/>
        <v>0.5490601667614371</v>
      </c>
      <c r="AE28" s="26">
        <f t="shared" si="20"/>
        <v>0.10167336660061146</v>
      </c>
      <c r="AF28" s="26">
        <f t="shared" si="21"/>
        <v>-1.0443684739685488</v>
      </c>
      <c r="AG28" s="26">
        <f t="shared" si="22"/>
        <v>0.26030797382784532</v>
      </c>
      <c r="AH28" s="26">
        <f t="shared" si="23"/>
        <v>0.25822351322514936</v>
      </c>
      <c r="AI28" s="26">
        <f t="shared" si="24"/>
        <v>0.56419954196981226</v>
      </c>
      <c r="AJ28" s="26">
        <f t="shared" si="25"/>
        <v>-6.3397273403059257E-2</v>
      </c>
      <c r="AK28" s="26">
        <f t="shared" si="26"/>
        <v>0.48415598800038945</v>
      </c>
      <c r="AL28" s="26">
        <f t="shared" si="27"/>
        <v>0.11720351035831662</v>
      </c>
      <c r="AM28" s="27">
        <f t="shared" si="28"/>
        <v>0.49917268053600267</v>
      </c>
      <c r="AO28">
        <v>161</v>
      </c>
      <c r="AP28" s="28">
        <f>AM172</f>
        <v>0.47620444978770682</v>
      </c>
    </row>
    <row r="29" spans="1:42" ht="15" customHeight="1" x14ac:dyDescent="0.2">
      <c r="A29" s="24">
        <v>18</v>
      </c>
      <c r="B29" s="29">
        <f t="shared" si="29"/>
        <v>0.36997992508531813</v>
      </c>
      <c r="C29" s="29">
        <f t="shared" si="30"/>
        <v>-0.95358049181874061</v>
      </c>
      <c r="D29" s="29">
        <f t="shared" si="31"/>
        <v>-0.4618547985073963</v>
      </c>
      <c r="E29" s="29">
        <f t="shared" si="32"/>
        <v>-0.55316388763531887</v>
      </c>
      <c r="F29" s="29">
        <f t="shared" si="33"/>
        <v>0.46079408687837825</v>
      </c>
      <c r="G29" s="29">
        <f t="shared" si="34"/>
        <v>0.35500417833092079</v>
      </c>
      <c r="H29" s="29">
        <f t="shared" si="35"/>
        <v>0.85153109857169484</v>
      </c>
      <c r="I29" s="29">
        <f t="shared" si="36"/>
        <v>-0.65870438731800129</v>
      </c>
      <c r="J29" s="29">
        <f t="shared" si="37"/>
        <v>8.7616378939501416E-2</v>
      </c>
      <c r="K29" s="26">
        <f t="shared" si="0"/>
        <v>-0.4618547985073963</v>
      </c>
      <c r="L29" s="26">
        <f t="shared" si="1"/>
        <v>0.38654590643970732</v>
      </c>
      <c r="M29" s="26">
        <f t="shared" si="2"/>
        <v>0.35500417833092079</v>
      </c>
      <c r="N29" s="26">
        <f t="shared" si="3"/>
        <v>0.5878305508331092</v>
      </c>
      <c r="O29" s="26">
        <f t="shared" si="4"/>
        <v>2.9565676465170554E-2</v>
      </c>
      <c r="P29" s="26">
        <f t="shared" si="5"/>
        <v>0.50739088074206495</v>
      </c>
      <c r="Q29" s="26">
        <f t="shared" si="6"/>
        <v>0.12872275293010418</v>
      </c>
      <c r="R29" s="26">
        <f t="shared" si="7"/>
        <v>-1.4154352903261369</v>
      </c>
      <c r="S29" s="26">
        <f t="shared" si="8"/>
        <v>0.19537818359788059</v>
      </c>
      <c r="T29" s="26">
        <f t="shared" si="9"/>
        <v>0.81579826520929899</v>
      </c>
      <c r="U29" s="26">
        <f t="shared" si="10"/>
        <v>0.69334370123882372</v>
      </c>
      <c r="V29" s="26">
        <f t="shared" si="11"/>
        <v>-0.20272155966976774</v>
      </c>
      <c r="W29" s="26">
        <f t="shared" si="12"/>
        <v>0.44949246333094778</v>
      </c>
      <c r="X29" s="26">
        <f t="shared" si="13"/>
        <v>0.15152927396471391</v>
      </c>
      <c r="Y29" s="26">
        <f t="shared" si="14"/>
        <v>-9.1874873422078174E-2</v>
      </c>
      <c r="Z29" s="26">
        <f t="shared" si="15"/>
        <v>0.47704742458306715</v>
      </c>
      <c r="AA29" s="26">
        <f t="shared" si="16"/>
        <v>-0.19815970930439808</v>
      </c>
      <c r="AB29" s="26">
        <f t="shared" si="17"/>
        <v>0.45062154678223859</v>
      </c>
      <c r="AC29" s="26">
        <f t="shared" si="18"/>
        <v>0.19701070658003378</v>
      </c>
      <c r="AD29" s="26">
        <f t="shared" si="19"/>
        <v>0.54909398796335185</v>
      </c>
      <c r="AE29" s="26">
        <f t="shared" si="20"/>
        <v>0.10165811584539694</v>
      </c>
      <c r="AF29" s="26">
        <f t="shared" si="21"/>
        <v>-1.0454553652408189</v>
      </c>
      <c r="AG29" s="26">
        <f t="shared" si="22"/>
        <v>0.26009874990523824</v>
      </c>
      <c r="AH29" s="26">
        <f t="shared" si="23"/>
        <v>0.26263437757398017</v>
      </c>
      <c r="AI29" s="26">
        <f t="shared" si="24"/>
        <v>0.56528376953697135</v>
      </c>
      <c r="AJ29" s="26">
        <f t="shared" si="25"/>
        <v>-6.325634589022755E-2</v>
      </c>
      <c r="AK29" s="26">
        <f t="shared" si="26"/>
        <v>0.48419118457971172</v>
      </c>
      <c r="AL29" s="26">
        <f t="shared" si="27"/>
        <v>0.11722055161235223</v>
      </c>
      <c r="AM29" s="27">
        <f t="shared" si="28"/>
        <v>0.49913069435256729</v>
      </c>
      <c r="AO29">
        <v>171</v>
      </c>
      <c r="AP29" s="28">
        <f>AM182</f>
        <v>0.47089348676850873</v>
      </c>
    </row>
    <row r="30" spans="1:42" ht="15" customHeight="1" x14ac:dyDescent="0.2">
      <c r="A30" s="24">
        <v>19</v>
      </c>
      <c r="B30" s="29">
        <f t="shared" si="29"/>
        <v>0.3738791466957947</v>
      </c>
      <c r="C30" s="29">
        <f t="shared" si="30"/>
        <v>-0.9551618758296796</v>
      </c>
      <c r="D30" s="29">
        <f t="shared" si="31"/>
        <v>-0.46532784120308934</v>
      </c>
      <c r="E30" s="29">
        <f t="shared" si="32"/>
        <v>-0.55179471529770485</v>
      </c>
      <c r="F30" s="29">
        <f t="shared" si="33"/>
        <v>0.46129003786822387</v>
      </c>
      <c r="G30" s="29">
        <f t="shared" si="34"/>
        <v>0.35753484000996272</v>
      </c>
      <c r="H30" s="29">
        <f t="shared" si="35"/>
        <v>0.85092879113331177</v>
      </c>
      <c r="I30" s="29">
        <f t="shared" si="36"/>
        <v>-0.65685471156426567</v>
      </c>
      <c r="J30" s="29">
        <f t="shared" si="37"/>
        <v>8.7731841019707754E-2</v>
      </c>
      <c r="K30" s="26">
        <f t="shared" si="0"/>
        <v>-0.46532784120308934</v>
      </c>
      <c r="L30" s="26">
        <f t="shared" si="1"/>
        <v>0.38572267539158483</v>
      </c>
      <c r="M30" s="26">
        <f t="shared" si="2"/>
        <v>0.35753484000996272</v>
      </c>
      <c r="N30" s="26">
        <f t="shared" si="3"/>
        <v>0.58844355762841039</v>
      </c>
      <c r="O30" s="26">
        <f t="shared" si="4"/>
        <v>2.9432447585516039E-2</v>
      </c>
      <c r="P30" s="26">
        <f t="shared" si="5"/>
        <v>0.50735758076705406</v>
      </c>
      <c r="Q30" s="26">
        <f t="shared" si="6"/>
        <v>0.1287058573808989</v>
      </c>
      <c r="R30" s="26">
        <f t="shared" si="7"/>
        <v>-1.4204897170327691</v>
      </c>
      <c r="S30" s="26">
        <f t="shared" si="8"/>
        <v>0.19458482289021206</v>
      </c>
      <c r="T30" s="26">
        <f t="shared" si="9"/>
        <v>0.81882487787818659</v>
      </c>
      <c r="U30" s="26">
        <f t="shared" si="10"/>
        <v>0.69398683737740519</v>
      </c>
      <c r="V30" s="26">
        <f t="shared" si="11"/>
        <v>-0.20253885476036693</v>
      </c>
      <c r="W30" s="26">
        <f t="shared" si="12"/>
        <v>0.4495376738930929</v>
      </c>
      <c r="X30" s="26">
        <f t="shared" si="13"/>
        <v>0.15150438623151344</v>
      </c>
      <c r="Y30" s="26">
        <f t="shared" si="14"/>
        <v>-9.1448694507294648E-2</v>
      </c>
      <c r="Z30" s="26">
        <f t="shared" si="15"/>
        <v>0.47715374583029607</v>
      </c>
      <c r="AA30" s="26">
        <f t="shared" si="16"/>
        <v>-0.19425987528774213</v>
      </c>
      <c r="AB30" s="26">
        <f t="shared" si="17"/>
        <v>0.45158718131395653</v>
      </c>
      <c r="AC30" s="26">
        <f t="shared" si="18"/>
        <v>0.19712853341571446</v>
      </c>
      <c r="AD30" s="26">
        <f t="shared" si="19"/>
        <v>0.54912316051493182</v>
      </c>
      <c r="AE30" s="26">
        <f t="shared" si="20"/>
        <v>0.10164496219202197</v>
      </c>
      <c r="AF30" s="26">
        <f t="shared" si="21"/>
        <v>-1.0466105703369744</v>
      </c>
      <c r="AG30" s="26">
        <f t="shared" si="22"/>
        <v>0.25987649531860796</v>
      </c>
      <c r="AH30" s="26">
        <f t="shared" si="23"/>
        <v>0.26703016258048173</v>
      </c>
      <c r="AI30" s="26">
        <f t="shared" si="24"/>
        <v>0.56636366944082395</v>
      </c>
      <c r="AJ30" s="26">
        <f t="shared" si="25"/>
        <v>-6.3150411705898954E-2</v>
      </c>
      <c r="AK30" s="26">
        <f t="shared" si="26"/>
        <v>0.48421764169514891</v>
      </c>
      <c r="AL30" s="26">
        <f t="shared" si="27"/>
        <v>0.11723336226440581</v>
      </c>
      <c r="AM30" s="27">
        <f t="shared" si="28"/>
        <v>0.49908856806884005</v>
      </c>
      <c r="AO30">
        <v>181</v>
      </c>
      <c r="AP30" s="28">
        <f>AM192</f>
        <v>0.46469670178939282</v>
      </c>
    </row>
    <row r="31" spans="1:42" ht="15" customHeight="1" x14ac:dyDescent="0.2">
      <c r="A31" s="24">
        <v>20</v>
      </c>
      <c r="B31" s="29">
        <f t="shared" si="29"/>
        <v>0.37778409577804656</v>
      </c>
      <c r="C31" s="29">
        <f t="shared" si="30"/>
        <v>-0.95678956844047292</v>
      </c>
      <c r="D31" s="29">
        <f t="shared" si="31"/>
        <v>-0.46882534020961503</v>
      </c>
      <c r="E31" s="29">
        <f t="shared" si="32"/>
        <v>-0.55044508844084161</v>
      </c>
      <c r="F31" s="29">
        <f t="shared" si="33"/>
        <v>0.46179793469457026</v>
      </c>
      <c r="G31" s="29">
        <f t="shared" si="34"/>
        <v>0.36005590858136288</v>
      </c>
      <c r="H31" s="29">
        <f t="shared" si="35"/>
        <v>0.85035709968727247</v>
      </c>
      <c r="I31" s="29">
        <f t="shared" si="36"/>
        <v>-0.65502703894034198</v>
      </c>
      <c r="J31" s="29">
        <f t="shared" si="37"/>
        <v>8.78311755199086E-2</v>
      </c>
      <c r="K31" s="26">
        <f t="shared" si="0"/>
        <v>-0.46882534020961503</v>
      </c>
      <c r="L31" s="26">
        <f t="shared" si="1"/>
        <v>0.38489430748343406</v>
      </c>
      <c r="M31" s="26">
        <f t="shared" si="2"/>
        <v>0.36005590858136288</v>
      </c>
      <c r="N31" s="26">
        <f t="shared" si="3"/>
        <v>0.58905396788227615</v>
      </c>
      <c r="O31" s="26">
        <f t="shared" si="4"/>
        <v>2.9282506159676203E-2</v>
      </c>
      <c r="P31" s="26">
        <f t="shared" si="5"/>
        <v>0.50732010348624745</v>
      </c>
      <c r="Q31" s="26">
        <f t="shared" si="6"/>
        <v>0.12868684370064842</v>
      </c>
      <c r="R31" s="26">
        <f t="shared" si="7"/>
        <v>-1.425614908650088</v>
      </c>
      <c r="S31" s="26">
        <f t="shared" si="8"/>
        <v>0.19378285190522698</v>
      </c>
      <c r="T31" s="26">
        <f t="shared" si="9"/>
        <v>0.82185384327593314</v>
      </c>
      <c r="U31" s="26">
        <f t="shared" si="10"/>
        <v>0.69462971781899763</v>
      </c>
      <c r="V31" s="26">
        <f t="shared" si="11"/>
        <v>-0.20238544778777767</v>
      </c>
      <c r="W31" s="26">
        <f t="shared" si="12"/>
        <v>0.44957563528740901</v>
      </c>
      <c r="X31" s="26">
        <f t="shared" si="13"/>
        <v>0.15148349063462971</v>
      </c>
      <c r="Y31" s="26">
        <f t="shared" si="14"/>
        <v>-9.1041244431568469E-2</v>
      </c>
      <c r="Z31" s="26">
        <f t="shared" si="15"/>
        <v>0.47725539662495003</v>
      </c>
      <c r="AA31" s="26">
        <f t="shared" si="16"/>
        <v>-0.19038917985947873</v>
      </c>
      <c r="AB31" s="26">
        <f t="shared" si="17"/>
        <v>0.45254596150113935</v>
      </c>
      <c r="AC31" s="26">
        <f t="shared" si="18"/>
        <v>0.19723884925749874</v>
      </c>
      <c r="AD31" s="26">
        <f t="shared" si="19"/>
        <v>0.54915047312584953</v>
      </c>
      <c r="AE31" s="26">
        <f t="shared" si="20"/>
        <v>0.10163264794132267</v>
      </c>
      <c r="AF31" s="26">
        <f t="shared" si="21"/>
        <v>-1.0478308128720413</v>
      </c>
      <c r="AG31" s="26">
        <f t="shared" si="22"/>
        <v>0.2596418617910225</v>
      </c>
      <c r="AH31" s="26">
        <f t="shared" si="23"/>
        <v>0.27140875483509153</v>
      </c>
      <c r="AI31" s="26">
        <f t="shared" si="24"/>
        <v>0.56743871948095093</v>
      </c>
      <c r="AJ31" s="26">
        <f t="shared" si="25"/>
        <v>-6.3068228131780452E-2</v>
      </c>
      <c r="AK31" s="26">
        <f t="shared" si="26"/>
        <v>0.48423816714477208</v>
      </c>
      <c r="AL31" s="26">
        <f t="shared" si="27"/>
        <v>0.11724330125986411</v>
      </c>
      <c r="AM31" s="27">
        <f t="shared" si="28"/>
        <v>0.49904628353646491</v>
      </c>
      <c r="AO31">
        <v>191</v>
      </c>
      <c r="AP31" s="28">
        <f>AM202</f>
        <v>0.45767375295083329</v>
      </c>
    </row>
    <row r="32" spans="1:42" ht="15" customHeight="1" x14ac:dyDescent="0.2">
      <c r="A32" s="24">
        <v>21</v>
      </c>
      <c r="B32" s="29">
        <f t="shared" si="29"/>
        <v>0.38169587426835855</v>
      </c>
      <c r="C32" s="29">
        <f t="shared" si="30"/>
        <v>-0.9584632472150465</v>
      </c>
      <c r="D32" s="29">
        <f t="shared" si="31"/>
        <v>-0.47234650071903961</v>
      </c>
      <c r="E32" s="29">
        <f t="shared" si="32"/>
        <v>-0.54911516408992522</v>
      </c>
      <c r="F32" s="29">
        <f t="shared" si="33"/>
        <v>0.46231720172809992</v>
      </c>
      <c r="G32" s="29">
        <f t="shared" si="34"/>
        <v>0.36256687772243767</v>
      </c>
      <c r="H32" s="29">
        <f t="shared" si="35"/>
        <v>0.84981780705361176</v>
      </c>
      <c r="I32" s="29">
        <f t="shared" si="36"/>
        <v>-0.65321858648160713</v>
      </c>
      <c r="J32" s="29">
        <f t="shared" si="37"/>
        <v>8.791890042936075E-2</v>
      </c>
      <c r="K32" s="26">
        <f t="shared" si="0"/>
        <v>-0.47234650071903961</v>
      </c>
      <c r="L32" s="26">
        <f t="shared" si="1"/>
        <v>0.38406100894157924</v>
      </c>
      <c r="M32" s="26">
        <f t="shared" si="2"/>
        <v>0.36256687772243767</v>
      </c>
      <c r="N32" s="26">
        <f t="shared" si="3"/>
        <v>0.58966166044608792</v>
      </c>
      <c r="O32" s="26">
        <f t="shared" si="4"/>
        <v>2.9122828483900257E-2</v>
      </c>
      <c r="P32" s="26">
        <f t="shared" si="5"/>
        <v>0.50728019257689316</v>
      </c>
      <c r="Q32" s="26">
        <f t="shared" si="6"/>
        <v>0.12866659689042489</v>
      </c>
      <c r="R32" s="26">
        <f t="shared" si="7"/>
        <v>-1.4308097479340862</v>
      </c>
      <c r="S32" s="26">
        <f t="shared" si="8"/>
        <v>0.19297254747975523</v>
      </c>
      <c r="T32" s="26">
        <f t="shared" si="9"/>
        <v>0.82488407945053766</v>
      </c>
      <c r="U32" s="26">
        <f t="shared" si="10"/>
        <v>0.6952721099554543</v>
      </c>
      <c r="V32" s="26">
        <f t="shared" si="11"/>
        <v>-0.20225425733503105</v>
      </c>
      <c r="W32" s="26">
        <f t="shared" si="12"/>
        <v>0.44960809954828929</v>
      </c>
      <c r="X32" s="26">
        <f t="shared" si="13"/>
        <v>0.15146562204142291</v>
      </c>
      <c r="Y32" s="26">
        <f t="shared" si="14"/>
        <v>-9.065062645068106E-2</v>
      </c>
      <c r="Z32" s="26">
        <f t="shared" si="15"/>
        <v>0.47735284991143645</v>
      </c>
      <c r="AA32" s="26">
        <f t="shared" si="16"/>
        <v>-0.18654828636748755</v>
      </c>
      <c r="AB32" s="26">
        <f t="shared" si="17"/>
        <v>0.45349770792161415</v>
      </c>
      <c r="AC32" s="26">
        <f t="shared" si="18"/>
        <v>0.197348720790684</v>
      </c>
      <c r="AD32" s="26">
        <f t="shared" si="19"/>
        <v>0.54917767543797469</v>
      </c>
      <c r="AE32" s="26">
        <f t="shared" si="20"/>
        <v>0.10162038416175405</v>
      </c>
      <c r="AF32" s="26">
        <f t="shared" si="21"/>
        <v>-1.0491138736657275</v>
      </c>
      <c r="AG32" s="26">
        <f t="shared" si="22"/>
        <v>0.25939529769790975</v>
      </c>
      <c r="AH32" s="26">
        <f t="shared" si="23"/>
        <v>0.27576891536061238</v>
      </c>
      <c r="AI32" s="26">
        <f t="shared" si="24"/>
        <v>0.56850861339512204</v>
      </c>
      <c r="AJ32" s="26">
        <f t="shared" si="25"/>
        <v>-6.3002749365562841E-2</v>
      </c>
      <c r="AK32" s="26">
        <f t="shared" si="26"/>
        <v>0.48425452058595653</v>
      </c>
      <c r="AL32" s="26">
        <f t="shared" si="27"/>
        <v>0.1172512203539673</v>
      </c>
      <c r="AM32" s="27">
        <f t="shared" si="28"/>
        <v>0.49900382344756916</v>
      </c>
      <c r="AO32">
        <v>201</v>
      </c>
      <c r="AP32" s="28">
        <f>AM212</f>
        <v>0.44997416195778539</v>
      </c>
    </row>
    <row r="33" spans="1:42" ht="15" customHeight="1" x14ac:dyDescent="0.2">
      <c r="A33" s="24">
        <v>22</v>
      </c>
      <c r="B33" s="29">
        <f t="shared" si="29"/>
        <v>0.38561538849391286</v>
      </c>
      <c r="C33" s="29">
        <f t="shared" si="30"/>
        <v>-0.96018272709211694</v>
      </c>
      <c r="D33" s="29">
        <f t="shared" si="31"/>
        <v>-0.47589086182948298</v>
      </c>
      <c r="E33" s="29">
        <f t="shared" si="32"/>
        <v>-0.54780494216828457</v>
      </c>
      <c r="F33" s="29">
        <f t="shared" si="33"/>
        <v>0.46284738659505326</v>
      </c>
      <c r="G33" s="29">
        <f t="shared" si="34"/>
        <v>0.3650675055523695</v>
      </c>
      <c r="H33" s="29">
        <f t="shared" si="35"/>
        <v>0.84931210796934942</v>
      </c>
      <c r="I33" s="29">
        <f t="shared" si="36"/>
        <v>-0.65142753828449285</v>
      </c>
      <c r="J33" s="29">
        <f t="shared" si="37"/>
        <v>8.7997798687429768E-2</v>
      </c>
      <c r="K33" s="26">
        <f t="shared" si="0"/>
        <v>-0.47589086182948298</v>
      </c>
      <c r="L33" s="26">
        <f t="shared" si="1"/>
        <v>0.38322290671155673</v>
      </c>
      <c r="M33" s="26">
        <f t="shared" si="2"/>
        <v>0.3650675055523695</v>
      </c>
      <c r="N33" s="26">
        <f t="shared" si="3"/>
        <v>0.5902665783787896</v>
      </c>
      <c r="O33" s="26">
        <f t="shared" si="4"/>
        <v>2.8957749323857834E-2</v>
      </c>
      <c r="P33" s="26">
        <f t="shared" si="5"/>
        <v>0.50723893148678256</v>
      </c>
      <c r="Q33" s="26">
        <f t="shared" si="6"/>
        <v>0.12864566680792644</v>
      </c>
      <c r="R33" s="26">
        <f t="shared" si="7"/>
        <v>-1.4360735889215999</v>
      </c>
      <c r="S33" s="26">
        <f t="shared" si="8"/>
        <v>0.19215411231117649</v>
      </c>
      <c r="T33" s="26">
        <f t="shared" si="9"/>
        <v>0.82791489214742275</v>
      </c>
      <c r="U33" s="26">
        <f t="shared" si="10"/>
        <v>0.69591386431110225</v>
      </c>
      <c r="V33" s="26">
        <f t="shared" si="11"/>
        <v>-0.20214084261681572</v>
      </c>
      <c r="W33" s="26">
        <f t="shared" si="12"/>
        <v>0.44963616538927198</v>
      </c>
      <c r="X33" s="26">
        <f t="shared" si="13"/>
        <v>0.1514501752237124</v>
      </c>
      <c r="Y33" s="26">
        <f t="shared" si="14"/>
        <v>-9.0275473335570122E-2</v>
      </c>
      <c r="Z33" s="26">
        <f t="shared" si="15"/>
        <v>0.47744644657076818</v>
      </c>
      <c r="AA33" s="26">
        <f t="shared" si="16"/>
        <v>-0.18273743661591507</v>
      </c>
      <c r="AB33" s="26">
        <f t="shared" si="17"/>
        <v>0.45444234579641046</v>
      </c>
      <c r="AC33" s="26">
        <f t="shared" si="18"/>
        <v>0.19746258805253833</v>
      </c>
      <c r="AD33" s="26">
        <f t="shared" si="19"/>
        <v>0.54920586671397531</v>
      </c>
      <c r="AE33" s="26">
        <f t="shared" si="20"/>
        <v>0.10160767530254909</v>
      </c>
      <c r="AF33" s="26">
        <f t="shared" si="21"/>
        <v>-1.050458200427687</v>
      </c>
      <c r="AG33" s="26">
        <f t="shared" si="22"/>
        <v>0.25913712346655843</v>
      </c>
      <c r="AH33" s="26">
        <f t="shared" si="23"/>
        <v>0.28010994997913818</v>
      </c>
      <c r="AI33" s="26">
        <f t="shared" si="24"/>
        <v>0.56957317943530406</v>
      </c>
      <c r="AJ33" s="26">
        <f t="shared" si="25"/>
        <v>-6.2949558880485784E-2</v>
      </c>
      <c r="AK33" s="26">
        <f t="shared" si="26"/>
        <v>0.48426780503135697</v>
      </c>
      <c r="AL33" s="26">
        <f t="shared" si="27"/>
        <v>0.11725765349494419</v>
      </c>
      <c r="AM33" s="27">
        <f t="shared" si="28"/>
        <v>0.49896117082913216</v>
      </c>
      <c r="AO33">
        <v>211</v>
      </c>
      <c r="AP33" s="28">
        <f>AM222</f>
        <v>0.44182639326745488</v>
      </c>
    </row>
    <row r="34" spans="1:42" ht="15" customHeight="1" x14ac:dyDescent="0.2">
      <c r="A34" s="24">
        <v>23</v>
      </c>
      <c r="B34" s="29">
        <f t="shared" si="29"/>
        <v>0.38954342170358736</v>
      </c>
      <c r="C34" s="29">
        <f t="shared" si="30"/>
        <v>-0.96194791241820943</v>
      </c>
      <c r="D34" s="29">
        <f t="shared" si="31"/>
        <v>-0.47945817274344565</v>
      </c>
      <c r="E34" s="29">
        <f t="shared" si="32"/>
        <v>-0.54651432569239655</v>
      </c>
      <c r="F34" s="29">
        <f t="shared" si="33"/>
        <v>0.46338811543278069</v>
      </c>
      <c r="G34" s="29">
        <f t="shared" si="34"/>
        <v>0.367557713866702</v>
      </c>
      <c r="H34" s="29">
        <f t="shared" si="35"/>
        <v>0.84884083336175642</v>
      </c>
      <c r="I34" s="29">
        <f t="shared" si="36"/>
        <v>-0.64965268597648373</v>
      </c>
      <c r="J34" s="29">
        <f t="shared" si="37"/>
        <v>8.8069567016955175E-2</v>
      </c>
      <c r="K34" s="26">
        <f t="shared" si="0"/>
        <v>-0.47945817274344565</v>
      </c>
      <c r="L34" s="26">
        <f t="shared" si="1"/>
        <v>0.3823800780074208</v>
      </c>
      <c r="M34" s="26">
        <f t="shared" si="2"/>
        <v>0.367557713866702</v>
      </c>
      <c r="N34" s="26">
        <f t="shared" si="3"/>
        <v>0.59086870444402884</v>
      </c>
      <c r="O34" s="26">
        <f t="shared" si="4"/>
        <v>2.8789950192199265E-2</v>
      </c>
      <c r="P34" s="26">
        <f t="shared" si="5"/>
        <v>0.50719699044605282</v>
      </c>
      <c r="Q34" s="26">
        <f t="shared" si="6"/>
        <v>0.1286243935587667</v>
      </c>
      <c r="R34" s="26">
        <f t="shared" si="7"/>
        <v>-1.441406085161655</v>
      </c>
      <c r="S34" s="26">
        <f t="shared" si="8"/>
        <v>0.19132770265195059</v>
      </c>
      <c r="T34" s="26">
        <f t="shared" si="9"/>
        <v>0.83094582929948269</v>
      </c>
      <c r="U34" s="26">
        <f t="shared" si="10"/>
        <v>0.69655488330568216</v>
      </c>
      <c r="V34" s="26">
        <f t="shared" si="11"/>
        <v>-0.20204241728834532</v>
      </c>
      <c r="W34" s="26">
        <f t="shared" si="12"/>
        <v>0.44966052218470409</v>
      </c>
      <c r="X34" s="26">
        <f t="shared" si="13"/>
        <v>0.15143677042100628</v>
      </c>
      <c r="Y34" s="26">
        <f t="shared" si="14"/>
        <v>-8.9914751039858298E-2</v>
      </c>
      <c r="Z34" s="26">
        <f t="shared" si="15"/>
        <v>0.47753644438990084</v>
      </c>
      <c r="AA34" s="26">
        <f t="shared" si="16"/>
        <v>-0.17895661182569456</v>
      </c>
      <c r="AB34" s="26">
        <f t="shared" si="17"/>
        <v>0.45537986525938112</v>
      </c>
      <c r="AC34" s="26">
        <f t="shared" si="18"/>
        <v>0.19758324782812248</v>
      </c>
      <c r="AD34" s="26">
        <f t="shared" si="19"/>
        <v>0.54923573933693792</v>
      </c>
      <c r="AE34" s="26">
        <f t="shared" si="20"/>
        <v>0.10159420934555849</v>
      </c>
      <c r="AF34" s="26">
        <f t="shared" si="21"/>
        <v>-1.0518626634580677</v>
      </c>
      <c r="AG34" s="26">
        <f t="shared" si="22"/>
        <v>0.25886757875344857</v>
      </c>
      <c r="AH34" s="26">
        <f t="shared" si="23"/>
        <v>0.28443150360708613</v>
      </c>
      <c r="AI34" s="26">
        <f t="shared" si="24"/>
        <v>0.57063232957921306</v>
      </c>
      <c r="AJ34" s="26">
        <f t="shared" si="25"/>
        <v>-6.2905887319781306E-2</v>
      </c>
      <c r="AK34" s="26">
        <f t="shared" si="26"/>
        <v>0.48427871212022827</v>
      </c>
      <c r="AL34" s="26">
        <f t="shared" si="27"/>
        <v>0.11726293550641347</v>
      </c>
      <c r="AM34" s="27">
        <f t="shared" si="28"/>
        <v>0.49891830883174498</v>
      </c>
      <c r="AO34">
        <v>221</v>
      </c>
      <c r="AP34" s="28">
        <f>AM232</f>
        <v>0.43350453397924082</v>
      </c>
    </row>
    <row r="35" spans="1:42" ht="15" customHeight="1" x14ac:dyDescent="0.2">
      <c r="A35" s="24">
        <v>24</v>
      </c>
      <c r="B35" s="29">
        <f t="shared" si="29"/>
        <v>0.39348067953199473</v>
      </c>
      <c r="C35" s="29">
        <f t="shared" si="30"/>
        <v>-0.96375876692054607</v>
      </c>
      <c r="D35" s="29">
        <f t="shared" si="31"/>
        <v>-0.48304831533824655</v>
      </c>
      <c r="E35" s="29">
        <f t="shared" si="32"/>
        <v>-0.54524315831493431</v>
      </c>
      <c r="F35" s="29">
        <f t="shared" si="33"/>
        <v>0.46393906492661741</v>
      </c>
      <c r="G35" s="29">
        <f t="shared" si="34"/>
        <v>0.37003752529244499</v>
      </c>
      <c r="H35" s="29">
        <f t="shared" si="35"/>
        <v>0.84840459063425455</v>
      </c>
      <c r="I35" s="29">
        <f t="shared" si="36"/>
        <v>-0.64789320318930699</v>
      </c>
      <c r="J35" s="29">
        <f t="shared" si="37"/>
        <v>8.8135222176940309E-2</v>
      </c>
      <c r="K35" s="26">
        <f t="shared" si="0"/>
        <v>-0.48304831533824655</v>
      </c>
      <c r="L35" s="26">
        <f t="shared" si="1"/>
        <v>0.3815325687827254</v>
      </c>
      <c r="M35" s="26">
        <f t="shared" si="2"/>
        <v>0.37003752529244499</v>
      </c>
      <c r="N35" s="26">
        <f t="shared" si="3"/>
        <v>0.59146804583527823</v>
      </c>
      <c r="O35" s="26">
        <f t="shared" si="4"/>
        <v>2.8621078208345752E-2</v>
      </c>
      <c r="P35" s="26">
        <f t="shared" si="5"/>
        <v>0.50715478114589663</v>
      </c>
      <c r="Q35" s="26">
        <f t="shared" si="6"/>
        <v>0.12860298601957115</v>
      </c>
      <c r="R35" s="26">
        <f t="shared" si="7"/>
        <v>-1.4468070822587926</v>
      </c>
      <c r="S35" s="26">
        <f t="shared" si="8"/>
        <v>0.19049344560006054</v>
      </c>
      <c r="T35" s="26">
        <f t="shared" si="9"/>
        <v>0.83397659021906234</v>
      </c>
      <c r="U35" s="26">
        <f t="shared" si="10"/>
        <v>0.69719510178206723</v>
      </c>
      <c r="V35" s="26">
        <f t="shared" si="11"/>
        <v>-0.2019572318317101</v>
      </c>
      <c r="W35" s="26">
        <f t="shared" si="12"/>
        <v>0.44968160277393165</v>
      </c>
      <c r="X35" s="26">
        <f t="shared" si="13"/>
        <v>0.15142516916273438</v>
      </c>
      <c r="Y35" s="26">
        <f t="shared" si="14"/>
        <v>-8.9567635806251822E-2</v>
      </c>
      <c r="Z35" s="26">
        <f t="shared" si="15"/>
        <v>0.47762304871444511</v>
      </c>
      <c r="AA35" s="26">
        <f t="shared" si="16"/>
        <v>-0.17520563302248932</v>
      </c>
      <c r="AB35" s="26">
        <f t="shared" si="17"/>
        <v>0.45631029655944205</v>
      </c>
      <c r="AC35" s="26">
        <f t="shared" si="18"/>
        <v>0.19771246961284422</v>
      </c>
      <c r="AD35" s="26">
        <f t="shared" si="19"/>
        <v>0.54926773132550344</v>
      </c>
      <c r="AE35" s="26">
        <f t="shared" si="20"/>
        <v>0.10157978901222928</v>
      </c>
      <c r="AF35" s="26">
        <f t="shared" si="21"/>
        <v>-1.0533264027267979</v>
      </c>
      <c r="AG35" s="26">
        <f t="shared" si="22"/>
        <v>0.2585868519625914</v>
      </c>
      <c r="AH35" s="26">
        <f t="shared" si="23"/>
        <v>0.28873343190412809</v>
      </c>
      <c r="AI35" s="26">
        <f t="shared" si="24"/>
        <v>0.57168602785487266</v>
      </c>
      <c r="AJ35" s="26">
        <f t="shared" si="25"/>
        <v>-6.2869997345801565E-2</v>
      </c>
      <c r="AK35" s="26">
        <f t="shared" si="26"/>
        <v>0.48428767574825365</v>
      </c>
      <c r="AL35" s="26">
        <f t="shared" si="27"/>
        <v>0.11726727644082284</v>
      </c>
      <c r="AM35" s="27">
        <f t="shared" si="28"/>
        <v>0.49887522063535766</v>
      </c>
      <c r="AO35">
        <v>231</v>
      </c>
      <c r="AP35" s="28">
        <f>AM242</f>
        <v>0.42528309010484455</v>
      </c>
    </row>
    <row r="36" spans="1:42" ht="15" customHeight="1" x14ac:dyDescent="0.2">
      <c r="A36" s="24">
        <v>25</v>
      </c>
      <c r="B36" s="29">
        <f t="shared" si="29"/>
        <v>0.39742781852768411</v>
      </c>
      <c r="C36" s="29">
        <f t="shared" si="30"/>
        <v>-0.96561529490518949</v>
      </c>
      <c r="D36" s="29">
        <f t="shared" si="31"/>
        <v>-0.4866612557459517</v>
      </c>
      <c r="E36" s="29">
        <f t="shared" si="32"/>
        <v>-0.54399124772357843</v>
      </c>
      <c r="F36" s="29">
        <f t="shared" si="33"/>
        <v>0.46449994481800549</v>
      </c>
      <c r="G36" s="29">
        <f t="shared" si="34"/>
        <v>0.37250702410985725</v>
      </c>
      <c r="H36" s="29">
        <f t="shared" si="35"/>
        <v>0.84800385139175594</v>
      </c>
      <c r="I36" s="29">
        <f t="shared" si="36"/>
        <v>-0.64614850410536895</v>
      </c>
      <c r="J36" s="29">
        <f t="shared" si="37"/>
        <v>8.8195355270154416E-2</v>
      </c>
      <c r="K36" s="26">
        <f t="shared" si="0"/>
        <v>-0.4866612557459517</v>
      </c>
      <c r="L36" s="26">
        <f t="shared" si="1"/>
        <v>0.38068040527588526</v>
      </c>
      <c r="M36" s="26">
        <f t="shared" si="2"/>
        <v>0.37250702410985725</v>
      </c>
      <c r="N36" s="26">
        <f t="shared" si="3"/>
        <v>0.59206462465776222</v>
      </c>
      <c r="O36" s="26">
        <f t="shared" si="4"/>
        <v>2.8452133537159849E-2</v>
      </c>
      <c r="P36" s="26">
        <f t="shared" si="5"/>
        <v>0.50711255357558604</v>
      </c>
      <c r="Q36" s="26">
        <f t="shared" si="6"/>
        <v>0.12858157099697581</v>
      </c>
      <c r="R36" s="26">
        <f t="shared" si="7"/>
        <v>-1.4522765506511413</v>
      </c>
      <c r="S36" s="26">
        <f t="shared" si="8"/>
        <v>0.18965144989739488</v>
      </c>
      <c r="T36" s="26">
        <f t="shared" si="9"/>
        <v>0.83700696892786275</v>
      </c>
      <c r="U36" s="26">
        <f t="shared" si="10"/>
        <v>0.69783447486788808</v>
      </c>
      <c r="V36" s="26">
        <f t="shared" si="11"/>
        <v>-0.20188418684386561</v>
      </c>
      <c r="W36" s="26">
        <f t="shared" si="12"/>
        <v>0.44969967914171777</v>
      </c>
      <c r="X36" s="26">
        <f t="shared" si="13"/>
        <v>0.15141522156836415</v>
      </c>
      <c r="Y36" s="26">
        <f t="shared" si="14"/>
        <v>-8.9233437218267597E-2</v>
      </c>
      <c r="Z36" s="26">
        <f t="shared" si="15"/>
        <v>0.47770643164165805</v>
      </c>
      <c r="AA36" s="26">
        <f t="shared" si="16"/>
        <v>-0.17148422361372118</v>
      </c>
      <c r="AB36" s="26">
        <f t="shared" si="17"/>
        <v>0.45723369458897239</v>
      </c>
      <c r="AC36" s="26">
        <f t="shared" si="18"/>
        <v>0.19785138135165736</v>
      </c>
      <c r="AD36" s="26">
        <f t="shared" si="19"/>
        <v>0.54930212184302485</v>
      </c>
      <c r="AE36" s="26">
        <f t="shared" si="20"/>
        <v>0.10156428868759981</v>
      </c>
      <c r="AF36" s="26">
        <f t="shared" si="21"/>
        <v>-1.0548487321234572</v>
      </c>
      <c r="AG36" s="26">
        <f t="shared" si="22"/>
        <v>0.25829509871828654</v>
      </c>
      <c r="AH36" s="26">
        <f t="shared" si="23"/>
        <v>0.29301572120428432</v>
      </c>
      <c r="AI36" s="26">
        <f t="shared" si="24"/>
        <v>0.57273427058908544</v>
      </c>
      <c r="AJ36" s="26">
        <f t="shared" si="25"/>
        <v>-6.2840798412141949E-2</v>
      </c>
      <c r="AK36" s="26">
        <f t="shared" si="26"/>
        <v>0.48429496827646473</v>
      </c>
      <c r="AL36" s="26">
        <f t="shared" si="27"/>
        <v>0.11727080814895099</v>
      </c>
      <c r="AM36" s="27">
        <f t="shared" si="28"/>
        <v>0.49883188940189072</v>
      </c>
      <c r="AO36">
        <v>241</v>
      </c>
      <c r="AP36" s="28">
        <f>AM252</f>
        <v>0.41739601676842936</v>
      </c>
    </row>
    <row r="37" spans="1:42" ht="15" customHeight="1" x14ac:dyDescent="0.2">
      <c r="A37" s="24">
        <v>26</v>
      </c>
      <c r="B37" s="29">
        <f t="shared" si="29"/>
        <v>0.40138546408655429</v>
      </c>
      <c r="C37" s="29">
        <f t="shared" si="30"/>
        <v>-0.96751752947764713</v>
      </c>
      <c r="D37" s="29">
        <f t="shared" si="31"/>
        <v>-0.49029701407667364</v>
      </c>
      <c r="E37" s="29">
        <f t="shared" si="32"/>
        <v>-0.5427583802087842</v>
      </c>
      <c r="F37" s="29">
        <f t="shared" si="33"/>
        <v>0.46507048694614089</v>
      </c>
      <c r="G37" s="29">
        <f t="shared" si="34"/>
        <v>0.37496633184334094</v>
      </c>
      <c r="H37" s="29">
        <f t="shared" si="35"/>
        <v>0.84763900628163458</v>
      </c>
      <c r="I37" s="29">
        <f t="shared" si="36"/>
        <v>-0.64441815474061082</v>
      </c>
      <c r="J37" s="29">
        <f t="shared" si="37"/>
        <v>8.8250290896960973E-2</v>
      </c>
      <c r="K37" s="26">
        <f t="shared" si="0"/>
        <v>-0.49029701407667364</v>
      </c>
      <c r="L37" s="26">
        <f t="shared" si="1"/>
        <v>0.37982360122711495</v>
      </c>
      <c r="M37" s="26">
        <f t="shared" si="2"/>
        <v>0.37496633184334094</v>
      </c>
      <c r="N37" s="26">
        <f t="shared" si="3"/>
        <v>0.59265847200133315</v>
      </c>
      <c r="O37" s="26">
        <f t="shared" si="4"/>
        <v>2.8283711884935461E-2</v>
      </c>
      <c r="P37" s="26">
        <f t="shared" si="5"/>
        <v>0.50707045663238626</v>
      </c>
      <c r="Q37" s="26">
        <f t="shared" si="6"/>
        <v>0.12856022399468836</v>
      </c>
      <c r="R37" s="26">
        <f t="shared" si="7"/>
        <v>-1.4578145435543208</v>
      </c>
      <c r="S37" s="26">
        <f t="shared" si="8"/>
        <v>0.18880181267837559</v>
      </c>
      <c r="T37" s="26">
        <f t="shared" si="9"/>
        <v>0.84003681878948178</v>
      </c>
      <c r="U37" s="26">
        <f t="shared" si="10"/>
        <v>0.69847297040849232</v>
      </c>
      <c r="V37" s="26">
        <f t="shared" si="11"/>
        <v>-0.20182259094700333</v>
      </c>
      <c r="W37" s="26">
        <f t="shared" si="12"/>
        <v>0.44971492231800547</v>
      </c>
      <c r="X37" s="26">
        <f t="shared" si="13"/>
        <v>0.15140683335973937</v>
      </c>
      <c r="Y37" s="26">
        <f t="shared" si="14"/>
        <v>-8.8911549990119354E-2</v>
      </c>
      <c r="Z37" s="26">
        <f t="shared" si="15"/>
        <v>0.47778674404534538</v>
      </c>
      <c r="AA37" s="26">
        <f t="shared" si="16"/>
        <v>-0.16779204836544326</v>
      </c>
      <c r="AB37" s="26">
        <f t="shared" si="17"/>
        <v>0.45815012923631038</v>
      </c>
      <c r="AC37" s="26">
        <f t="shared" si="18"/>
        <v>0.19800071095745969</v>
      </c>
      <c r="AD37" s="26">
        <f t="shared" si="19"/>
        <v>0.54933909099687384</v>
      </c>
      <c r="AE37" s="26">
        <f t="shared" si="20"/>
        <v>0.10154762745176198</v>
      </c>
      <c r="AF37" s="26">
        <f t="shared" si="21"/>
        <v>-1.0564290794677664</v>
      </c>
      <c r="AG37" s="26">
        <f t="shared" si="22"/>
        <v>0.25799245343093929</v>
      </c>
      <c r="AH37" s="26">
        <f t="shared" si="23"/>
        <v>0.29727843858069763</v>
      </c>
      <c r="AI37" s="26">
        <f t="shared" si="24"/>
        <v>0.57377707409405654</v>
      </c>
      <c r="AJ37" s="26">
        <f t="shared" si="25"/>
        <v>-6.2817605568835408E-2</v>
      </c>
      <c r="AK37" s="26">
        <f t="shared" si="26"/>
        <v>0.48430076076893191</v>
      </c>
      <c r="AL37" s="26">
        <f t="shared" si="27"/>
        <v>0.11727361344068311</v>
      </c>
      <c r="AM37" s="27">
        <f t="shared" si="28"/>
        <v>0.49878829824687282</v>
      </c>
      <c r="AO37">
        <v>251</v>
      </c>
      <c r="AP37" s="28">
        <f>AM262</f>
        <v>0.41001219882460627</v>
      </c>
    </row>
    <row r="38" spans="1:42" ht="15" customHeight="1" x14ac:dyDescent="0.2">
      <c r="A38" s="24">
        <v>27</v>
      </c>
      <c r="B38" s="29">
        <f t="shared" si="29"/>
        <v>0.40535422175826419</v>
      </c>
      <c r="C38" s="29">
        <f t="shared" si="30"/>
        <v>-0.96946552515625195</v>
      </c>
      <c r="D38" s="29">
        <f t="shared" si="31"/>
        <v>-0.49395564548679965</v>
      </c>
      <c r="E38" s="29">
        <f t="shared" si="32"/>
        <v>-0.54154432971872024</v>
      </c>
      <c r="F38" s="29">
        <f t="shared" si="33"/>
        <v>0.4656504383660045</v>
      </c>
      <c r="G38" s="29">
        <f t="shared" si="34"/>
        <v>0.37741559206747816</v>
      </c>
      <c r="H38" s="29">
        <f t="shared" si="35"/>
        <v>0.84731039926623841</v>
      </c>
      <c r="I38" s="29">
        <f t="shared" si="36"/>
        <v>-0.64270181730039488</v>
      </c>
      <c r="J38" s="29">
        <f t="shared" si="37"/>
        <v>8.8300186732664959E-2</v>
      </c>
      <c r="K38" s="26">
        <f t="shared" si="0"/>
        <v>-0.49395564548679965</v>
      </c>
      <c r="L38" s="26">
        <f t="shared" si="1"/>
        <v>0.37896216239079589</v>
      </c>
      <c r="M38" s="26">
        <f t="shared" si="2"/>
        <v>0.37741559206747816</v>
      </c>
      <c r="N38" s="26">
        <f t="shared" si="3"/>
        <v>0.59324962425292216</v>
      </c>
      <c r="O38" s="26">
        <f t="shared" si="4"/>
        <v>2.8116156234677808E-2</v>
      </c>
      <c r="P38" s="26">
        <f t="shared" si="5"/>
        <v>0.50702857604663842</v>
      </c>
      <c r="Q38" s="26">
        <f t="shared" si="6"/>
        <v>0.12853898846394091</v>
      </c>
      <c r="R38" s="26">
        <f t="shared" si="7"/>
        <v>-1.4634211706430515</v>
      </c>
      <c r="S38" s="26">
        <f t="shared" si="8"/>
        <v>0.18794462369300208</v>
      </c>
      <c r="T38" s="26">
        <f t="shared" si="9"/>
        <v>0.84306603043348272</v>
      </c>
      <c r="U38" s="26">
        <f t="shared" si="10"/>
        <v>0.69911056424891072</v>
      </c>
      <c r="V38" s="26">
        <f t="shared" si="11"/>
        <v>-0.20177200926275393</v>
      </c>
      <c r="W38" s="26">
        <f t="shared" si="12"/>
        <v>0.4497274398706112</v>
      </c>
      <c r="X38" s="26">
        <f t="shared" si="13"/>
        <v>0.15139994521567587</v>
      </c>
      <c r="Y38" s="26">
        <f t="shared" si="14"/>
        <v>-8.8601423728535467E-2</v>
      </c>
      <c r="Z38" s="26">
        <f t="shared" si="15"/>
        <v>0.47786412311796844</v>
      </c>
      <c r="AA38" s="26">
        <f t="shared" si="16"/>
        <v>-0.16412873765124208</v>
      </c>
      <c r="AB38" s="26">
        <f t="shared" si="17"/>
        <v>0.45905967937480413</v>
      </c>
      <c r="AC38" s="26">
        <f t="shared" si="18"/>
        <v>0.19816093750323846</v>
      </c>
      <c r="AD38" s="26">
        <f t="shared" si="19"/>
        <v>0.54937875727281982</v>
      </c>
      <c r="AE38" s="26">
        <f t="shared" si="20"/>
        <v>0.10152975219849412</v>
      </c>
      <c r="AF38" s="26">
        <f t="shared" si="21"/>
        <v>-1.0580669488847874</v>
      </c>
      <c r="AG38" s="26">
        <f t="shared" si="22"/>
        <v>0.25767903654493268</v>
      </c>
      <c r="AH38" s="26">
        <f t="shared" si="23"/>
        <v>0.30152170071476242</v>
      </c>
      <c r="AI38" s="26">
        <f t="shared" si="24"/>
        <v>0.57481446699328465</v>
      </c>
      <c r="AJ38" s="26">
        <f t="shared" si="25"/>
        <v>-6.2799988477050372E-2</v>
      </c>
      <c r="AK38" s="26">
        <f t="shared" si="26"/>
        <v>0.48430516070107893</v>
      </c>
      <c r="AL38" s="26">
        <f t="shared" si="27"/>
        <v>0.11727574434084895</v>
      </c>
      <c r="AM38" s="27">
        <f t="shared" si="28"/>
        <v>0.49874443021895987</v>
      </c>
      <c r="AO38">
        <v>261</v>
      </c>
      <c r="AP38" s="28">
        <f>AM272</f>
        <v>0.40323016738070955</v>
      </c>
    </row>
    <row r="39" spans="1:42" ht="15" customHeight="1" x14ac:dyDescent="0.2">
      <c r="A39" s="24">
        <v>28</v>
      </c>
      <c r="B39" s="29">
        <f t="shared" si="29"/>
        <v>0.40933468440780491</v>
      </c>
      <c r="C39" s="29">
        <f t="shared" si="30"/>
        <v>-0.97145935323340238</v>
      </c>
      <c r="D39" s="29">
        <f t="shared" si="31"/>
        <v>-0.49763722833972279</v>
      </c>
      <c r="E39" s="29">
        <f t="shared" si="32"/>
        <v>-0.54034886347354738</v>
      </c>
      <c r="F39" s="29">
        <f t="shared" si="33"/>
        <v>0.46623955700968839</v>
      </c>
      <c r="G39" s="29">
        <f t="shared" si="34"/>
        <v>0.37985496096164423</v>
      </c>
      <c r="H39" s="29">
        <f t="shared" si="35"/>
        <v>0.84701834903386897</v>
      </c>
      <c r="I39" s="29">
        <f t="shared" si="36"/>
        <v>-0.64099921527258041</v>
      </c>
      <c r="J39" s="29">
        <f t="shared" si="37"/>
        <v>8.8345095811292212E-2</v>
      </c>
      <c r="K39" s="26">
        <f t="shared" si="0"/>
        <v>-0.49763722833972279</v>
      </c>
      <c r="L39" s="26">
        <f t="shared" si="1"/>
        <v>0.37809608935829425</v>
      </c>
      <c r="M39" s="26">
        <f t="shared" si="2"/>
        <v>0.37985496096164423</v>
      </c>
      <c r="N39" s="26">
        <f t="shared" si="3"/>
        <v>0.59383812080545728</v>
      </c>
      <c r="O39" s="26">
        <f t="shared" si="4"/>
        <v>2.7949651760474897E-2</v>
      </c>
      <c r="P39" s="26">
        <f t="shared" si="5"/>
        <v>0.50698695810494654</v>
      </c>
      <c r="Q39" s="26">
        <f t="shared" si="6"/>
        <v>0.12851788784425341</v>
      </c>
      <c r="R39" s="26">
        <f t="shared" si="7"/>
        <v>-1.4690965815731252</v>
      </c>
      <c r="S39" s="26">
        <f t="shared" si="8"/>
        <v>0.18707996795519616</v>
      </c>
      <c r="T39" s="26">
        <f t="shared" si="9"/>
        <v>0.84609451797133262</v>
      </c>
      <c r="U39" s="26">
        <f t="shared" si="10"/>
        <v>0.69974723729115007</v>
      </c>
      <c r="V39" s="26">
        <f t="shared" si="11"/>
        <v>-0.2017321685867717</v>
      </c>
      <c r="W39" s="26">
        <f t="shared" si="12"/>
        <v>0.44973729936880535</v>
      </c>
      <c r="X39" s="26">
        <f t="shared" si="13"/>
        <v>0.15139451985296787</v>
      </c>
      <c r="Y39" s="26">
        <f t="shared" si="14"/>
        <v>-8.8302543931917887E-2</v>
      </c>
      <c r="Z39" s="26">
        <f t="shared" si="15"/>
        <v>0.47793869710972953</v>
      </c>
      <c r="AA39" s="26">
        <f t="shared" si="16"/>
        <v>-0.16049390251190315</v>
      </c>
      <c r="AB39" s="26">
        <f t="shared" si="17"/>
        <v>0.45996242912209684</v>
      </c>
      <c r="AC39" s="26">
        <f t="shared" si="18"/>
        <v>0.19833238585443971</v>
      </c>
      <c r="AD39" s="26">
        <f t="shared" si="19"/>
        <v>0.54942120096524871</v>
      </c>
      <c r="AE39" s="26">
        <f t="shared" si="20"/>
        <v>0.10151062706979939</v>
      </c>
      <c r="AF39" s="26">
        <f t="shared" si="21"/>
        <v>-1.0597618971653202</v>
      </c>
      <c r="AG39" s="26">
        <f t="shared" si="22"/>
        <v>0.25735495908763983</v>
      </c>
      <c r="AH39" s="26">
        <f t="shared" si="23"/>
        <v>0.30574565449778524</v>
      </c>
      <c r="AI39" s="26">
        <f t="shared" si="24"/>
        <v>0.57584648544052652</v>
      </c>
      <c r="AJ39" s="26">
        <f t="shared" si="25"/>
        <v>-6.2787676911467111E-2</v>
      </c>
      <c r="AK39" s="26">
        <f t="shared" si="26"/>
        <v>0.48430823556038582</v>
      </c>
      <c r="AL39" s="26">
        <f t="shared" si="27"/>
        <v>0.11727723351580709</v>
      </c>
      <c r="AM39" s="27">
        <f t="shared" si="28"/>
        <v>0.49870026828282776</v>
      </c>
      <c r="AO39">
        <v>271</v>
      </c>
      <c r="AP39" s="28">
        <f>AM282</f>
        <v>0.39708700212512305</v>
      </c>
    </row>
    <row r="40" spans="1:42" ht="15" customHeight="1" x14ac:dyDescent="0.2">
      <c r="A40" s="24">
        <v>29</v>
      </c>
      <c r="B40" s="29">
        <f t="shared" si="29"/>
        <v>0.41332743678469974</v>
      </c>
      <c r="C40" s="29">
        <f t="shared" si="30"/>
        <v>-0.97349909885597941</v>
      </c>
      <c r="D40" s="29">
        <f t="shared" si="31"/>
        <v>-0.50134185679977061</v>
      </c>
      <c r="E40" s="29">
        <f t="shared" si="32"/>
        <v>-0.53917174543291324</v>
      </c>
      <c r="F40" s="29">
        <f t="shared" si="33"/>
        <v>0.4668376089346013</v>
      </c>
      <c r="G40" s="29">
        <f t="shared" si="34"/>
        <v>0.38228460144978521</v>
      </c>
      <c r="H40" s="29">
        <f t="shared" si="35"/>
        <v>0.84676316236979388</v>
      </c>
      <c r="I40" s="29">
        <f t="shared" si="36"/>
        <v>-0.63931011152055883</v>
      </c>
      <c r="J40" s="29">
        <f t="shared" si="37"/>
        <v>8.8385005469191272E-2</v>
      </c>
      <c r="K40" s="26">
        <f t="shared" si="0"/>
        <v>-0.50134185679977061</v>
      </c>
      <c r="L40" s="26">
        <f t="shared" si="1"/>
        <v>0.37722537932554118</v>
      </c>
      <c r="M40" s="26">
        <f t="shared" si="2"/>
        <v>0.38228460144978521</v>
      </c>
      <c r="N40" s="26">
        <f t="shared" si="3"/>
        <v>0.59442400263731199</v>
      </c>
      <c r="O40" s="26">
        <f t="shared" si="4"/>
        <v>2.7784285176474702E-2</v>
      </c>
      <c r="P40" s="26">
        <f t="shared" si="5"/>
        <v>0.50694562448408043</v>
      </c>
      <c r="Q40" s="26">
        <f t="shared" si="6"/>
        <v>0.12849693309177715</v>
      </c>
      <c r="R40" s="26">
        <f t="shared" si="7"/>
        <v>-1.47484095565575</v>
      </c>
      <c r="S40" s="26">
        <f t="shared" si="8"/>
        <v>0.18620792740950592</v>
      </c>
      <c r="T40" s="26">
        <f t="shared" si="9"/>
        <v>0.84912221038438651</v>
      </c>
      <c r="U40" s="26">
        <f t="shared" si="10"/>
        <v>0.70038297365759072</v>
      </c>
      <c r="V40" s="26">
        <f t="shared" si="11"/>
        <v>-0.20170289805534541</v>
      </c>
      <c r="W40" s="26">
        <f t="shared" si="12"/>
        <v>0.44974454306503114</v>
      </c>
      <c r="X40" s="26">
        <f t="shared" si="13"/>
        <v>0.15139053394335572</v>
      </c>
      <c r="Y40" s="26">
        <f t="shared" si="14"/>
        <v>-8.8014420015070871E-2</v>
      </c>
      <c r="Z40" s="26">
        <f t="shared" si="15"/>
        <v>0.47801058831518933</v>
      </c>
      <c r="AA40" s="26">
        <f t="shared" si="16"/>
        <v>-0.15688714398312803</v>
      </c>
      <c r="AB40" s="26">
        <f t="shared" si="17"/>
        <v>0.46085846551636805</v>
      </c>
      <c r="AC40" s="26">
        <f t="shared" si="18"/>
        <v>0.1985152858927437</v>
      </c>
      <c r="AD40" s="26">
        <f t="shared" si="19"/>
        <v>0.5494664788402932</v>
      </c>
      <c r="AE40" s="26">
        <f t="shared" si="20"/>
        <v>0.10149022684428198</v>
      </c>
      <c r="AF40" s="26">
        <f t="shared" si="21"/>
        <v>-1.0615135188710503</v>
      </c>
      <c r="AG40" s="26">
        <f t="shared" si="22"/>
        <v>0.25702032553183157</v>
      </c>
      <c r="AH40" s="26">
        <f t="shared" si="23"/>
        <v>0.30995046495147327</v>
      </c>
      <c r="AI40" s="26">
        <f t="shared" si="24"/>
        <v>0.57687317014254957</v>
      </c>
      <c r="AJ40" s="26">
        <f t="shared" si="25"/>
        <v>-6.2780501627212812E-2</v>
      </c>
      <c r="AK40" s="26">
        <f t="shared" si="26"/>
        <v>0.4843100276148703</v>
      </c>
      <c r="AL40" s="26">
        <f t="shared" si="27"/>
        <v>0.11727810142415822</v>
      </c>
      <c r="AM40" s="27">
        <f t="shared" si="28"/>
        <v>0.49865579530357312</v>
      </c>
      <c r="AO40">
        <v>281</v>
      </c>
      <c r="AP40" s="28">
        <f>AM292</f>
        <v>0.39157375592614452</v>
      </c>
    </row>
    <row r="41" spans="1:42" ht="15" customHeight="1" x14ac:dyDescent="0.2">
      <c r="A41" s="24">
        <v>30</v>
      </c>
      <c r="B41" s="29">
        <f t="shared" si="29"/>
        <v>0.41733305847064334</v>
      </c>
      <c r="C41" s="29">
        <f t="shared" si="30"/>
        <v>-0.97558485918176707</v>
      </c>
      <c r="D41" s="29">
        <f t="shared" si="31"/>
        <v>-0.50506963619664147</v>
      </c>
      <c r="E41" s="29">
        <f t="shared" si="32"/>
        <v>-0.53801273842444453</v>
      </c>
      <c r="F41" s="29">
        <f t="shared" si="33"/>
        <v>0.46744436656198324</v>
      </c>
      <c r="G41" s="29">
        <f t="shared" si="34"/>
        <v>0.38470467957543353</v>
      </c>
      <c r="H41" s="29">
        <f t="shared" si="35"/>
        <v>0.84654514250299628</v>
      </c>
      <c r="I41" s="29">
        <f t="shared" si="36"/>
        <v>-0.63763429452438347</v>
      </c>
      <c r="J41" s="29">
        <f t="shared" si="37"/>
        <v>8.8419861684139581E-2</v>
      </c>
      <c r="K41" s="26">
        <f t="shared" si="0"/>
        <v>-0.50506963619664147</v>
      </c>
      <c r="L41" s="26">
        <f t="shared" si="1"/>
        <v>0.37635002720168542</v>
      </c>
      <c r="M41" s="26">
        <f t="shared" si="2"/>
        <v>0.38470467957543353</v>
      </c>
      <c r="N41" s="26">
        <f t="shared" si="3"/>
        <v>0.59500731143425512</v>
      </c>
      <c r="O41" s="26">
        <f t="shared" si="4"/>
        <v>2.7620081829365498E-2</v>
      </c>
      <c r="P41" s="26">
        <f t="shared" si="5"/>
        <v>0.50690458152203466</v>
      </c>
      <c r="Q41" s="26">
        <f t="shared" si="6"/>
        <v>0.12847612738401454</v>
      </c>
      <c r="R41" s="26">
        <f t="shared" si="7"/>
        <v>-1.4806544953784084</v>
      </c>
      <c r="S41" s="26">
        <f t="shared" si="8"/>
        <v>0.18532858198595664</v>
      </c>
      <c r="T41" s="26">
        <f t="shared" si="9"/>
        <v>0.85214904613741682</v>
      </c>
      <c r="U41" s="26">
        <f t="shared" si="10"/>
        <v>0.70101775954343037</v>
      </c>
      <c r="V41" s="26">
        <f t="shared" si="11"/>
        <v>-0.20168409202421961</v>
      </c>
      <c r="W41" s="26">
        <f t="shared" si="12"/>
        <v>0.44974919708049282</v>
      </c>
      <c r="X41" s="26">
        <f t="shared" si="13"/>
        <v>0.1513879730567812</v>
      </c>
      <c r="Y41" s="26">
        <f t="shared" si="14"/>
        <v>-8.7736577725998133E-2</v>
      </c>
      <c r="Z41" s="26">
        <f t="shared" si="15"/>
        <v>0.47807991496431262</v>
      </c>
      <c r="AA41" s="26">
        <f t="shared" si="16"/>
        <v>-0.153308058849011</v>
      </c>
      <c r="AB41" s="26">
        <f t="shared" si="17"/>
        <v>0.46174787707673898</v>
      </c>
      <c r="AC41" s="26">
        <f t="shared" si="18"/>
        <v>0.1987098095774657</v>
      </c>
      <c r="AD41" s="26">
        <f t="shared" si="19"/>
        <v>0.54951463331162853</v>
      </c>
      <c r="AE41" s="26">
        <f t="shared" si="20"/>
        <v>0.10146853280017826</v>
      </c>
      <c r="AF41" s="26">
        <f t="shared" si="21"/>
        <v>-1.0633214369077653</v>
      </c>
      <c r="AG41" s="26">
        <f t="shared" si="22"/>
        <v>0.25667523560418926</v>
      </c>
      <c r="AH41" s="26">
        <f t="shared" si="23"/>
        <v>0.31413630771297224</v>
      </c>
      <c r="AI41" s="26">
        <f t="shared" si="24"/>
        <v>0.57789456450629006</v>
      </c>
      <c r="AJ41" s="26">
        <f t="shared" si="25"/>
        <v>-6.2778357362765949E-2</v>
      </c>
      <c r="AK41" s="26">
        <f t="shared" si="26"/>
        <v>0.48431056315313531</v>
      </c>
      <c r="AL41" s="26">
        <f t="shared" si="27"/>
        <v>0.11727836079085353</v>
      </c>
      <c r="AM41" s="27">
        <f t="shared" si="28"/>
        <v>0.49861099403182751</v>
      </c>
      <c r="AO41">
        <v>291</v>
      </c>
      <c r="AP41" s="28">
        <f>AM302</f>
        <v>0.38665126114904358</v>
      </c>
    </row>
    <row r="42" spans="1:42" ht="15" customHeight="1" x14ac:dyDescent="0.2">
      <c r="A42" s="24">
        <v>31</v>
      </c>
      <c r="B42" s="29">
        <f t="shared" si="29"/>
        <v>0.4213521258125662</v>
      </c>
      <c r="C42" s="29">
        <f t="shared" si="30"/>
        <v>-0.97771674220979943</v>
      </c>
      <c r="D42" s="29">
        <f t="shared" si="31"/>
        <v>-0.5088206801209707</v>
      </c>
      <c r="E42" s="29">
        <f t="shared" si="32"/>
        <v>-0.53687160543744916</v>
      </c>
      <c r="F42" s="29">
        <f t="shared" si="33"/>
        <v>0.46805960753366765</v>
      </c>
      <c r="G42" s="29">
        <f t="shared" si="34"/>
        <v>0.38711536226978471</v>
      </c>
      <c r="H42" s="29">
        <f t="shared" si="35"/>
        <v>0.84636459431440636</v>
      </c>
      <c r="I42" s="29">
        <f t="shared" si="36"/>
        <v>-0.63597156972813096</v>
      </c>
      <c r="J42" s="29">
        <f t="shared" si="37"/>
        <v>8.8449584277903212E-2</v>
      </c>
      <c r="K42" s="26">
        <f t="shared" si="0"/>
        <v>-0.5088206801209707</v>
      </c>
      <c r="L42" s="26">
        <f t="shared" si="1"/>
        <v>0.3754700263063826</v>
      </c>
      <c r="M42" s="26">
        <f t="shared" si="2"/>
        <v>0.38711536226978471</v>
      </c>
      <c r="N42" s="26">
        <f t="shared" si="3"/>
        <v>0.59558808904934457</v>
      </c>
      <c r="O42" s="26">
        <f t="shared" si="4"/>
        <v>2.7457028865834662E-2</v>
      </c>
      <c r="P42" s="26">
        <f t="shared" si="5"/>
        <v>0.50686382600862323</v>
      </c>
      <c r="Q42" s="26">
        <f t="shared" si="6"/>
        <v>0.12845546905804994</v>
      </c>
      <c r="R42" s="26">
        <f t="shared" si="7"/>
        <v>-1.4865374223307701</v>
      </c>
      <c r="S42" s="26">
        <f t="shared" si="8"/>
        <v>0.18444201027356807</v>
      </c>
      <c r="T42" s="26">
        <f t="shared" si="9"/>
        <v>0.85517496980345231</v>
      </c>
      <c r="U42" s="26">
        <f t="shared" si="10"/>
        <v>0.70165158249831128</v>
      </c>
      <c r="V42" s="26">
        <f t="shared" si="11"/>
        <v>-0.20167568684605292</v>
      </c>
      <c r="W42" s="26">
        <f t="shared" si="12"/>
        <v>0.44975127715163454</v>
      </c>
      <c r="X42" s="26">
        <f t="shared" si="13"/>
        <v>0.15138682849812865</v>
      </c>
      <c r="Y42" s="26">
        <f t="shared" si="14"/>
        <v>-8.74685543084045E-2</v>
      </c>
      <c r="Z42" s="26">
        <f t="shared" si="15"/>
        <v>0.47814679242861596</v>
      </c>
      <c r="AA42" s="26">
        <f t="shared" si="16"/>
        <v>-0.14975624316766445</v>
      </c>
      <c r="AB42" s="26">
        <f t="shared" si="17"/>
        <v>0.46263075291522515</v>
      </c>
      <c r="AC42" s="26">
        <f t="shared" si="18"/>
        <v>0.1989160941384806</v>
      </c>
      <c r="AD42" s="26">
        <f t="shared" si="19"/>
        <v>0.54956569818248546</v>
      </c>
      <c r="AE42" s="26">
        <f t="shared" si="20"/>
        <v>0.10144553012691589</v>
      </c>
      <c r="AF42" s="26">
        <f t="shared" si="21"/>
        <v>-1.0651852965182038</v>
      </c>
      <c r="AG42" s="26">
        <f t="shared" si="22"/>
        <v>0.25631978543530826</v>
      </c>
      <c r="AH42" s="26">
        <f t="shared" si="23"/>
        <v>0.31830336436600321</v>
      </c>
      <c r="AI42" s="26">
        <f t="shared" si="24"/>
        <v>0.57891071348675671</v>
      </c>
      <c r="AJ42" s="26">
        <f t="shared" si="25"/>
        <v>-6.2781179695991354E-2</v>
      </c>
      <c r="AK42" s="26">
        <f t="shared" si="26"/>
        <v>0.48430985826460121</v>
      </c>
      <c r="AL42" s="26">
        <f t="shared" si="27"/>
        <v>0.11727801940613906</v>
      </c>
      <c r="AM42" s="27">
        <f t="shared" si="28"/>
        <v>0.49856584708923357</v>
      </c>
      <c r="AO42">
        <v>301</v>
      </c>
      <c r="AP42" s="28">
        <f>AM312</f>
        <v>0.38226305100569885</v>
      </c>
    </row>
    <row r="43" spans="1:42" ht="15" customHeight="1" x14ac:dyDescent="0.2">
      <c r="A43" s="24">
        <v>32</v>
      </c>
      <c r="B43" s="29">
        <f t="shared" si="29"/>
        <v>0.42538521322058265</v>
      </c>
      <c r="C43" s="29">
        <f t="shared" si="30"/>
        <v>-0.9798948660333141</v>
      </c>
      <c r="D43" s="29">
        <f t="shared" si="31"/>
        <v>-0.51259510860140711</v>
      </c>
      <c r="E43" s="29">
        <f t="shared" si="32"/>
        <v>-0.53574811039649561</v>
      </c>
      <c r="F43" s="29">
        <f t="shared" si="33"/>
        <v>0.46868311395507939</v>
      </c>
      <c r="G43" s="29">
        <f t="shared" si="34"/>
        <v>0.38951681598752985</v>
      </c>
      <c r="H43" s="29">
        <f t="shared" si="35"/>
        <v>0.84622182758549835</v>
      </c>
      <c r="I43" s="29">
        <f t="shared" si="36"/>
        <v>-0.63432175408680547</v>
      </c>
      <c r="J43" s="29">
        <f t="shared" si="37"/>
        <v>8.8474076404116392E-2</v>
      </c>
      <c r="K43" s="26">
        <f t="shared" si="0"/>
        <v>-0.51259510860140711</v>
      </c>
      <c r="L43" s="26">
        <f t="shared" si="1"/>
        <v>0.37458536881033638</v>
      </c>
      <c r="M43" s="26">
        <f t="shared" si="2"/>
        <v>0.38951681598752985</v>
      </c>
      <c r="N43" s="26">
        <f t="shared" si="3"/>
        <v>0.59616637717322951</v>
      </c>
      <c r="O43" s="26">
        <f t="shared" si="4"/>
        <v>2.7295089689488211E-2</v>
      </c>
      <c r="P43" s="26">
        <f t="shared" si="5"/>
        <v>0.50682334879892954</v>
      </c>
      <c r="Q43" s="26">
        <f t="shared" si="6"/>
        <v>0.1284349534438807</v>
      </c>
      <c r="R43" s="26">
        <f t="shared" si="7"/>
        <v>-1.4924899746347213</v>
      </c>
      <c r="S43" s="26">
        <f t="shared" si="8"/>
        <v>0.18354828995620737</v>
      </c>
      <c r="T43" s="26">
        <f t="shared" si="9"/>
        <v>0.8581999299426093</v>
      </c>
      <c r="U43" s="26">
        <f t="shared" si="10"/>
        <v>0.70228443097524273</v>
      </c>
      <c r="V43" s="26">
        <f t="shared" si="11"/>
        <v>-0.20167764634301885</v>
      </c>
      <c r="W43" s="26">
        <f t="shared" si="12"/>
        <v>0.44975079222504166</v>
      </c>
      <c r="X43" s="26">
        <f t="shared" si="13"/>
        <v>0.15138709532848463</v>
      </c>
      <c r="Y43" s="26">
        <f t="shared" si="14"/>
        <v>-8.7209895380824465E-2</v>
      </c>
      <c r="Z43" s="26">
        <f t="shared" si="15"/>
        <v>0.47821133399912308</v>
      </c>
      <c r="AA43" s="26">
        <f t="shared" si="16"/>
        <v>-0.14623129440896576</v>
      </c>
      <c r="AB43" s="26">
        <f t="shared" si="17"/>
        <v>0.46350718219262221</v>
      </c>
      <c r="AC43" s="26">
        <f t="shared" si="18"/>
        <v>0.19913425659269682</v>
      </c>
      <c r="AD43" s="26">
        <f t="shared" si="19"/>
        <v>0.54961970223940937</v>
      </c>
      <c r="AE43" s="26">
        <f t="shared" si="20"/>
        <v>0.10142120630545914</v>
      </c>
      <c r="AF43" s="26">
        <f t="shared" si="21"/>
        <v>-1.0671047614141385</v>
      </c>
      <c r="AG43" s="26">
        <f t="shared" si="22"/>
        <v>0.25595406829821971</v>
      </c>
      <c r="AH43" s="26">
        <f t="shared" si="23"/>
        <v>0.32245181954611363</v>
      </c>
      <c r="AI43" s="26">
        <f t="shared" si="24"/>
        <v>0.57992166287154245</v>
      </c>
      <c r="AJ43" s="26">
        <f t="shared" si="25"/>
        <v>-6.2788930568234508E-2</v>
      </c>
      <c r="AK43" s="26">
        <f t="shared" si="26"/>
        <v>0.48430792245488985</v>
      </c>
      <c r="AL43" s="26">
        <f t="shared" si="27"/>
        <v>0.1172770818762858</v>
      </c>
      <c r="AM43" s="27">
        <f t="shared" si="28"/>
        <v>0.49852033695411024</v>
      </c>
      <c r="AO43">
        <v>311</v>
      </c>
      <c r="AP43" s="28">
        <f>AM322</f>
        <v>0.37834445972887615</v>
      </c>
    </row>
    <row r="44" spans="1:42" ht="15" customHeight="1" x14ac:dyDescent="0.2">
      <c r="A44" s="24">
        <v>33</v>
      </c>
      <c r="B44" s="29">
        <f t="shared" si="29"/>
        <v>0.42943289406801755</v>
      </c>
      <c r="C44" s="29">
        <f t="shared" si="30"/>
        <v>-0.98211935835822628</v>
      </c>
      <c r="D44" s="29">
        <f t="shared" si="31"/>
        <v>-0.51639304695724464</v>
      </c>
      <c r="E44" s="29">
        <f t="shared" si="32"/>
        <v>-0.53464201861119531</v>
      </c>
      <c r="F44" s="29">
        <f t="shared" si="33"/>
        <v>0.46931467187980536</v>
      </c>
      <c r="G44" s="29">
        <f t="shared" si="34"/>
        <v>0.39190920588285372</v>
      </c>
      <c r="H44" s="29">
        <f t="shared" si="35"/>
        <v>0.84611715902404694</v>
      </c>
      <c r="I44" s="29">
        <f t="shared" si="36"/>
        <v>-0.63268467261788985</v>
      </c>
      <c r="J44" s="29">
        <f t="shared" si="37"/>
        <v>8.8493230462463865E-2</v>
      </c>
      <c r="K44" s="26">
        <f t="shared" si="0"/>
        <v>-0.51639304695724464</v>
      </c>
      <c r="L44" s="26">
        <f t="shared" si="1"/>
        <v>0.37369604601563966</v>
      </c>
      <c r="M44" s="26">
        <f t="shared" si="2"/>
        <v>0.39190920588285372</v>
      </c>
      <c r="N44" s="26">
        <f t="shared" si="3"/>
        <v>0.59674221713536379</v>
      </c>
      <c r="O44" s="26">
        <f t="shared" si="4"/>
        <v>2.7134212970175028E-2</v>
      </c>
      <c r="P44" s="26">
        <f t="shared" si="5"/>
        <v>0.50678313706515943</v>
      </c>
      <c r="Q44" s="26">
        <f t="shared" si="6"/>
        <v>0.12841457400680209</v>
      </c>
      <c r="R44" s="26">
        <f t="shared" si="7"/>
        <v>-1.4985124053154708</v>
      </c>
      <c r="S44" s="26">
        <f t="shared" si="8"/>
        <v>0.18264749810030065</v>
      </c>
      <c r="T44" s="26">
        <f t="shared" si="9"/>
        <v>0.86122387776265907</v>
      </c>
      <c r="U44" s="26">
        <f t="shared" si="10"/>
        <v>0.70291629404598233</v>
      </c>
      <c r="V44" s="26">
        <f t="shared" si="11"/>
        <v>-0.20168995271832252</v>
      </c>
      <c r="W44" s="26">
        <f t="shared" si="12"/>
        <v>0.44974774670648615</v>
      </c>
      <c r="X44" s="26">
        <f t="shared" si="13"/>
        <v>0.15138877112729468</v>
      </c>
      <c r="Y44" s="26">
        <f t="shared" si="14"/>
        <v>-8.6960152889227094E-2</v>
      </c>
      <c r="Z44" s="26">
        <f t="shared" si="15"/>
        <v>0.47827365139656175</v>
      </c>
      <c r="AA44" s="26">
        <f t="shared" si="16"/>
        <v>-0.1427328127283416</v>
      </c>
      <c r="AB44" s="26">
        <f t="shared" si="17"/>
        <v>0.46437725378877159</v>
      </c>
      <c r="AC44" s="26">
        <f t="shared" si="18"/>
        <v>0.19936440283363643</v>
      </c>
      <c r="AD44" s="26">
        <f t="shared" si="19"/>
        <v>0.54967667150233823</v>
      </c>
      <c r="AE44" s="26">
        <f t="shared" si="20"/>
        <v>0.10139555009460649</v>
      </c>
      <c r="AF44" s="26">
        <f t="shared" si="21"/>
        <v>-1.0690795112474534</v>
      </c>
      <c r="AG44" s="26">
        <f t="shared" si="22"/>
        <v>0.25557817508974134</v>
      </c>
      <c r="AH44" s="26">
        <f t="shared" si="23"/>
        <v>0.32658185915146376</v>
      </c>
      <c r="AI44" s="26">
        <f t="shared" si="24"/>
        <v>0.5809274588372948</v>
      </c>
      <c r="AJ44" s="26">
        <f t="shared" si="25"/>
        <v>-6.2801589231270286E-2</v>
      </c>
      <c r="AK44" s="26">
        <f t="shared" si="26"/>
        <v>0.48430476090684454</v>
      </c>
      <c r="AL44" s="26">
        <f t="shared" si="27"/>
        <v>0.11727555071851793</v>
      </c>
      <c r="AM44" s="27">
        <f t="shared" si="28"/>
        <v>0.49847444594722118</v>
      </c>
      <c r="AO44">
        <v>321</v>
      </c>
      <c r="AP44" s="28">
        <f>AM332</f>
        <v>0.3748282300727202</v>
      </c>
    </row>
    <row r="45" spans="1:42" ht="15" customHeight="1" x14ac:dyDescent="0.2">
      <c r="A45" s="24">
        <v>34</v>
      </c>
      <c r="B45" s="29">
        <f t="shared" si="29"/>
        <v>0.4334957413417716</v>
      </c>
      <c r="C45" s="29">
        <f t="shared" si="30"/>
        <v>-0.98439035618893955</v>
      </c>
      <c r="D45" s="29">
        <f t="shared" si="31"/>
        <v>-0.52021462507295935</v>
      </c>
      <c r="E45" s="29">
        <f t="shared" si="32"/>
        <v>-0.53355309702465181</v>
      </c>
      <c r="F45" s="29">
        <f t="shared" si="33"/>
        <v>0.46995407094554187</v>
      </c>
      <c r="G45" s="29">
        <f t="shared" si="34"/>
        <v>0.39429269532135364</v>
      </c>
      <c r="H45" s="29">
        <f t="shared" si="35"/>
        <v>0.84605091352741324</v>
      </c>
      <c r="I45" s="29">
        <f t="shared" si="36"/>
        <v>-0.63106015620886091</v>
      </c>
      <c r="J45" s="29">
        <f t="shared" si="37"/>
        <v>8.8506931778464262E-2</v>
      </c>
      <c r="K45" s="26">
        <f t="shared" si="0"/>
        <v>-0.52021462507295935</v>
      </c>
      <c r="L45" s="26">
        <f t="shared" si="1"/>
        <v>0.37280204853619914</v>
      </c>
      <c r="M45" s="26">
        <f t="shared" si="2"/>
        <v>0.39429269532135364</v>
      </c>
      <c r="N45" s="26">
        <f t="shared" si="3"/>
        <v>0.59731564978658669</v>
      </c>
      <c r="O45" s="26">
        <f t="shared" si="4"/>
        <v>2.6974338247085908E-2</v>
      </c>
      <c r="P45" s="26">
        <f t="shared" si="5"/>
        <v>0.50674317569712379</v>
      </c>
      <c r="Q45" s="26">
        <f t="shared" si="6"/>
        <v>0.12839432305780304</v>
      </c>
      <c r="R45" s="26">
        <f t="shared" si="7"/>
        <v>-1.5046049812618989</v>
      </c>
      <c r="S45" s="26">
        <f t="shared" si="8"/>
        <v>0.18173971135017644</v>
      </c>
      <c r="T45" s="26">
        <f t="shared" si="9"/>
        <v>0.86424676626689556</v>
      </c>
      <c r="U45" s="26">
        <f t="shared" si="10"/>
        <v>0.70354716122008298</v>
      </c>
      <c r="V45" s="26">
        <f t="shared" si="11"/>
        <v>-0.20171260086935677</v>
      </c>
      <c r="W45" s="26">
        <f t="shared" si="12"/>
        <v>0.44974214186823258</v>
      </c>
      <c r="X45" s="26">
        <f t="shared" si="13"/>
        <v>0.15139185521788015</v>
      </c>
      <c r="Y45" s="26">
        <f t="shared" si="14"/>
        <v>-8.6718883731187746E-2</v>
      </c>
      <c r="Z45" s="26">
        <f t="shared" si="15"/>
        <v>0.47833385511406151</v>
      </c>
      <c r="AA45" s="26">
        <f t="shared" si="16"/>
        <v>-0.13926040170329818</v>
      </c>
      <c r="AB45" s="26">
        <f t="shared" si="17"/>
        <v>0.46524105610637023</v>
      </c>
      <c r="AC45" s="26">
        <f t="shared" si="18"/>
        <v>0.19960663332754391</v>
      </c>
      <c r="AD45" s="26">
        <f t="shared" si="19"/>
        <v>0.54973663063446576</v>
      </c>
      <c r="AE45" s="26">
        <f t="shared" si="20"/>
        <v>0.10136855089620175</v>
      </c>
      <c r="AF45" s="26">
        <f t="shared" si="21"/>
        <v>-1.0711092399201272</v>
      </c>
      <c r="AG45" s="26">
        <f t="shared" si="22"/>
        <v>0.25519219465103132</v>
      </c>
      <c r="AH45" s="26">
        <f t="shared" si="23"/>
        <v>0.33069366924224369</v>
      </c>
      <c r="AI45" s="26">
        <f t="shared" si="24"/>
        <v>0.58192814767553169</v>
      </c>
      <c r="AJ45" s="26">
        <f t="shared" si="25"/>
        <v>-6.2819146586419336E-2</v>
      </c>
      <c r="AK45" s="26">
        <f t="shared" si="26"/>
        <v>0.48430037589435393</v>
      </c>
      <c r="AL45" s="26">
        <f t="shared" si="27"/>
        <v>0.11727342704570626</v>
      </c>
      <c r="AM45" s="27">
        <f t="shared" si="28"/>
        <v>0.49842815621759123</v>
      </c>
      <c r="AO45">
        <v>331</v>
      </c>
      <c r="AP45" s="28">
        <f>AM342</f>
        <v>0.37164738442525425</v>
      </c>
    </row>
    <row r="46" spans="1:42" ht="15" customHeight="1" x14ac:dyDescent="0.2">
      <c r="A46" s="24">
        <v>35</v>
      </c>
      <c r="B46" s="29">
        <f t="shared" si="29"/>
        <v>0.43757432813569347</v>
      </c>
      <c r="C46" s="29">
        <f t="shared" si="30"/>
        <v>-0.98670800562011229</v>
      </c>
      <c r="D46" s="29">
        <f t="shared" si="31"/>
        <v>-0.52405997693618245</v>
      </c>
      <c r="E46" s="29">
        <f t="shared" si="32"/>
        <v>-0.53248111433694134</v>
      </c>
      <c r="F46" s="29">
        <f t="shared" si="33"/>
        <v>0.47060110410518374</v>
      </c>
      <c r="G46" s="29">
        <f t="shared" si="34"/>
        <v>0.39666744560056955</v>
      </c>
      <c r="H46" s="29">
        <f t="shared" si="35"/>
        <v>0.84602342497092575</v>
      </c>
      <c r="I46" s="29">
        <f t="shared" si="36"/>
        <v>-0.62944804021166212</v>
      </c>
      <c r="J46" s="29">
        <f t="shared" si="37"/>
        <v>8.851506088648424E-2</v>
      </c>
      <c r="K46" s="26">
        <f t="shared" si="0"/>
        <v>-0.52405997693618245</v>
      </c>
      <c r="L46" s="26">
        <f t="shared" si="1"/>
        <v>0.37190336641587407</v>
      </c>
      <c r="M46" s="26">
        <f t="shared" si="2"/>
        <v>0.39666744560056955</v>
      </c>
      <c r="N46" s="26">
        <f t="shared" si="3"/>
        <v>0.59788671543220429</v>
      </c>
      <c r="O46" s="26">
        <f t="shared" si="4"/>
        <v>2.681539940247045E-2</v>
      </c>
      <c r="P46" s="26">
        <f t="shared" si="5"/>
        <v>0.50670344817049129</v>
      </c>
      <c r="Q46" s="26">
        <f t="shared" si="6"/>
        <v>0.12837419219393287</v>
      </c>
      <c r="R46" s="26">
        <f t="shared" si="7"/>
        <v>-1.5107679825562947</v>
      </c>
      <c r="S46" s="26">
        <f t="shared" si="8"/>
        <v>0.18082500606578544</v>
      </c>
      <c r="T46" s="26">
        <f t="shared" si="9"/>
        <v>0.86726854970575329</v>
      </c>
      <c r="U46" s="26">
        <f t="shared" si="10"/>
        <v>0.70417702232850632</v>
      </c>
      <c r="V46" s="26">
        <f t="shared" si="11"/>
        <v>-0.20174559482811366</v>
      </c>
      <c r="W46" s="26">
        <f t="shared" si="12"/>
        <v>0.4497339767299503</v>
      </c>
      <c r="X46" s="26">
        <f t="shared" si="13"/>
        <v>0.15139634818271744</v>
      </c>
      <c r="Y46" s="26">
        <f t="shared" si="14"/>
        <v>-8.6485648800488979E-2</v>
      </c>
      <c r="Z46" s="26">
        <f t="shared" si="15"/>
        <v>0.47839205465500328</v>
      </c>
      <c r="AA46" s="26">
        <f t="shared" si="16"/>
        <v>-0.1358136687363718</v>
      </c>
      <c r="AB46" s="26">
        <f t="shared" si="17"/>
        <v>0.46609867695790702</v>
      </c>
      <c r="AC46" s="26">
        <f t="shared" si="18"/>
        <v>0.19986104668818527</v>
      </c>
      <c r="AD46" s="26">
        <f t="shared" si="19"/>
        <v>0.54979960382686477</v>
      </c>
      <c r="AE46" s="26">
        <f t="shared" si="20"/>
        <v>0.10134019835722395</v>
      </c>
      <c r="AF46" s="26">
        <f t="shared" si="21"/>
        <v>-1.0731936544206013</v>
      </c>
      <c r="AG46" s="26">
        <f t="shared" si="22"/>
        <v>0.25479621398752966</v>
      </c>
      <c r="AH46" s="26">
        <f t="shared" si="23"/>
        <v>0.33478743536881195</v>
      </c>
      <c r="AI46" s="26">
        <f t="shared" si="24"/>
        <v>0.58292377562386444</v>
      </c>
      <c r="AJ46" s="26">
        <f t="shared" si="25"/>
        <v>-6.2841601645385173E-2</v>
      </c>
      <c r="AK46" s="26">
        <f t="shared" si="26"/>
        <v>0.48429476766627222</v>
      </c>
      <c r="AL46" s="26">
        <f t="shared" si="27"/>
        <v>0.11727071099446429</v>
      </c>
      <c r="AM46" s="27">
        <f t="shared" si="28"/>
        <v>0.49838144972833853</v>
      </c>
      <c r="AO46">
        <v>341</v>
      </c>
      <c r="AP46" s="28">
        <f>AM352</f>
        <v>0.36873608530005086</v>
      </c>
    </row>
    <row r="47" spans="1:42" ht="15" customHeight="1" x14ac:dyDescent="0.2">
      <c r="A47" s="24">
        <v>36</v>
      </c>
      <c r="B47" s="29">
        <f t="shared" si="29"/>
        <v>0.44166922804488706</v>
      </c>
      <c r="C47" s="29">
        <f t="shared" si="30"/>
        <v>-0.98907246169599239</v>
      </c>
      <c r="D47" s="29">
        <f t="shared" si="31"/>
        <v>-0.52792924034011057</v>
      </c>
      <c r="E47" s="29">
        <f t="shared" si="32"/>
        <v>-0.53142584105122459</v>
      </c>
      <c r="F47" s="29">
        <f t="shared" si="33"/>
        <v>0.47125556741798802</v>
      </c>
      <c r="G47" s="29">
        <f t="shared" si="34"/>
        <v>0.39903361579979185</v>
      </c>
      <c r="H47" s="29">
        <f t="shared" si="35"/>
        <v>0.84603503670092128</v>
      </c>
      <c r="I47" s="29">
        <f t="shared" si="36"/>
        <v>-0.62784816353037265</v>
      </c>
      <c r="J47" s="29">
        <f t="shared" si="37"/>
        <v>8.851749493975615E-2</v>
      </c>
      <c r="K47" s="26">
        <f t="shared" si="0"/>
        <v>-0.52792924034011057</v>
      </c>
      <c r="L47" s="26">
        <f t="shared" si="1"/>
        <v>0.37099998920782179</v>
      </c>
      <c r="M47" s="26">
        <f t="shared" si="2"/>
        <v>0.39903361579979185</v>
      </c>
      <c r="N47" s="26">
        <f t="shared" si="3"/>
        <v>0.5984554537963469</v>
      </c>
      <c r="O47" s="26">
        <f t="shared" si="4"/>
        <v>2.6657326804464879E-2</v>
      </c>
      <c r="P47" s="26">
        <f t="shared" si="5"/>
        <v>0.50666393708238955</v>
      </c>
      <c r="Q47" s="26">
        <f t="shared" si="6"/>
        <v>0.1283541725699138</v>
      </c>
      <c r="R47" s="26">
        <f t="shared" si="7"/>
        <v>-1.5170017020361031</v>
      </c>
      <c r="S47" s="26">
        <f t="shared" si="8"/>
        <v>0.17990345842443525</v>
      </c>
      <c r="T47" s="26">
        <f t="shared" si="9"/>
        <v>0.87028918321777993</v>
      </c>
      <c r="U47" s="26">
        <f t="shared" si="10"/>
        <v>0.70480586744746132</v>
      </c>
      <c r="V47" s="26">
        <f t="shared" si="11"/>
        <v>-0.20178894553182392</v>
      </c>
      <c r="W47" s="26">
        <f t="shared" si="12"/>
        <v>0.44972324861045843</v>
      </c>
      <c r="X47" s="26">
        <f t="shared" si="13"/>
        <v>0.15140225155991366</v>
      </c>
      <c r="Y47" s="26">
        <f t="shared" si="14"/>
        <v>-8.6260012295223509E-2</v>
      </c>
      <c r="Z47" s="26">
        <f t="shared" si="15"/>
        <v>0.47844835870516422</v>
      </c>
      <c r="AA47" s="26">
        <f t="shared" si="16"/>
        <v>-0.13239222525143274</v>
      </c>
      <c r="AB47" s="26">
        <f t="shared" si="17"/>
        <v>0.46695020350428174</v>
      </c>
      <c r="AC47" s="26">
        <f t="shared" si="18"/>
        <v>0.20012774192607824</v>
      </c>
      <c r="AD47" s="26">
        <f t="shared" si="19"/>
        <v>0.54986561535489242</v>
      </c>
      <c r="AE47" s="26">
        <f t="shared" si="20"/>
        <v>0.10131048211991484</v>
      </c>
      <c r="AF47" s="26">
        <f t="shared" si="21"/>
        <v>-1.075332473991216</v>
      </c>
      <c r="AG47" s="26">
        <f t="shared" si="22"/>
        <v>0.2543903184258679</v>
      </c>
      <c r="AH47" s="26">
        <f t="shared" si="23"/>
        <v>0.33886334216655528</v>
      </c>
      <c r="AI47" s="26">
        <f t="shared" si="24"/>
        <v>0.58391438876280044</v>
      </c>
      <c r="AJ47" s="26">
        <f t="shared" si="25"/>
        <v>-6.2868959318139975E-2</v>
      </c>
      <c r="AK47" s="26">
        <f t="shared" si="26"/>
        <v>0.48428793499890793</v>
      </c>
      <c r="AL47" s="26">
        <f t="shared" si="27"/>
        <v>0.11726740199275323</v>
      </c>
      <c r="AM47" s="27">
        <f t="shared" si="28"/>
        <v>0.49833430824249558</v>
      </c>
      <c r="AO47">
        <v>351</v>
      </c>
      <c r="AP47" s="28">
        <f>AM362</f>
        <v>0.36602899044276666</v>
      </c>
    </row>
    <row r="48" spans="1:42" ht="15" customHeight="1" x14ac:dyDescent="0.2">
      <c r="A48" s="24">
        <v>37</v>
      </c>
      <c r="B48" s="29">
        <f t="shared" si="29"/>
        <v>0.44578101549717042</v>
      </c>
      <c r="C48" s="29">
        <f t="shared" si="30"/>
        <v>-0.99148388831329481</v>
      </c>
      <c r="D48" s="29">
        <f t="shared" si="31"/>
        <v>-0.53182255668850775</v>
      </c>
      <c r="E48" s="29">
        <f t="shared" si="32"/>
        <v>-0.53038704947214887</v>
      </c>
      <c r="F48" s="29">
        <f t="shared" si="33"/>
        <v>0.47191725987893973</v>
      </c>
      <c r="G48" s="29">
        <f t="shared" si="34"/>
        <v>0.40139136270972869</v>
      </c>
      <c r="H48" s="29">
        <f t="shared" si="35"/>
        <v>0.84608610184452437</v>
      </c>
      <c r="I48" s="29">
        <f t="shared" si="36"/>
        <v>-0.62626036801811191</v>
      </c>
      <c r="J48" s="29">
        <f t="shared" si="37"/>
        <v>8.8514108574846637E-2</v>
      </c>
      <c r="K48" s="26">
        <f t="shared" si="0"/>
        <v>-0.53182255668850775</v>
      </c>
      <c r="L48" s="26">
        <f t="shared" si="1"/>
        <v>0.37009190602971404</v>
      </c>
      <c r="M48" s="26">
        <f t="shared" si="2"/>
        <v>0.40139136270972869</v>
      </c>
      <c r="N48" s="26">
        <f t="shared" si="3"/>
        <v>0.59902190400562749</v>
      </c>
      <c r="O48" s="26">
        <f t="shared" si="4"/>
        <v>2.6500048618263036E-2</v>
      </c>
      <c r="P48" s="26">
        <f t="shared" si="5"/>
        <v>0.50662462447913559</v>
      </c>
      <c r="Q48" s="26">
        <f t="shared" si="6"/>
        <v>0.12833425506431256</v>
      </c>
      <c r="R48" s="26">
        <f t="shared" si="7"/>
        <v>-1.5233064450018026</v>
      </c>
      <c r="S48" s="26">
        <f t="shared" si="8"/>
        <v>0.17897514450002133</v>
      </c>
      <c r="T48" s="26">
        <f t="shared" si="9"/>
        <v>0.87330862258866837</v>
      </c>
      <c r="U48" s="26">
        <f t="shared" si="10"/>
        <v>0.705433686847318</v>
      </c>
      <c r="V48" s="26">
        <f t="shared" si="11"/>
        <v>-0.20184266942544471</v>
      </c>
      <c r="W48" s="26">
        <f t="shared" si="12"/>
        <v>0.44970995347363252</v>
      </c>
      <c r="X48" s="26">
        <f t="shared" si="13"/>
        <v>0.15140956765299585</v>
      </c>
      <c r="Y48" s="26">
        <f t="shared" si="14"/>
        <v>-8.6041541191337334E-2</v>
      </c>
      <c r="Z48" s="26">
        <f t="shared" si="15"/>
        <v>0.47850287526362317</v>
      </c>
      <c r="AA48" s="26">
        <f t="shared" si="16"/>
        <v>-0.12899568676242018</v>
      </c>
      <c r="AB48" s="26">
        <f t="shared" si="17"/>
        <v>0.4677957222255068</v>
      </c>
      <c r="AC48" s="26">
        <f t="shared" si="18"/>
        <v>0.20040681986979797</v>
      </c>
      <c r="AD48" s="26">
        <f t="shared" si="19"/>
        <v>0.54993468992958483</v>
      </c>
      <c r="AE48" s="26">
        <f t="shared" si="20"/>
        <v>0.10127939166438947</v>
      </c>
      <c r="AF48" s="26">
        <f t="shared" si="21"/>
        <v>-1.0775254295046321</v>
      </c>
      <c r="AG48" s="26">
        <f t="shared" si="22"/>
        <v>0.25397459173121156</v>
      </c>
      <c r="AH48" s="26">
        <f t="shared" si="23"/>
        <v>0.34292157311651955</v>
      </c>
      <c r="AI48" s="26">
        <f t="shared" si="24"/>
        <v>0.5849000329533145</v>
      </c>
      <c r="AJ48" s="26">
        <f t="shared" si="25"/>
        <v>-6.2901229030886505E-2</v>
      </c>
      <c r="AK48" s="26">
        <f t="shared" si="26"/>
        <v>0.48427987554119967</v>
      </c>
      <c r="AL48" s="26">
        <f t="shared" si="27"/>
        <v>0.11726349892709992</v>
      </c>
      <c r="AM48" s="27">
        <f t="shared" si="28"/>
        <v>0.49828671330879781</v>
      </c>
      <c r="AO48">
        <v>361</v>
      </c>
      <c r="AP48" s="28">
        <f>AM372</f>
        <v>0.36345932122743424</v>
      </c>
    </row>
    <row r="49" spans="1:42" ht="15" customHeight="1" x14ac:dyDescent="0.2">
      <c r="A49" s="24">
        <v>38</v>
      </c>
      <c r="B49" s="29">
        <f t="shared" si="29"/>
        <v>0.44991026604433854</v>
      </c>
      <c r="C49" s="29">
        <f t="shared" si="30"/>
        <v>-0.99394245815256665</v>
      </c>
      <c r="D49" s="29">
        <f t="shared" si="31"/>
        <v>-0.53574007086465758</v>
      </c>
      <c r="E49" s="29">
        <f t="shared" si="32"/>
        <v>-0.5293645136750047</v>
      </c>
      <c r="F49" s="29">
        <f t="shared" si="33"/>
        <v>0.47258598327266854</v>
      </c>
      <c r="G49" s="29">
        <f t="shared" si="34"/>
        <v>0.40374084081126071</v>
      </c>
      <c r="H49" s="29">
        <f t="shared" si="35"/>
        <v>0.84617698350608739</v>
      </c>
      <c r="I49" s="29">
        <f t="shared" si="36"/>
        <v>-0.62468449806798521</v>
      </c>
      <c r="J49" s="29">
        <f t="shared" si="37"/>
        <v>8.8504774435247874E-2</v>
      </c>
      <c r="K49" s="26">
        <f t="shared" si="0"/>
        <v>-0.53574007086465758</v>
      </c>
      <c r="L49" s="26">
        <f t="shared" si="1"/>
        <v>0.36917910560397887</v>
      </c>
      <c r="M49" s="26">
        <f t="shared" si="2"/>
        <v>0.40374084081126071</v>
      </c>
      <c r="N49" s="26">
        <f t="shared" si="3"/>
        <v>0.59958610458465622</v>
      </c>
      <c r="O49" s="26">
        <f t="shared" si="4"/>
        <v>2.634349159769353E-2</v>
      </c>
      <c r="P49" s="26">
        <f t="shared" si="5"/>
        <v>0.5065854920540942</v>
      </c>
      <c r="Q49" s="26">
        <f t="shared" si="6"/>
        <v>0.12831443037984436</v>
      </c>
      <c r="R49" s="26">
        <f t="shared" si="7"/>
        <v>-1.5296825290172242</v>
      </c>
      <c r="S49" s="26">
        <f t="shared" si="8"/>
        <v>0.17804014032814935</v>
      </c>
      <c r="T49" s="26">
        <f t="shared" si="9"/>
        <v>0.87632682408392926</v>
      </c>
      <c r="U49" s="26">
        <f t="shared" si="10"/>
        <v>0.70606047095716684</v>
      </c>
      <c r="V49" s="26">
        <f t="shared" si="11"/>
        <v>-0.20190678758440125</v>
      </c>
      <c r="W49" s="26">
        <f t="shared" si="12"/>
        <v>0.44969408614557943</v>
      </c>
      <c r="X49" s="26">
        <f t="shared" si="13"/>
        <v>0.1514182994115745</v>
      </c>
      <c r="Y49" s="26">
        <f t="shared" si="14"/>
        <v>-8.5829804820319044E-2</v>
      </c>
      <c r="Z49" s="26">
        <f t="shared" si="15"/>
        <v>0.47855571174771655</v>
      </c>
      <c r="AA49" s="26">
        <f t="shared" si="16"/>
        <v>-0.12562367286374398</v>
      </c>
      <c r="AB49" s="26">
        <f t="shared" si="17"/>
        <v>0.46863531891127208</v>
      </c>
      <c r="AC49" s="26">
        <f t="shared" si="18"/>
        <v>0.20069838407052112</v>
      </c>
      <c r="AD49" s="26">
        <f t="shared" si="19"/>
        <v>0.55000685292108364</v>
      </c>
      <c r="AE49" s="26">
        <f t="shared" si="20"/>
        <v>0.10124691620899362</v>
      </c>
      <c r="AF49" s="26">
        <f t="shared" si="21"/>
        <v>-1.0797722629728856</v>
      </c>
      <c r="AG49" s="26">
        <f t="shared" si="22"/>
        <v>0.25354911619969034</v>
      </c>
      <c r="AH49" s="26">
        <f t="shared" si="23"/>
        <v>0.34696231040892456</v>
      </c>
      <c r="AI49" s="26">
        <f t="shared" si="24"/>
        <v>0.58588075379974991</v>
      </c>
      <c r="AJ49" s="26">
        <f t="shared" si="25"/>
        <v>-6.2938423863353299E-2</v>
      </c>
      <c r="AK49" s="26">
        <f t="shared" si="26"/>
        <v>0.48427058603018874</v>
      </c>
      <c r="AL49" s="26">
        <f t="shared" si="27"/>
        <v>0.11725900024701122</v>
      </c>
      <c r="AM49" s="27">
        <f t="shared" si="28"/>
        <v>0.49823864624742364</v>
      </c>
      <c r="AO49">
        <v>371</v>
      </c>
      <c r="AP49" s="28">
        <f>AM382</f>
        <v>0.36095552748338866</v>
      </c>
    </row>
    <row r="50" spans="1:42" ht="15" customHeight="1" x14ac:dyDescent="0.2">
      <c r="A50" s="24">
        <v>39</v>
      </c>
      <c r="B50" s="29">
        <f t="shared" si="29"/>
        <v>0.45405755662740505</v>
      </c>
      <c r="C50" s="29">
        <f t="shared" si="30"/>
        <v>-0.99644835262858444</v>
      </c>
      <c r="D50" s="29">
        <f t="shared" si="31"/>
        <v>-0.53968193114011542</v>
      </c>
      <c r="E50" s="29">
        <f t="shared" si="32"/>
        <v>-0.52835800945712441</v>
      </c>
      <c r="F50" s="29">
        <f t="shared" si="33"/>
        <v>0.47326154204338922</v>
      </c>
      <c r="G50" s="29">
        <f t="shared" si="34"/>
        <v>0.40608220228413366</v>
      </c>
      <c r="H50" s="29">
        <f t="shared" si="35"/>
        <v>0.84630805489387761</v>
      </c>
      <c r="I50" s="29">
        <f t="shared" si="36"/>
        <v>-0.62312040032594962</v>
      </c>
      <c r="J50" s="29">
        <f t="shared" si="37"/>
        <v>8.8489363481991531E-2</v>
      </c>
      <c r="K50" s="26">
        <f t="shared" si="0"/>
        <v>-0.53968193114011542</v>
      </c>
      <c r="L50" s="26">
        <f t="shared" si="1"/>
        <v>0.36826157628878636</v>
      </c>
      <c r="M50" s="26">
        <f t="shared" si="2"/>
        <v>0.40608220228413366</v>
      </c>
      <c r="N50" s="26">
        <f t="shared" si="3"/>
        <v>0.60014809345877207</v>
      </c>
      <c r="O50" s="26">
        <f t="shared" si="4"/>
        <v>2.6187581552222158E-2</v>
      </c>
      <c r="P50" s="26">
        <f t="shared" si="5"/>
        <v>0.50654652126440913</v>
      </c>
      <c r="Q50" s="26">
        <f t="shared" si="6"/>
        <v>0.12829468910253725</v>
      </c>
      <c r="R50" s="26">
        <f t="shared" si="7"/>
        <v>-1.5361302837686999</v>
      </c>
      <c r="S50" s="26">
        <f t="shared" si="8"/>
        <v>0.17709852196238243</v>
      </c>
      <c r="T50" s="26">
        <f t="shared" si="9"/>
        <v>0.87934374432752294</v>
      </c>
      <c r="U50" s="26">
        <f t="shared" si="10"/>
        <v>0.70668621033915424</v>
      </c>
      <c r="V50" s="26">
        <f t="shared" si="11"/>
        <v>-0.20198132516280598</v>
      </c>
      <c r="W50" s="26">
        <f t="shared" si="12"/>
        <v>0.44967564045128156</v>
      </c>
      <c r="X50" s="26">
        <f t="shared" si="13"/>
        <v>0.15142845035635355</v>
      </c>
      <c r="Y50" s="26">
        <f t="shared" si="14"/>
        <v>-8.5624374512710377E-2</v>
      </c>
      <c r="Z50" s="26">
        <f t="shared" si="15"/>
        <v>0.47860697508160166</v>
      </c>
      <c r="AA50" s="26">
        <f t="shared" si="16"/>
        <v>-0.12227580717299075</v>
      </c>
      <c r="AB50" s="26">
        <f t="shared" si="17"/>
        <v>0.46946907866376647</v>
      </c>
      <c r="AC50" s="26">
        <f t="shared" si="18"/>
        <v>0.2010025413843235</v>
      </c>
      <c r="AD50" s="26">
        <f t="shared" si="19"/>
        <v>0.5500821305022503</v>
      </c>
      <c r="AE50" s="26">
        <f t="shared" si="20"/>
        <v>0.10121304464669706</v>
      </c>
      <c r="AF50" s="26">
        <f t="shared" si="21"/>
        <v>-1.0820727271412949</v>
      </c>
      <c r="AG50" s="26">
        <f t="shared" si="22"/>
        <v>0.2531139727350678</v>
      </c>
      <c r="AH50" s="26">
        <f t="shared" si="23"/>
        <v>0.35098573487039847</v>
      </c>
      <c r="AI50" s="26">
        <f t="shared" si="24"/>
        <v>0.58685659662842804</v>
      </c>
      <c r="AJ50" s="26">
        <f t="shared" si="25"/>
        <v>-6.2980560011161688E-2</v>
      </c>
      <c r="AK50" s="26">
        <f t="shared" si="26"/>
        <v>0.48426006242530545</v>
      </c>
      <c r="AL50" s="26">
        <f t="shared" si="27"/>
        <v>0.11725390403008036</v>
      </c>
      <c r="AM50" s="27">
        <f t="shared" si="28"/>
        <v>0.49819008813566823</v>
      </c>
      <c r="AO50">
        <v>381</v>
      </c>
      <c r="AP50" s="28">
        <f>AM392</f>
        <v>0.35843598786267294</v>
      </c>
    </row>
    <row r="51" spans="1:42" ht="15" customHeight="1" x14ac:dyDescent="0.2">
      <c r="A51" s="24">
        <v>40</v>
      </c>
      <c r="B51" s="29">
        <f t="shared" si="29"/>
        <v>0.45822346582470241</v>
      </c>
      <c r="C51" s="29">
        <f t="shared" si="30"/>
        <v>-0.99900176185382505</v>
      </c>
      <c r="D51" s="29">
        <f t="shared" si="31"/>
        <v>-0.54364828910815943</v>
      </c>
      <c r="E51" s="29">
        <f t="shared" si="32"/>
        <v>-0.52736731427865802</v>
      </c>
      <c r="F51" s="29">
        <f t="shared" si="33"/>
        <v>0.47394374317552934</v>
      </c>
      <c r="G51" s="29">
        <f t="shared" si="34"/>
        <v>0.40841559703368041</v>
      </c>
      <c r="H51" s="29">
        <f t="shared" si="35"/>
        <v>0.84647969940415746</v>
      </c>
      <c r="I51" s="29">
        <f t="shared" si="36"/>
        <v>-0.62156792348044254</v>
      </c>
      <c r="J51" s="29">
        <f t="shared" si="37"/>
        <v>8.8467745171195336E-2</v>
      </c>
      <c r="K51" s="26">
        <f t="shared" si="0"/>
        <v>-0.54364828910815943</v>
      </c>
      <c r="L51" s="26">
        <f t="shared" si="1"/>
        <v>0.36733930610334886</v>
      </c>
      <c r="M51" s="26">
        <f t="shared" si="2"/>
        <v>0.40841559703368041</v>
      </c>
      <c r="N51" s="26">
        <f t="shared" si="3"/>
        <v>0.60070790796111306</v>
      </c>
      <c r="O51" s="26">
        <f t="shared" si="4"/>
        <v>2.6032243611220043E-2</v>
      </c>
      <c r="P51" s="26">
        <f t="shared" si="5"/>
        <v>0.50650769339706059</v>
      </c>
      <c r="Q51" s="26">
        <f t="shared" si="6"/>
        <v>0.12827502173520536</v>
      </c>
      <c r="R51" s="26">
        <f t="shared" si="7"/>
        <v>-1.5426500509619845</v>
      </c>
      <c r="S51" s="26">
        <f t="shared" si="8"/>
        <v>0.17615036552487484</v>
      </c>
      <c r="T51" s="26">
        <f t="shared" si="9"/>
        <v>0.88235934020920981</v>
      </c>
      <c r="U51" s="26">
        <f t="shared" si="10"/>
        <v>0.70731089566894445</v>
      </c>
      <c r="V51" s="26">
        <f t="shared" si="11"/>
        <v>-0.20206631104541389</v>
      </c>
      <c r="W51" s="26">
        <f t="shared" si="12"/>
        <v>0.44965460930083556</v>
      </c>
      <c r="X51" s="26">
        <f t="shared" si="13"/>
        <v>0.15144002453190797</v>
      </c>
      <c r="Y51" s="26">
        <f t="shared" si="14"/>
        <v>-8.5424823283457019E-2</v>
      </c>
      <c r="Z51" s="26">
        <f t="shared" si="15"/>
        <v>0.47865677177441418</v>
      </c>
      <c r="AA51" s="26">
        <f t="shared" si="16"/>
        <v>-0.11895171724497761</v>
      </c>
      <c r="AB51" s="26">
        <f t="shared" si="17"/>
        <v>0.47029708590801383</v>
      </c>
      <c r="AC51" s="26">
        <f t="shared" si="18"/>
        <v>0.2013194023538184</v>
      </c>
      <c r="AD51" s="26">
        <f t="shared" si="19"/>
        <v>0.55016054974257123</v>
      </c>
      <c r="AE51" s="26">
        <f t="shared" si="20"/>
        <v>0.10117776550395287</v>
      </c>
      <c r="AF51" s="26">
        <f t="shared" si="21"/>
        <v>-1.0844265851372821</v>
      </c>
      <c r="AG51" s="26">
        <f t="shared" si="22"/>
        <v>0.25266924091537313</v>
      </c>
      <c r="AH51" s="26">
        <f t="shared" si="23"/>
        <v>0.35499202593055174</v>
      </c>
      <c r="AI51" s="26">
        <f t="shared" si="24"/>
        <v>0.58782760647598997</v>
      </c>
      <c r="AJ51" s="26">
        <f t="shared" si="25"/>
        <v>-6.3027656451842815E-2</v>
      </c>
      <c r="AK51" s="26">
        <f t="shared" si="26"/>
        <v>0.48424829999179431</v>
      </c>
      <c r="AL51" s="26">
        <f t="shared" si="27"/>
        <v>0.11724820802247141</v>
      </c>
      <c r="AM51" s="27">
        <f t="shared" si="28"/>
        <v>0.49814101979353753</v>
      </c>
      <c r="AO51">
        <v>391</v>
      </c>
      <c r="AP51" s="28">
        <f>AM402</f>
        <v>0.35580049637826383</v>
      </c>
    </row>
    <row r="52" spans="1:42" ht="15" customHeight="1" x14ac:dyDescent="0.2">
      <c r="A52" s="24">
        <v>41</v>
      </c>
      <c r="B52" s="29">
        <f t="shared" si="29"/>
        <v>0.46240857408840852</v>
      </c>
      <c r="C52" s="29">
        <f t="shared" si="30"/>
        <v>-1.001602884611233</v>
      </c>
      <c r="D52" s="29">
        <f t="shared" si="31"/>
        <v>-0.54763929963248448</v>
      </c>
      <c r="E52" s="29">
        <f t="shared" si="32"/>
        <v>-0.52639220719715119</v>
      </c>
      <c r="F52" s="29">
        <f t="shared" si="33"/>
        <v>0.47463239608169755</v>
      </c>
      <c r="G52" s="29">
        <f t="shared" si="34"/>
        <v>0.41074117272817512</v>
      </c>
      <c r="H52" s="29">
        <f t="shared" si="35"/>
        <v>0.84669231067953588</v>
      </c>
      <c r="I52" s="29">
        <f t="shared" si="36"/>
        <v>-0.62002691810049837</v>
      </c>
      <c r="J52" s="29">
        <f t="shared" si="37"/>
        <v>8.8439787548454635E-2</v>
      </c>
      <c r="K52" s="26">
        <f t="shared" si="0"/>
        <v>-0.54763929963248448</v>
      </c>
      <c r="L52" s="26">
        <f t="shared" si="1"/>
        <v>0.36641228274977206</v>
      </c>
      <c r="M52" s="26">
        <f t="shared" si="2"/>
        <v>0.41074117272817512</v>
      </c>
      <c r="N52" s="26">
        <f t="shared" si="3"/>
        <v>0.60126558484223747</v>
      </c>
      <c r="O52" s="26">
        <f t="shared" si="4"/>
        <v>2.587740236159633E-2</v>
      </c>
      <c r="P52" s="26">
        <f t="shared" si="5"/>
        <v>0.50646898960327014</v>
      </c>
      <c r="Q52" s="26">
        <f t="shared" si="6"/>
        <v>0.12825541871487867</v>
      </c>
      <c r="R52" s="26">
        <f t="shared" si="7"/>
        <v>-1.5492421842437176</v>
      </c>
      <c r="S52" s="26">
        <f t="shared" si="8"/>
        <v>0.1751957472534279</v>
      </c>
      <c r="T52" s="26">
        <f t="shared" si="9"/>
        <v>0.88537356880987272</v>
      </c>
      <c r="U52" s="26">
        <f t="shared" si="10"/>
        <v>0.70793451772003435</v>
      </c>
      <c r="V52" s="26">
        <f t="shared" si="11"/>
        <v>-0.20216177762722806</v>
      </c>
      <c r="W52" s="26">
        <f t="shared" si="12"/>
        <v>0.44963098474411689</v>
      </c>
      <c r="X52" s="26">
        <f t="shared" si="13"/>
        <v>0.15145302647686526</v>
      </c>
      <c r="Y52" s="26">
        <f t="shared" si="14"/>
        <v>-8.5230725544075958E-2</v>
      </c>
      <c r="Z52" s="26">
        <f t="shared" si="15"/>
        <v>0.47870520799176131</v>
      </c>
      <c r="AA52" s="26">
        <f t="shared" si="16"/>
        <v>-0.11565103446897607</v>
      </c>
      <c r="AB52" s="26">
        <f t="shared" si="17"/>
        <v>0.47111942440677862</v>
      </c>
      <c r="AC52" s="26">
        <f t="shared" si="18"/>
        <v>0.20164908146511115</v>
      </c>
      <c r="AD52" s="26">
        <f t="shared" si="19"/>
        <v>0.55024213867116289</v>
      </c>
      <c r="AE52" s="26">
        <f t="shared" si="20"/>
        <v>0.10114106691354473</v>
      </c>
      <c r="AF52" s="26">
        <f t="shared" si="21"/>
        <v>-1.0868336101553089</v>
      </c>
      <c r="AG52" s="26">
        <f t="shared" si="22"/>
        <v>0.2522149990530711</v>
      </c>
      <c r="AH52" s="26">
        <f t="shared" si="23"/>
        <v>0.35898136161272148</v>
      </c>
      <c r="AI52" s="26">
        <f t="shared" si="24"/>
        <v>0.58879382808374503</v>
      </c>
      <c r="AJ52" s="26">
        <f t="shared" si="25"/>
        <v>-6.3079734738622717E-2</v>
      </c>
      <c r="AK52" s="26">
        <f t="shared" si="26"/>
        <v>0.48423529335223081</v>
      </c>
      <c r="AL52" s="26">
        <f t="shared" si="27"/>
        <v>0.11724190966396052</v>
      </c>
      <c r="AM52" s="27">
        <f t="shared" si="28"/>
        <v>0.4980914217692492</v>
      </c>
      <c r="AO52">
        <v>401</v>
      </c>
      <c r="AP52" s="28">
        <f>AM412</f>
        <v>0.35291611265328765</v>
      </c>
    </row>
    <row r="53" spans="1:42" ht="15" customHeight="1" x14ac:dyDescent="0.2">
      <c r="A53" s="24">
        <v>42</v>
      </c>
      <c r="B53" s="29">
        <f t="shared" si="29"/>
        <v>0.46661346397299858</v>
      </c>
      <c r="C53" s="29">
        <f t="shared" si="30"/>
        <v>-1.0042519283338707</v>
      </c>
      <c r="D53" s="29">
        <f t="shared" si="31"/>
        <v>-0.55165512080521062</v>
      </c>
      <c r="E53" s="29">
        <f t="shared" si="32"/>
        <v>-0.52543246879865968</v>
      </c>
      <c r="F53" s="29">
        <f t="shared" si="33"/>
        <v>0.47532731249588445</v>
      </c>
      <c r="G53" s="29">
        <f t="shared" si="34"/>
        <v>0.41305907484223264</v>
      </c>
      <c r="H53" s="29">
        <f t="shared" si="35"/>
        <v>0.84694629265206167</v>
      </c>
      <c r="I53" s="29">
        <f t="shared" si="36"/>
        <v>-0.61849723650464605</v>
      </c>
      <c r="J53" s="29">
        <f t="shared" si="37"/>
        <v>8.8405357291245032E-2</v>
      </c>
      <c r="K53" s="26">
        <f t="shared" si="0"/>
        <v>-0.55165512080521062</v>
      </c>
      <c r="L53" s="26">
        <f t="shared" si="1"/>
        <v>0.36548049363285479</v>
      </c>
      <c r="M53" s="26">
        <f t="shared" si="2"/>
        <v>0.41305907484223264</v>
      </c>
      <c r="N53" s="26">
        <f t="shared" si="3"/>
        <v>0.60182116028118604</v>
      </c>
      <c r="O53" s="26">
        <f t="shared" si="4"/>
        <v>2.5722981906303607E-2</v>
      </c>
      <c r="P53" s="26">
        <f t="shared" si="5"/>
        <v>0.50643039091312614</v>
      </c>
      <c r="Q53" s="26">
        <f t="shared" si="6"/>
        <v>0.12823587042021087</v>
      </c>
      <c r="R53" s="26">
        <f t="shared" si="7"/>
        <v>-1.5559070491390812</v>
      </c>
      <c r="S53" s="26">
        <f t="shared" si="8"/>
        <v>0.17423474354624074</v>
      </c>
      <c r="T53" s="26">
        <f t="shared" si="9"/>
        <v>0.88838638733811703</v>
      </c>
      <c r="U53" s="26">
        <f t="shared" si="10"/>
        <v>0.70855706735050583</v>
      </c>
      <c r="V53" s="26">
        <f t="shared" si="11"/>
        <v>-0.2022677606732079</v>
      </c>
      <c r="W53" s="26">
        <f t="shared" si="12"/>
        <v>0.44960475800563471</v>
      </c>
      <c r="X53" s="26">
        <f t="shared" si="13"/>
        <v>0.15146746120501797</v>
      </c>
      <c r="Y53" s="26">
        <f t="shared" si="14"/>
        <v>-8.5041656832212043E-2</v>
      </c>
      <c r="Z53" s="26">
        <f t="shared" si="15"/>
        <v>0.47875238962290617</v>
      </c>
      <c r="AA53" s="26">
        <f t="shared" si="16"/>
        <v>-0.11237339395642704</v>
      </c>
      <c r="AB53" s="26">
        <f t="shared" si="17"/>
        <v>0.4719361772782063</v>
      </c>
      <c r="AC53" s="26">
        <f t="shared" si="18"/>
        <v>0.20199169732754346</v>
      </c>
      <c r="AD53" s="26">
        <f t="shared" si="19"/>
        <v>0.55032692632062885</v>
      </c>
      <c r="AE53" s="26">
        <f t="shared" si="20"/>
        <v>0.10110293659612658</v>
      </c>
      <c r="AF53" s="26">
        <f t="shared" si="21"/>
        <v>-1.0892935851660828</v>
      </c>
      <c r="AG53" s="26">
        <f t="shared" si="22"/>
        <v>0.25175132425101393</v>
      </c>
      <c r="AH53" s="26">
        <f t="shared" si="23"/>
        <v>0.36295391853945741</v>
      </c>
      <c r="AI53" s="26">
        <f t="shared" si="24"/>
        <v>0.58975530589571701</v>
      </c>
      <c r="AJ53" s="26">
        <f t="shared" si="25"/>
        <v>-6.3136818874564835E-2</v>
      </c>
      <c r="AK53" s="26">
        <f t="shared" si="26"/>
        <v>0.48422103651796966</v>
      </c>
      <c r="AL53" s="26">
        <f t="shared" si="27"/>
        <v>0.11723500610326845</v>
      </c>
      <c r="AM53" s="27">
        <f t="shared" si="28"/>
        <v>0.49804127432462386</v>
      </c>
      <c r="AO53">
        <v>411</v>
      </c>
      <c r="AP53" s="28">
        <f>AM422</f>
        <v>0.3495929429943791</v>
      </c>
    </row>
    <row r="54" spans="1:42" ht="15" customHeight="1" x14ac:dyDescent="0.2">
      <c r="A54" s="24">
        <v>43</v>
      </c>
      <c r="B54" s="29">
        <f t="shared" si="29"/>
        <v>0.47083872035782565</v>
      </c>
      <c r="C54" s="29">
        <f t="shared" si="30"/>
        <v>-1.006949109089883</v>
      </c>
      <c r="D54" s="29">
        <f t="shared" si="31"/>
        <v>-0.55569591391047524</v>
      </c>
      <c r="E54" s="29">
        <f t="shared" si="32"/>
        <v>-0.52448788112708289</v>
      </c>
      <c r="F54" s="29">
        <f t="shared" si="33"/>
        <v>0.47602830637055965</v>
      </c>
      <c r="G54" s="29">
        <f t="shared" si="34"/>
        <v>0.41536944670341408</v>
      </c>
      <c r="H54" s="29">
        <f t="shared" si="35"/>
        <v>0.84724205957752974</v>
      </c>
      <c r="I54" s="29">
        <f t="shared" si="36"/>
        <v>-0.61697873264949077</v>
      </c>
      <c r="J54" s="29">
        <f t="shared" si="37"/>
        <v>8.8364319718792897E-2</v>
      </c>
      <c r="K54" s="26">
        <f t="shared" si="0"/>
        <v>-0.55569591391047524</v>
      </c>
      <c r="L54" s="26">
        <f t="shared" si="1"/>
        <v>0.36454392587872053</v>
      </c>
      <c r="M54" s="26">
        <f t="shared" si="2"/>
        <v>0.41536944670341408</v>
      </c>
      <c r="N54" s="26">
        <f t="shared" si="3"/>
        <v>0.60237466989730049</v>
      </c>
      <c r="O54" s="26">
        <f t="shared" si="4"/>
        <v>2.556890587336659E-2</v>
      </c>
      <c r="P54" s="26">
        <f t="shared" si="5"/>
        <v>0.50639187823784371</v>
      </c>
      <c r="Q54" s="26">
        <f t="shared" si="6"/>
        <v>0.12821636717262555</v>
      </c>
      <c r="R54" s="26">
        <f t="shared" si="7"/>
        <v>-1.5626450230003583</v>
      </c>
      <c r="S54" s="26">
        <f t="shared" si="8"/>
        <v>0.17326743100515213</v>
      </c>
      <c r="T54" s="26">
        <f t="shared" si="9"/>
        <v>0.89139775307397373</v>
      </c>
      <c r="U54" s="26">
        <f t="shared" si="10"/>
        <v>0.70917853549133647</v>
      </c>
      <c r="V54" s="26">
        <f t="shared" si="11"/>
        <v>-0.20238429922836115</v>
      </c>
      <c r="W54" s="26">
        <f t="shared" si="12"/>
        <v>0.44957591950693337</v>
      </c>
      <c r="X54" s="26">
        <f t="shared" si="13"/>
        <v>0.15148333419331897</v>
      </c>
      <c r="Y54" s="26">
        <f t="shared" si="14"/>
        <v>-8.485719355264959E-2</v>
      </c>
      <c r="Z54" s="26">
        <f t="shared" si="15"/>
        <v>0.47879842234512032</v>
      </c>
      <c r="AA54" s="26">
        <f t="shared" si="16"/>
        <v>-0.10911843442366881</v>
      </c>
      <c r="AB54" s="26">
        <f t="shared" si="17"/>
        <v>0.47274742701506406</v>
      </c>
      <c r="AC54" s="26">
        <f t="shared" si="18"/>
        <v>0.20234737280588266</v>
      </c>
      <c r="AD54" s="26">
        <f t="shared" si="19"/>
        <v>0.55041494275910852</v>
      </c>
      <c r="AE54" s="26">
        <f t="shared" si="20"/>
        <v>0.10106336184714784</v>
      </c>
      <c r="AF54" s="26">
        <f t="shared" si="21"/>
        <v>-1.0918063026425324</v>
      </c>
      <c r="AG54" s="26">
        <f t="shared" si="22"/>
        <v>0.25127829245558397</v>
      </c>
      <c r="AH54" s="26">
        <f t="shared" si="23"/>
        <v>0.36690987194689084</v>
      </c>
      <c r="AI54" s="26">
        <f t="shared" si="24"/>
        <v>0.59071208405894848</v>
      </c>
      <c r="AJ54" s="26">
        <f t="shared" si="25"/>
        <v>-6.3198935237442758E-2</v>
      </c>
      <c r="AK54" s="26">
        <f t="shared" si="26"/>
        <v>0.48420552290792485</v>
      </c>
      <c r="AL54" s="26">
        <f t="shared" si="27"/>
        <v>0.11722749420726847</v>
      </c>
      <c r="AM54" s="27">
        <f t="shared" si="28"/>
        <v>0.49799055742036086</v>
      </c>
      <c r="AO54">
        <v>421</v>
      </c>
      <c r="AP54" s="28">
        <f>AM432</f>
        <v>0.34554238264633813</v>
      </c>
    </row>
    <row r="55" spans="1:42" ht="15" customHeight="1" x14ac:dyDescent="0.2">
      <c r="A55" s="24">
        <v>44</v>
      </c>
      <c r="B55" s="29">
        <f t="shared" si="29"/>
        <v>0.47508493066522151</v>
      </c>
      <c r="C55" s="29">
        <f t="shared" si="30"/>
        <v>-1.0096946515717422</v>
      </c>
      <c r="D55" s="29">
        <f t="shared" si="31"/>
        <v>-0.55976184339124968</v>
      </c>
      <c r="E55" s="29">
        <f t="shared" si="32"/>
        <v>-0.52355822761274406</v>
      </c>
      <c r="F55" s="29">
        <f t="shared" si="33"/>
        <v>0.47673519377681128</v>
      </c>
      <c r="G55" s="29">
        <f t="shared" si="34"/>
        <v>0.41767242954028944</v>
      </c>
      <c r="H55" s="29">
        <f t="shared" si="35"/>
        <v>0.84758003606497523</v>
      </c>
      <c r="I55" s="29">
        <f t="shared" si="36"/>
        <v>-0.61547126203102398</v>
      </c>
      <c r="J55" s="29">
        <f t="shared" si="37"/>
        <v>8.8316538781551698E-2</v>
      </c>
      <c r="K55" s="26">
        <f t="shared" si="0"/>
        <v>-0.55976184339124968</v>
      </c>
      <c r="L55" s="26">
        <f t="shared" si="1"/>
        <v>0.36360256635283217</v>
      </c>
      <c r="M55" s="26">
        <f t="shared" si="2"/>
        <v>0.41767242954028944</v>
      </c>
      <c r="N55" s="26">
        <f t="shared" si="3"/>
        <v>0.60292614876237738</v>
      </c>
      <c r="O55" s="26">
        <f t="shared" si="4"/>
        <v>2.5415097393917438E-2</v>
      </c>
      <c r="P55" s="26">
        <f t="shared" si="5"/>
        <v>0.50635343236427577</v>
      </c>
      <c r="Q55" s="26">
        <f t="shared" si="6"/>
        <v>0.12819689923354161</v>
      </c>
      <c r="R55" s="26">
        <f t="shared" si="7"/>
        <v>-1.5694564949629919</v>
      </c>
      <c r="S55" s="26">
        <f t="shared" si="8"/>
        <v>0.17229388647787602</v>
      </c>
      <c r="T55" s="26">
        <f t="shared" si="9"/>
        <v>0.89440762331710078</v>
      </c>
      <c r="U55" s="26">
        <f t="shared" si="10"/>
        <v>0.7097989131357183</v>
      </c>
      <c r="V55" s="26">
        <f t="shared" si="11"/>
        <v>-0.20251143555964507</v>
      </c>
      <c r="W55" s="26">
        <f t="shared" si="12"/>
        <v>0.44954445888113714</v>
      </c>
      <c r="X55" s="26">
        <f t="shared" si="13"/>
        <v>0.15150065137423005</v>
      </c>
      <c r="Y55" s="26">
        <f t="shared" si="14"/>
        <v>-8.4676912726028175E-2</v>
      </c>
      <c r="Z55" s="26">
        <f t="shared" si="15"/>
        <v>0.47884341168613925</v>
      </c>
      <c r="AA55" s="26">
        <f t="shared" si="16"/>
        <v>-0.10588579807245463</v>
      </c>
      <c r="AB55" s="26">
        <f t="shared" si="17"/>
        <v>0.4735532555048752</v>
      </c>
      <c r="AC55" s="26">
        <f t="shared" si="18"/>
        <v>0.20271623512347992</v>
      </c>
      <c r="AD55" s="26">
        <f t="shared" si="19"/>
        <v>0.55050621911510345</v>
      </c>
      <c r="AE55" s="26">
        <f t="shared" si="20"/>
        <v>0.10102232952709969</v>
      </c>
      <c r="AF55" s="26">
        <f t="shared" si="21"/>
        <v>-1.0943715642977705</v>
      </c>
      <c r="AG55" s="26">
        <f t="shared" si="22"/>
        <v>0.25079597850791374</v>
      </c>
      <c r="AH55" s="26">
        <f t="shared" si="23"/>
        <v>0.37084939570435665</v>
      </c>
      <c r="AI55" s="26">
        <f t="shared" si="24"/>
        <v>0.59166420642517503</v>
      </c>
      <c r="AJ55" s="26">
        <f t="shared" si="25"/>
        <v>-6.3266112536846761E-2</v>
      </c>
      <c r="AK55" s="26">
        <f t="shared" si="26"/>
        <v>0.48418874535930057</v>
      </c>
      <c r="AL55" s="26">
        <f t="shared" si="27"/>
        <v>0.1172193705663068</v>
      </c>
      <c r="AM55" s="27">
        <f t="shared" si="28"/>
        <v>0.49793925070117817</v>
      </c>
      <c r="AO55">
        <v>431</v>
      </c>
      <c r="AP55" s="28">
        <f>AM442</f>
        <v>0.34030795879183667</v>
      </c>
    </row>
    <row r="56" spans="1:42" ht="15" customHeight="1" x14ac:dyDescent="0.2">
      <c r="A56" s="24">
        <v>45</v>
      </c>
      <c r="B56" s="29">
        <f t="shared" si="29"/>
        <v>0.47935268507499895</v>
      </c>
      <c r="C56" s="29">
        <f t="shared" si="30"/>
        <v>-1.0124887890890653</v>
      </c>
      <c r="D56" s="29">
        <f t="shared" si="31"/>
        <v>-0.56385307681787733</v>
      </c>
      <c r="E56" s="29">
        <f t="shared" si="32"/>
        <v>-0.52264329300083723</v>
      </c>
      <c r="F56" s="29">
        <f t="shared" si="33"/>
        <v>0.47744779280697353</v>
      </c>
      <c r="G56" s="29">
        <f t="shared" si="34"/>
        <v>0.41996816253088481</v>
      </c>
      <c r="H56" s="29">
        <f t="shared" si="35"/>
        <v>0.84796065710377222</v>
      </c>
      <c r="I56" s="29">
        <f t="shared" si="36"/>
        <v>-0.61397468159429214</v>
      </c>
      <c r="J56" s="29">
        <f t="shared" si="37"/>
        <v>8.8261877037854458E-2</v>
      </c>
      <c r="K56" s="26">
        <f t="shared" si="0"/>
        <v>-0.56385307681787733</v>
      </c>
      <c r="L56" s="26">
        <f t="shared" si="1"/>
        <v>0.36265640167774732</v>
      </c>
      <c r="M56" s="26">
        <f t="shared" si="2"/>
        <v>0.41996816253088481</v>
      </c>
      <c r="N56" s="26">
        <f t="shared" si="3"/>
        <v>0.60347563141289617</v>
      </c>
      <c r="O56" s="26">
        <f t="shared" si="4"/>
        <v>2.526147906075929E-2</v>
      </c>
      <c r="P56" s="26">
        <f t="shared" si="5"/>
        <v>0.50631503394455823</v>
      </c>
      <c r="Q56" s="26">
        <f t="shared" si="6"/>
        <v>0.12817745679913958</v>
      </c>
      <c r="R56" s="26">
        <f t="shared" si="7"/>
        <v>-1.5763418659069426</v>
      </c>
      <c r="S56" s="26">
        <f t="shared" si="8"/>
        <v>0.17131418709954491</v>
      </c>
      <c r="T56" s="26">
        <f t="shared" si="9"/>
        <v>0.89741595533785834</v>
      </c>
      <c r="U56" s="26">
        <f t="shared" si="10"/>
        <v>0.71041819132904338</v>
      </c>
      <c r="V56" s="26">
        <f t="shared" si="11"/>
        <v>-0.20264921511805914</v>
      </c>
      <c r="W56" s="26">
        <f t="shared" si="12"/>
        <v>0.44951036498251268</v>
      </c>
      <c r="X56" s="26">
        <f t="shared" si="13"/>
        <v>0.15151941913084316</v>
      </c>
      <c r="Y56" s="26">
        <f t="shared" si="14"/>
        <v>-8.4500391742878378E-2</v>
      </c>
      <c r="Z56" s="26">
        <f t="shared" si="15"/>
        <v>0.47888746308531677</v>
      </c>
      <c r="AA56" s="26">
        <f t="shared" si="16"/>
        <v>-0.10267513046995241</v>
      </c>
      <c r="AB56" s="26">
        <f t="shared" si="17"/>
        <v>0.47435374405051689</v>
      </c>
      <c r="AC56" s="26">
        <f t="shared" si="18"/>
        <v>0.20309841594796171</v>
      </c>
      <c r="AD56" s="26">
        <f t="shared" si="19"/>
        <v>0.55060078759794207</v>
      </c>
      <c r="AE56" s="26">
        <f t="shared" si="20"/>
        <v>0.10097982605379499</v>
      </c>
      <c r="AF56" s="26">
        <f t="shared" si="21"/>
        <v>-1.0969891808319436</v>
      </c>
      <c r="AG56" s="26">
        <f t="shared" si="22"/>
        <v>0.2503044561937493</v>
      </c>
      <c r="AH56" s="26">
        <f t="shared" si="23"/>
        <v>0.37477266233702111</v>
      </c>
      <c r="AI56" s="26">
        <f t="shared" si="24"/>
        <v>0.59261171655331524</v>
      </c>
      <c r="AJ56" s="26">
        <f t="shared" si="25"/>
        <v>-6.3338381791960136E-2</v>
      </c>
      <c r="AK56" s="26">
        <f t="shared" si="26"/>
        <v>0.48417069613316266</v>
      </c>
      <c r="AL56" s="26">
        <f t="shared" si="27"/>
        <v>0.11721063149703567</v>
      </c>
      <c r="AM56" s="27">
        <f t="shared" si="28"/>
        <v>0.49788733348081338</v>
      </c>
      <c r="AO56">
        <v>441</v>
      </c>
      <c r="AP56" s="28">
        <f>AM452</f>
        <v>0.33316710698763435</v>
      </c>
    </row>
    <row r="57" spans="1:42" ht="15" customHeight="1" x14ac:dyDescent="0.2">
      <c r="A57" s="24">
        <v>46</v>
      </c>
      <c r="B57" s="29">
        <f t="shared" si="29"/>
        <v>0.48364257673591676</v>
      </c>
      <c r="C57" s="29">
        <f t="shared" si="30"/>
        <v>-1.0153317635645023</v>
      </c>
      <c r="D57" s="29">
        <f t="shared" si="31"/>
        <v>-0.5679697848573616</v>
      </c>
      <c r="E57" s="29">
        <f t="shared" si="32"/>
        <v>-0.52174286328010855</v>
      </c>
      <c r="F57" s="29">
        <f t="shared" si="33"/>
        <v>0.47816592347937598</v>
      </c>
      <c r="G57" s="29">
        <f t="shared" si="34"/>
        <v>0.42225678285086249</v>
      </c>
      <c r="H57" s="29">
        <f t="shared" si="35"/>
        <v>0.84838436808978335</v>
      </c>
      <c r="I57" s="29">
        <f t="shared" si="36"/>
        <v>-0.61248884964867656</v>
      </c>
      <c r="J57" s="29">
        <f t="shared" si="37"/>
        <v>8.8200195622458358E-2</v>
      </c>
      <c r="K57" s="26">
        <f t="shared" si="0"/>
        <v>-0.5679697848573616</v>
      </c>
      <c r="L57" s="26">
        <f t="shared" si="1"/>
        <v>0.36170541825083857</v>
      </c>
      <c r="M57" s="26">
        <f t="shared" si="2"/>
        <v>0.42225678285086249</v>
      </c>
      <c r="N57" s="26">
        <f t="shared" si="3"/>
        <v>0.60402315186216826</v>
      </c>
      <c r="O57" s="26">
        <f t="shared" si="4"/>
        <v>2.5107972874619536E-2</v>
      </c>
      <c r="P57" s="26">
        <f t="shared" si="5"/>
        <v>0.50627666348267597</v>
      </c>
      <c r="Q57" s="26">
        <f t="shared" si="6"/>
        <v>0.12815802999357537</v>
      </c>
      <c r="R57" s="26">
        <f t="shared" si="7"/>
        <v>-1.583301548421864</v>
      </c>
      <c r="S57" s="26">
        <f t="shared" si="8"/>
        <v>0.17032841033376478</v>
      </c>
      <c r="T57" s="26">
        <f t="shared" si="9"/>
        <v>0.90042270633023846</v>
      </c>
      <c r="U57" s="26">
        <f t="shared" si="10"/>
        <v>0.71103636115934155</v>
      </c>
      <c r="V57" s="26">
        <f t="shared" si="11"/>
        <v>-0.20279768651365931</v>
      </c>
      <c r="W57" s="26">
        <f t="shared" si="12"/>
        <v>0.4494736258928495</v>
      </c>
      <c r="X57" s="26">
        <f t="shared" si="13"/>
        <v>0.15153964429378308</v>
      </c>
      <c r="Y57" s="26">
        <f t="shared" si="14"/>
        <v>-8.4327208121444841E-2</v>
      </c>
      <c r="Z57" s="26">
        <f t="shared" si="15"/>
        <v>0.47893068195385879</v>
      </c>
      <c r="AA57" s="26">
        <f t="shared" si="16"/>
        <v>-9.948608042924606E-2</v>
      </c>
      <c r="AB57" s="26">
        <f t="shared" si="17"/>
        <v>0.4751489733910102</v>
      </c>
      <c r="AC57" s="26">
        <f t="shared" si="18"/>
        <v>0.20349405146668237</v>
      </c>
      <c r="AD57" s="26">
        <f t="shared" si="19"/>
        <v>0.55069868151566992</v>
      </c>
      <c r="AE57" s="26">
        <f t="shared" si="20"/>
        <v>0.10093583739587871</v>
      </c>
      <c r="AF57" s="26">
        <f t="shared" si="21"/>
        <v>-1.0996589716859471</v>
      </c>
      <c r="AG57" s="26">
        <f t="shared" si="22"/>
        <v>0.24980379829231669</v>
      </c>
      <c r="AH57" s="26">
        <f t="shared" si="23"/>
        <v>0.37867984305012992</v>
      </c>
      <c r="AI57" s="26">
        <f t="shared" si="24"/>
        <v>0.59355465771243765</v>
      </c>
      <c r="AJ57" s="26">
        <f t="shared" si="25"/>
        <v>-6.3415776322791759E-2</v>
      </c>
      <c r="AK57" s="26">
        <f t="shared" si="26"/>
        <v>0.48415136691664934</v>
      </c>
      <c r="AL57" s="26">
        <f t="shared" si="27"/>
        <v>0.11720127304363001</v>
      </c>
      <c r="AM57" s="27">
        <f t="shared" si="28"/>
        <v>0.49783478472686715</v>
      </c>
      <c r="AO57">
        <v>451</v>
      </c>
      <c r="AP57" s="28">
        <f>AM462</f>
        <v>0.32305056523982151</v>
      </c>
    </row>
    <row r="58" spans="1:42" ht="15" customHeight="1" x14ac:dyDescent="0.2">
      <c r="A58" s="24">
        <v>47</v>
      </c>
      <c r="B58" s="29">
        <f t="shared" si="29"/>
        <v>0.48795520197446296</v>
      </c>
      <c r="C58" s="29">
        <f t="shared" si="30"/>
        <v>-1.0182238255323199</v>
      </c>
      <c r="D58" s="29">
        <f t="shared" si="31"/>
        <v>-0.57211214124276544</v>
      </c>
      <c r="E58" s="29">
        <f t="shared" si="32"/>
        <v>-0.52085672561198126</v>
      </c>
      <c r="F58" s="29">
        <f t="shared" si="33"/>
        <v>0.47888940764496618</v>
      </c>
      <c r="G58" s="29">
        <f t="shared" si="34"/>
        <v>0.42453842572104389</v>
      </c>
      <c r="H58" s="29">
        <f t="shared" si="35"/>
        <v>0.84885162485139654</v>
      </c>
      <c r="I58" s="29">
        <f t="shared" si="36"/>
        <v>-0.61101362578705043</v>
      </c>
      <c r="J58" s="29">
        <f t="shared" si="37"/>
        <v>8.8131354209917134E-2</v>
      </c>
      <c r="K58" s="26">
        <f t="shared" si="0"/>
        <v>-0.57211214124276544</v>
      </c>
      <c r="L58" s="26">
        <f t="shared" si="1"/>
        <v>0.36074960226212976</v>
      </c>
      <c r="M58" s="26">
        <f t="shared" si="2"/>
        <v>0.42453842572104389</v>
      </c>
      <c r="N58" s="26">
        <f t="shared" si="3"/>
        <v>0.60456874361230994</v>
      </c>
      <c r="O58" s="26">
        <f t="shared" si="4"/>
        <v>2.4954500182541806E-2</v>
      </c>
      <c r="P58" s="26">
        <f t="shared" si="5"/>
        <v>0.50623830131906533</v>
      </c>
      <c r="Q58" s="26">
        <f t="shared" si="6"/>
        <v>0.1281386088612064</v>
      </c>
      <c r="R58" s="26">
        <f t="shared" si="7"/>
        <v>-1.5903359667750854</v>
      </c>
      <c r="S58" s="26">
        <f t="shared" si="8"/>
        <v>0.16933663401330912</v>
      </c>
      <c r="T58" s="26">
        <f t="shared" si="9"/>
        <v>0.90342783336601007</v>
      </c>
      <c r="U58" s="26">
        <f t="shared" si="10"/>
        <v>0.71165341374803592</v>
      </c>
      <c r="V58" s="26">
        <f t="shared" si="11"/>
        <v>-0.20295690149893858</v>
      </c>
      <c r="W58" s="26">
        <f t="shared" si="12"/>
        <v>0.44943422892578549</v>
      </c>
      <c r="X58" s="26">
        <f t="shared" si="13"/>
        <v>0.15156133413927217</v>
      </c>
      <c r="Y58" s="26">
        <f t="shared" si="14"/>
        <v>-8.4156939268302478E-2</v>
      </c>
      <c r="Z58" s="26">
        <f t="shared" si="15"/>
        <v>0.47897317373438281</v>
      </c>
      <c r="AA58" s="26">
        <f t="shared" si="16"/>
        <v>-9.6318299890937376E-2</v>
      </c>
      <c r="AB58" s="26">
        <f t="shared" si="17"/>
        <v>0.47593902372234503</v>
      </c>
      <c r="AC58" s="26">
        <f t="shared" si="18"/>
        <v>0.20390328245643918</v>
      </c>
      <c r="AD58" s="26">
        <f t="shared" si="19"/>
        <v>0.55079993529148052</v>
      </c>
      <c r="AE58" s="26">
        <f t="shared" si="20"/>
        <v>0.10089034906706904</v>
      </c>
      <c r="AF58" s="26">
        <f t="shared" si="21"/>
        <v>-1.1023807648006225</v>
      </c>
      <c r="AG58" s="26">
        <f t="shared" si="22"/>
        <v>0.2492940766244274</v>
      </c>
      <c r="AH58" s="26">
        <f t="shared" si="23"/>
        <v>0.38257110775402881</v>
      </c>
      <c r="AI58" s="26">
        <f t="shared" si="24"/>
        <v>0.59449307288499353</v>
      </c>
      <c r="AJ58" s="26">
        <f t="shared" si="25"/>
        <v>-6.3498331750354242E-2</v>
      </c>
      <c r="AK58" s="26">
        <f t="shared" si="26"/>
        <v>0.48413074882295082</v>
      </c>
      <c r="AL58" s="26">
        <f t="shared" si="27"/>
        <v>0.11719129097793554</v>
      </c>
      <c r="AM58" s="27">
        <f t="shared" si="28"/>
        <v>0.49778158304548314</v>
      </c>
      <c r="AO58">
        <v>461</v>
      </c>
      <c r="AP58" s="28">
        <f>AM472</f>
        <v>0.3086302375074681</v>
      </c>
    </row>
    <row r="59" spans="1:42" ht="15" customHeight="1" x14ac:dyDescent="0.2">
      <c r="A59" s="24">
        <v>48</v>
      </c>
      <c r="B59" s="29">
        <f t="shared" si="29"/>
        <v>0.49229116050118177</v>
      </c>
      <c r="C59" s="29">
        <f t="shared" si="30"/>
        <v>-1.0211652341393846</v>
      </c>
      <c r="D59" s="29">
        <f t="shared" si="31"/>
        <v>-0.57628032274228846</v>
      </c>
      <c r="E59" s="29">
        <f t="shared" si="32"/>
        <v>-0.5199846682602377</v>
      </c>
      <c r="F59" s="29">
        <f t="shared" si="33"/>
        <v>0.47961806889563025</v>
      </c>
      <c r="G59" s="29">
        <f t="shared" si="34"/>
        <v>0.42681322445404812</v>
      </c>
      <c r="H59" s="29">
        <f t="shared" si="35"/>
        <v>0.84936289367590845</v>
      </c>
      <c r="I59" s="29">
        <f t="shared" si="36"/>
        <v>-0.60954887080771314</v>
      </c>
      <c r="J59" s="29">
        <f t="shared" si="37"/>
        <v>8.8055210974603532E-2</v>
      </c>
      <c r="K59" s="26">
        <f t="shared" si="0"/>
        <v>-0.57628032274228846</v>
      </c>
      <c r="L59" s="26">
        <f t="shared" si="1"/>
        <v>0.35978893971234688</v>
      </c>
      <c r="M59" s="26">
        <f t="shared" si="2"/>
        <v>0.42681322445404812</v>
      </c>
      <c r="N59" s="26">
        <f t="shared" si="3"/>
        <v>0.60511243966598649</v>
      </c>
      <c r="O59" s="26">
        <f t="shared" si="4"/>
        <v>2.4800981611166978E-2</v>
      </c>
      <c r="P59" s="26">
        <f t="shared" si="5"/>
        <v>0.50619992761393728</v>
      </c>
      <c r="Q59" s="26">
        <f t="shared" si="6"/>
        <v>0.12811918335817768</v>
      </c>
      <c r="R59" s="26">
        <f t="shared" si="7"/>
        <v>-1.5974455568816732</v>
      </c>
      <c r="S59" s="26">
        <f t="shared" si="8"/>
        <v>0.16833893638053701</v>
      </c>
      <c r="T59" s="26">
        <f t="shared" si="9"/>
        <v>0.90643129334967831</v>
      </c>
      <c r="U59" s="26">
        <f t="shared" si="10"/>
        <v>0.71226934024093203</v>
      </c>
      <c r="V59" s="26">
        <f t="shared" si="11"/>
        <v>-0.20312691495771387</v>
      </c>
      <c r="W59" s="26">
        <f t="shared" si="12"/>
        <v>0.44939216062978576</v>
      </c>
      <c r="X59" s="26">
        <f t="shared" si="13"/>
        <v>0.15158449638796787</v>
      </c>
      <c r="Y59" s="26">
        <f t="shared" si="14"/>
        <v>-8.3989162241106696E-2</v>
      </c>
      <c r="Z59" s="26">
        <f t="shared" si="15"/>
        <v>0.47901504395996958</v>
      </c>
      <c r="AA59" s="26">
        <f t="shared" si="16"/>
        <v>-9.317144380618958E-2</v>
      </c>
      <c r="AB59" s="26">
        <f t="shared" si="17"/>
        <v>0.47672397471824096</v>
      </c>
      <c r="AC59" s="26">
        <f t="shared" si="18"/>
        <v>0.20432625435026722</v>
      </c>
      <c r="AD59" s="26">
        <f t="shared" si="19"/>
        <v>0.55090458447937873</v>
      </c>
      <c r="AE59" s="26">
        <f t="shared" si="20"/>
        <v>0.10084334612081973</v>
      </c>
      <c r="AF59" s="26">
        <f t="shared" si="21"/>
        <v>-1.1051543963804913</v>
      </c>
      <c r="AG59" s="26">
        <f t="shared" si="22"/>
        <v>0.2487753620999788</v>
      </c>
      <c r="AH59" s="26">
        <f t="shared" si="23"/>
        <v>0.38644662508944067</v>
      </c>
      <c r="AI59" s="26">
        <f t="shared" si="24"/>
        <v>0.59542700477018851</v>
      </c>
      <c r="AJ59" s="26">
        <f t="shared" si="25"/>
        <v>-6.3586086002973774E-2</v>
      </c>
      <c r="AK59" s="26">
        <f t="shared" si="26"/>
        <v>0.48410883238975905</v>
      </c>
      <c r="AL59" s="26">
        <f t="shared" si="27"/>
        <v>0.11718068079888791</v>
      </c>
      <c r="AM59" s="27">
        <f t="shared" si="28"/>
        <v>0.4977277066658532</v>
      </c>
      <c r="AO59">
        <v>471</v>
      </c>
      <c r="AP59" s="28">
        <f>AM482</f>
        <v>0.28870967744476678</v>
      </c>
    </row>
    <row r="60" spans="1:42" ht="15" customHeight="1" x14ac:dyDescent="0.2">
      <c r="A60" s="24">
        <v>49</v>
      </c>
      <c r="B60" s="29">
        <f t="shared" si="29"/>
        <v>0.49665105561468526</v>
      </c>
      <c r="C60" s="29">
        <f t="shared" si="30"/>
        <v>-1.0241562571482961</v>
      </c>
      <c r="D60" s="29">
        <f t="shared" si="31"/>
        <v>-0.58047450912771792</v>
      </c>
      <c r="E60" s="29">
        <f t="shared" si="32"/>
        <v>-0.51912648052131183</v>
      </c>
      <c r="F60" s="29">
        <f t="shared" si="33"/>
        <v>0.48035173247408297</v>
      </c>
      <c r="G60" s="29">
        <f t="shared" si="34"/>
        <v>0.42908131049991743</v>
      </c>
      <c r="H60" s="29">
        <f t="shared" si="35"/>
        <v>0.84991865133647448</v>
      </c>
      <c r="I60" s="29">
        <f t="shared" si="36"/>
        <v>-0.60809444663839873</v>
      </c>
      <c r="J60" s="29">
        <f t="shared" si="37"/>
        <v>8.7971622548512721E-2</v>
      </c>
      <c r="K60" s="26">
        <f t="shared" si="0"/>
        <v>-0.58047450912771792</v>
      </c>
      <c r="L60" s="26">
        <f t="shared" si="1"/>
        <v>0.3588234164312547</v>
      </c>
      <c r="M60" s="26">
        <f t="shared" si="2"/>
        <v>0.42908131049991743</v>
      </c>
      <c r="N60" s="26">
        <f t="shared" si="3"/>
        <v>0.60565427253789694</v>
      </c>
      <c r="O60" s="26">
        <f t="shared" si="4"/>
        <v>2.4647336996596506E-2</v>
      </c>
      <c r="P60" s="26">
        <f t="shared" si="5"/>
        <v>0.50616152232974698</v>
      </c>
      <c r="Q60" s="26">
        <f t="shared" si="6"/>
        <v>0.12809974334358348</v>
      </c>
      <c r="R60" s="26">
        <f t="shared" si="7"/>
        <v>-1.604630766276014</v>
      </c>
      <c r="S60" s="26">
        <f t="shared" si="8"/>
        <v>0.16733539612759007</v>
      </c>
      <c r="T60" s="26">
        <f t="shared" si="9"/>
        <v>0.90943304297400041</v>
      </c>
      <c r="U60" s="26">
        <f t="shared" si="10"/>
        <v>0.71288413179938814</v>
      </c>
      <c r="V60" s="26">
        <f t="shared" si="11"/>
        <v>-0.20330778489771545</v>
      </c>
      <c r="W60" s="26">
        <f t="shared" si="12"/>
        <v>0.44934740679022162</v>
      </c>
      <c r="X60" s="26">
        <f t="shared" si="13"/>
        <v>0.15160913920432681</v>
      </c>
      <c r="Y60" s="26">
        <f t="shared" si="14"/>
        <v>-8.3823453513032664E-2</v>
      </c>
      <c r="Z60" s="26">
        <f t="shared" si="15"/>
        <v>0.47905639831281455</v>
      </c>
      <c r="AA60" s="26">
        <f t="shared" si="16"/>
        <v>-9.0045170021394394E-2</v>
      </c>
      <c r="AB60" s="26">
        <f t="shared" si="17"/>
        <v>0.47750390555078692</v>
      </c>
      <c r="AC60" s="26">
        <f t="shared" si="18"/>
        <v>0.20476311730306901</v>
      </c>
      <c r="AD60" s="26">
        <f t="shared" si="19"/>
        <v>0.55101266577951313</v>
      </c>
      <c r="AE60" s="26">
        <f t="shared" si="20"/>
        <v>0.10079481314520959</v>
      </c>
      <c r="AF60" s="26">
        <f t="shared" si="21"/>
        <v>-1.1079797106613287</v>
      </c>
      <c r="AG60" s="26">
        <f t="shared" si="22"/>
        <v>0.24824772476495388</v>
      </c>
      <c r="AH60" s="26">
        <f t="shared" si="23"/>
        <v>0.39030656245268858</v>
      </c>
      <c r="AI60" s="26">
        <f t="shared" si="24"/>
        <v>0.5963564957874139</v>
      </c>
      <c r="AJ60" s="26">
        <f t="shared" si="25"/>
        <v>-6.367907932697138E-2</v>
      </c>
      <c r="AK60" s="26">
        <f t="shared" si="26"/>
        <v>0.48408560757662783</v>
      </c>
      <c r="AL60" s="26">
        <f t="shared" si="27"/>
        <v>0.11716943773141646</v>
      </c>
      <c r="AM60" s="27">
        <f t="shared" si="28"/>
        <v>0.49767313342453634</v>
      </c>
      <c r="AO60">
        <v>481</v>
      </c>
      <c r="AP60" s="28">
        <f>AM492</f>
        <v>0.26275018544715784</v>
      </c>
    </row>
    <row r="61" spans="1:42" ht="15" customHeight="1" x14ac:dyDescent="0.2">
      <c r="A61" s="24">
        <v>50</v>
      </c>
      <c r="B61" s="29">
        <f t="shared" si="29"/>
        <v>0.50103549440343276</v>
      </c>
      <c r="C61" s="29">
        <f t="shared" si="30"/>
        <v>-1.0271971709424519</v>
      </c>
      <c r="D61" s="29">
        <f t="shared" si="31"/>
        <v>-0.58469488314202667</v>
      </c>
      <c r="E61" s="29">
        <f t="shared" si="32"/>
        <v>-0.51828195265520782</v>
      </c>
      <c r="F61" s="29">
        <f t="shared" si="33"/>
        <v>0.48109022518522943</v>
      </c>
      <c r="G61" s="29">
        <f t="shared" si="34"/>
        <v>0.43134281349066483</v>
      </c>
      <c r="H61" s="29">
        <f t="shared" si="35"/>
        <v>0.85051938511969671</v>
      </c>
      <c r="I61" s="29">
        <f t="shared" si="36"/>
        <v>-0.60665021626190696</v>
      </c>
      <c r="J61" s="29">
        <f t="shared" si="37"/>
        <v>8.7880443977541828E-2</v>
      </c>
      <c r="K61" s="26">
        <f t="shared" si="0"/>
        <v>-0.58469488314202667</v>
      </c>
      <c r="L61" s="26">
        <f t="shared" si="1"/>
        <v>0.35785301809632802</v>
      </c>
      <c r="M61" s="26">
        <f t="shared" si="2"/>
        <v>0.43134281349066483</v>
      </c>
      <c r="N61" s="26">
        <f t="shared" si="3"/>
        <v>0.60619427426598393</v>
      </c>
      <c r="O61" s="26">
        <f t="shared" si="4"/>
        <v>2.4493485311869539E-2</v>
      </c>
      <c r="P61" s="26">
        <f t="shared" si="5"/>
        <v>0.5061230652130656</v>
      </c>
      <c r="Q61" s="26">
        <f t="shared" si="6"/>
        <v>0.12808027857033452</v>
      </c>
      <c r="R61" s="26">
        <f t="shared" si="7"/>
        <v>-1.6118920540844786</v>
      </c>
      <c r="S61" s="26">
        <f t="shared" si="8"/>
        <v>0.16632609243640537</v>
      </c>
      <c r="T61" s="26">
        <f t="shared" si="9"/>
        <v>0.91243303867589431</v>
      </c>
      <c r="U61" s="26">
        <f t="shared" si="10"/>
        <v>0.71349777959162886</v>
      </c>
      <c r="V61" s="26">
        <f t="shared" si="11"/>
        <v>-0.20349957244573694</v>
      </c>
      <c r="W61" s="26">
        <f t="shared" si="12"/>
        <v>0.44929995243083209</v>
      </c>
      <c r="X61" s="26">
        <f t="shared" si="13"/>
        <v>0.1516352711963419</v>
      </c>
      <c r="Y61" s="26">
        <f t="shared" si="14"/>
        <v>-8.3659388738593909E-2</v>
      </c>
      <c r="Z61" s="26">
        <f t="shared" si="15"/>
        <v>0.47909734268255927</v>
      </c>
      <c r="AA61" s="26">
        <f t="shared" si="16"/>
        <v>-8.6939139164542989E-2</v>
      </c>
      <c r="AB61" s="26">
        <f t="shared" si="17"/>
        <v>0.47827889491092923</v>
      </c>
      <c r="AC61" s="26">
        <f t="shared" si="18"/>
        <v>0.20521402625717169</v>
      </c>
      <c r="AD61" s="26">
        <f t="shared" si="19"/>
        <v>0.55112421705344317</v>
      </c>
      <c r="AE61" s="26">
        <f t="shared" si="20"/>
        <v>0.1007447342579422</v>
      </c>
      <c r="AF61" s="26">
        <f t="shared" si="21"/>
        <v>-1.1108565596810458</v>
      </c>
      <c r="AG61" s="26">
        <f t="shared" si="22"/>
        <v>0.24771123384799842</v>
      </c>
      <c r="AH61" s="26">
        <f t="shared" si="23"/>
        <v>0.39415108602068644</v>
      </c>
      <c r="AI61" s="26">
        <f t="shared" si="24"/>
        <v>0.59728158807969367</v>
      </c>
      <c r="AJ61" s="26">
        <f t="shared" si="25"/>
        <v>-6.3777354300618538E-2</v>
      </c>
      <c r="AK61" s="26">
        <f t="shared" si="26"/>
        <v>0.48406106376151686</v>
      </c>
      <c r="AL61" s="26">
        <f t="shared" si="27"/>
        <v>0.11715755672496565</v>
      </c>
      <c r="AM61" s="27">
        <f t="shared" si="28"/>
        <v>0.49761784074958426</v>
      </c>
      <c r="AO61">
        <v>491</v>
      </c>
      <c r="AP61" s="28">
        <f>AM502</f>
        <v>0.23144167547185104</v>
      </c>
    </row>
    <row r="62" spans="1:42" ht="15" customHeight="1" x14ac:dyDescent="0.2">
      <c r="A62" s="24">
        <v>51</v>
      </c>
      <c r="B62" s="29">
        <f t="shared" si="29"/>
        <v>0.50544508794532295</v>
      </c>
      <c r="C62" s="29">
        <f t="shared" si="30"/>
        <v>-1.0302882605328396</v>
      </c>
      <c r="D62" s="29">
        <f t="shared" si="31"/>
        <v>-0.58894163046594206</v>
      </c>
      <c r="E62" s="29">
        <f t="shared" si="32"/>
        <v>-0.51745087581703919</v>
      </c>
      <c r="F62" s="29">
        <f t="shared" si="33"/>
        <v>0.48183337530891757</v>
      </c>
      <c r="G62" s="29">
        <f t="shared" si="34"/>
        <v>0.43359786128371569</v>
      </c>
      <c r="H62" s="29">
        <f t="shared" si="35"/>
        <v>0.85116559285382598</v>
      </c>
      <c r="I62" s="29">
        <f t="shared" si="36"/>
        <v>-0.60521604364305781</v>
      </c>
      <c r="J62" s="29">
        <f t="shared" si="37"/>
        <v>8.7781528676674436E-2</v>
      </c>
      <c r="K62" s="26">
        <f t="shared" si="0"/>
        <v>-0.58894163046594206</v>
      </c>
      <c r="L62" s="26">
        <f t="shared" si="1"/>
        <v>0.35687773025179848</v>
      </c>
      <c r="M62" s="26">
        <f t="shared" si="2"/>
        <v>0.43359786128371569</v>
      </c>
      <c r="N62" s="26">
        <f t="shared" si="3"/>
        <v>0.60673247642236172</v>
      </c>
      <c r="O62" s="26">
        <f t="shared" si="4"/>
        <v>2.4339344592677614E-2</v>
      </c>
      <c r="P62" s="26">
        <f t="shared" si="5"/>
        <v>0.50608453577601198</v>
      </c>
      <c r="Q62" s="26">
        <f t="shared" si="6"/>
        <v>0.12806077867581078</v>
      </c>
      <c r="R62" s="26">
        <f t="shared" si="7"/>
        <v>-1.6192298909987817</v>
      </c>
      <c r="S62" s="26">
        <f t="shared" si="8"/>
        <v>0.16531110501856958</v>
      </c>
      <c r="T62" s="26">
        <f t="shared" si="9"/>
        <v>0.91543123659263326</v>
      </c>
      <c r="U62" s="26">
        <f t="shared" si="10"/>
        <v>0.71411027478418465</v>
      </c>
      <c r="V62" s="26">
        <f t="shared" si="11"/>
        <v>-0.20370234184461478</v>
      </c>
      <c r="W62" s="26">
        <f t="shared" si="12"/>
        <v>0.44924978181474962</v>
      </c>
      <c r="X62" s="26">
        <f t="shared" si="13"/>
        <v>0.15166290141555044</v>
      </c>
      <c r="Y62" s="26">
        <f t="shared" si="14"/>
        <v>-8.349654252061911E-2</v>
      </c>
      <c r="Z62" s="26">
        <f t="shared" si="15"/>
        <v>0.47913798322435436</v>
      </c>
      <c r="AA62" s="26">
        <f t="shared" si="16"/>
        <v>-8.38530145333235E-2</v>
      </c>
      <c r="AB62" s="26">
        <f t="shared" si="17"/>
        <v>0.47904902102879154</v>
      </c>
      <c r="AC62" s="26">
        <f t="shared" si="18"/>
        <v>0.20567914100849333</v>
      </c>
      <c r="AD62" s="26">
        <f t="shared" si="19"/>
        <v>0.55123927733951006</v>
      </c>
      <c r="AE62" s="26">
        <f t="shared" si="20"/>
        <v>0.10069309310138258</v>
      </c>
      <c r="AF62" s="26">
        <f t="shared" si="21"/>
        <v>-1.1137848030534587</v>
      </c>
      <c r="AG62" s="26">
        <f t="shared" si="22"/>
        <v>0.24716595780662781</v>
      </c>
      <c r="AH62" s="26">
        <f t="shared" si="23"/>
        <v>0.39798036077559407</v>
      </c>
      <c r="AI62" s="26">
        <f t="shared" si="24"/>
        <v>0.59820232351711844</v>
      </c>
      <c r="AJ62" s="26">
        <f t="shared" si="25"/>
        <v>-6.3880955850678406E-2</v>
      </c>
      <c r="AK62" s="26">
        <f t="shared" si="26"/>
        <v>0.48403518973669218</v>
      </c>
      <c r="AL62" s="26">
        <f t="shared" si="27"/>
        <v>0.1171450324517178</v>
      </c>
      <c r="AM62" s="27">
        <f t="shared" si="28"/>
        <v>0.49756180564446162</v>
      </c>
      <c r="AO62">
        <v>501</v>
      </c>
      <c r="AP62" s="28">
        <f>AM512</f>
        <v>0.19724142411968046</v>
      </c>
    </row>
    <row r="63" spans="1:42" ht="15" customHeight="1" x14ac:dyDescent="0.2">
      <c r="A63" s="24">
        <v>52</v>
      </c>
      <c r="B63" s="29">
        <f t="shared" si="29"/>
        <v>0.50988045150511474</v>
      </c>
      <c r="C63" s="29">
        <f t="shared" si="30"/>
        <v>-1.0334298195663612</v>
      </c>
      <c r="D63" s="29">
        <f t="shared" si="31"/>
        <v>-0.59321493968333816</v>
      </c>
      <c r="E63" s="29">
        <f t="shared" si="32"/>
        <v>-0.51663304198916993</v>
      </c>
      <c r="F63" s="29">
        <f t="shared" si="33"/>
        <v>0.48258101251401553</v>
      </c>
      <c r="G63" s="29">
        <f t="shared" si="34"/>
        <v>0.4358465800042387</v>
      </c>
      <c r="H63" s="29">
        <f t="shared" si="35"/>
        <v>0.85185778293749403</v>
      </c>
      <c r="I63" s="29">
        <f t="shared" si="36"/>
        <v>-0.60379179365677405</v>
      </c>
      <c r="J63" s="29">
        <f t="shared" si="37"/>
        <v>8.7674728384326397E-2</v>
      </c>
      <c r="K63" s="26">
        <f t="shared" si="0"/>
        <v>-0.59321493968333816</v>
      </c>
      <c r="L63" s="26">
        <f t="shared" si="1"/>
        <v>0.35589753832810644</v>
      </c>
      <c r="M63" s="26">
        <f t="shared" si="2"/>
        <v>0.4358465800042387</v>
      </c>
      <c r="N63" s="26">
        <f t="shared" si="3"/>
        <v>0.60726891012396234</v>
      </c>
      <c r="O63" s="26">
        <f t="shared" si="4"/>
        <v>2.4184831861677428E-2</v>
      </c>
      <c r="P63" s="26">
        <f t="shared" si="5"/>
        <v>0.50604591327733295</v>
      </c>
      <c r="Q63" s="26">
        <f t="shared" si="6"/>
        <v>0.12804123317234498</v>
      </c>
      <c r="R63" s="26">
        <f t="shared" si="7"/>
        <v>-1.6266447592496993</v>
      </c>
      <c r="S63" s="26">
        <f t="shared" si="8"/>
        <v>0.16429051415503079</v>
      </c>
      <c r="T63" s="26">
        <f t="shared" si="9"/>
        <v>0.91842759251825423</v>
      </c>
      <c r="U63" s="26">
        <f t="shared" si="10"/>
        <v>0.71472160853343658</v>
      </c>
      <c r="V63" s="26">
        <f t="shared" si="11"/>
        <v>-0.20391616045156652</v>
      </c>
      <c r="W63" s="26">
        <f t="shared" si="12"/>
        <v>0.44919687844520673</v>
      </c>
      <c r="X63" s="26">
        <f t="shared" si="13"/>
        <v>0.1516920393572522</v>
      </c>
      <c r="Y63" s="26">
        <f t="shared" si="14"/>
        <v>-8.333448817822342E-2</v>
      </c>
      <c r="Z63" s="26">
        <f t="shared" si="15"/>
        <v>0.47917842641669667</v>
      </c>
      <c r="AA63" s="26">
        <f t="shared" si="16"/>
        <v>-8.0786461984931224E-2</v>
      </c>
      <c r="AB63" s="26">
        <f t="shared" si="17"/>
        <v>0.47981436169381919</v>
      </c>
      <c r="AC63" s="26">
        <f t="shared" si="18"/>
        <v>0.20615862627373949</v>
      </c>
      <c r="AD63" s="26">
        <f t="shared" si="19"/>
        <v>0.55135788686841058</v>
      </c>
      <c r="AE63" s="26">
        <f t="shared" si="20"/>
        <v>0.10063987283758893</v>
      </c>
      <c r="AF63" s="26">
        <f t="shared" si="21"/>
        <v>-1.1167643077445846</v>
      </c>
      <c r="AG63" s="26">
        <f t="shared" si="22"/>
        <v>0.24661196437310767</v>
      </c>
      <c r="AH63" s="26">
        <f t="shared" si="23"/>
        <v>0.4017945505290843</v>
      </c>
      <c r="AI63" s="26">
        <f t="shared" si="24"/>
        <v>0.59911874370025153</v>
      </c>
      <c r="AJ63" s="26">
        <f t="shared" si="25"/>
        <v>-6.3989931271105763E-2</v>
      </c>
      <c r="AK63" s="26">
        <f t="shared" si="26"/>
        <v>0.48400797370409049</v>
      </c>
      <c r="AL63" s="26">
        <f t="shared" si="27"/>
        <v>0.11713185930456978</v>
      </c>
      <c r="AM63" s="27">
        <f t="shared" si="28"/>
        <v>0.4975050046717559</v>
      </c>
      <c r="AO63">
        <v>511</v>
      </c>
      <c r="AP63" s="28">
        <f>AM522</f>
        <v>0.16385458167978831</v>
      </c>
    </row>
    <row r="64" spans="1:42" ht="15" customHeight="1" x14ac:dyDescent="0.2">
      <c r="A64" s="24">
        <v>53</v>
      </c>
      <c r="B64" s="29">
        <f t="shared" si="29"/>
        <v>0.51434220472967185</v>
      </c>
      <c r="C64" s="29">
        <f t="shared" si="30"/>
        <v>-1.0366221503355015</v>
      </c>
      <c r="D64" s="29">
        <f t="shared" si="31"/>
        <v>-0.59751500224532239</v>
      </c>
      <c r="E64" s="29">
        <f t="shared" si="32"/>
        <v>-0.5158282439139299</v>
      </c>
      <c r="F64" s="29">
        <f t="shared" si="33"/>
        <v>0.48333296777375478</v>
      </c>
      <c r="G64" s="29">
        <f t="shared" si="34"/>
        <v>0.43808909408637553</v>
      </c>
      <c r="H64" s="29">
        <f t="shared" si="35"/>
        <v>0.85259647436885277</v>
      </c>
      <c r="I64" s="29">
        <f t="shared" si="36"/>
        <v>-0.60237733201715282</v>
      </c>
      <c r="J64" s="29">
        <f t="shared" si="37"/>
        <v>8.7559893116009715E-2</v>
      </c>
      <c r="K64" s="26">
        <f t="shared" si="0"/>
        <v>-0.59751500224532239</v>
      </c>
      <c r="L64" s="26">
        <f t="shared" si="1"/>
        <v>0.35491242766178593</v>
      </c>
      <c r="M64" s="26">
        <f t="shared" si="2"/>
        <v>0.43808909408637553</v>
      </c>
      <c r="N64" s="26">
        <f t="shared" si="3"/>
        <v>0.60780360604290251</v>
      </c>
      <c r="O64" s="26">
        <f t="shared" si="4"/>
        <v>2.4029863051610659E-2</v>
      </c>
      <c r="P64" s="26">
        <f t="shared" si="5"/>
        <v>0.50600717670318585</v>
      </c>
      <c r="Q64" s="26">
        <f t="shared" si="6"/>
        <v>0.12802163143756456</v>
      </c>
      <c r="R64" s="26">
        <f t="shared" si="7"/>
        <v>-1.6341371525808239</v>
      </c>
      <c r="S64" s="26">
        <f t="shared" si="8"/>
        <v>0.16326440073568013</v>
      </c>
      <c r="T64" s="26">
        <f t="shared" si="9"/>
        <v>0.92142206186013031</v>
      </c>
      <c r="U64" s="26">
        <f t="shared" si="10"/>
        <v>0.71533177197726205</v>
      </c>
      <c r="V64" s="26">
        <f t="shared" si="11"/>
        <v>-0.2041410987375713</v>
      </c>
      <c r="W64" s="26">
        <f t="shared" si="12"/>
        <v>0.44914122506600279</v>
      </c>
      <c r="X64" s="26">
        <f t="shared" si="13"/>
        <v>0.15172269496089213</v>
      </c>
      <c r="Y64" s="26">
        <f t="shared" si="14"/>
        <v>-8.3172797515650543E-2</v>
      </c>
      <c r="Z64" s="26">
        <f t="shared" si="15"/>
        <v>0.47921877911907101</v>
      </c>
      <c r="AA64" s="26">
        <f t="shared" si="16"/>
        <v>-7.7739149827554366E-2</v>
      </c>
      <c r="AB64" s="26">
        <f t="shared" si="17"/>
        <v>0.4805749942747472</v>
      </c>
      <c r="AC64" s="26">
        <f t="shared" si="18"/>
        <v>0.20665265175889491</v>
      </c>
      <c r="AD64" s="26">
        <f t="shared" si="19"/>
        <v>0.5514800870790405</v>
      </c>
      <c r="AE64" s="26">
        <f t="shared" si="20"/>
        <v>0.10058505614331255</v>
      </c>
      <c r="AF64" s="26">
        <f t="shared" si="21"/>
        <v>-1.119794947851152</v>
      </c>
      <c r="AG64" s="26">
        <f t="shared" si="22"/>
        <v>0.24604932060004234</v>
      </c>
      <c r="AH64" s="26">
        <f t="shared" si="23"/>
        <v>0.40559381794620042</v>
      </c>
      <c r="AI64" s="26">
        <f t="shared" si="24"/>
        <v>0.60003088996350173</v>
      </c>
      <c r="AJ64" s="26">
        <f t="shared" si="25"/>
        <v>-6.4104330243634614E-2</v>
      </c>
      <c r="AK64" s="26">
        <f t="shared" si="26"/>
        <v>0.48397940327021266</v>
      </c>
      <c r="AL64" s="26">
        <f t="shared" si="27"/>
        <v>0.11711803139489557</v>
      </c>
      <c r="AM64" s="27">
        <f t="shared" si="28"/>
        <v>0.49744741393666481</v>
      </c>
      <c r="AO64">
        <v>521</v>
      </c>
      <c r="AP64" s="28">
        <f>AM532</f>
        <v>0.13445057290382778</v>
      </c>
    </row>
    <row r="65" spans="1:42" ht="15" customHeight="1" x14ac:dyDescent="0.2">
      <c r="A65" s="24">
        <v>54</v>
      </c>
      <c r="B65" s="29">
        <f t="shared" si="29"/>
        <v>0.51883097184100824</v>
      </c>
      <c r="C65" s="29">
        <f t="shared" si="30"/>
        <v>-1.0398655637891525</v>
      </c>
      <c r="D65" s="29">
        <f t="shared" si="31"/>
        <v>-0.6018420124328987</v>
      </c>
      <c r="E65" s="29">
        <f t="shared" si="32"/>
        <v>-0.51503627502687377</v>
      </c>
      <c r="F65" s="29">
        <f t="shared" si="33"/>
        <v>0.48408907328228645</v>
      </c>
      <c r="G65" s="29">
        <f t="shared" si="34"/>
        <v>0.44032552631338673</v>
      </c>
      <c r="H65" s="29">
        <f t="shared" si="35"/>
        <v>0.85338219677496929</v>
      </c>
      <c r="I65" s="29">
        <f t="shared" si="36"/>
        <v>-0.60097252520743172</v>
      </c>
      <c r="J65" s="29">
        <f t="shared" si="37"/>
        <v>8.7436871117401782E-2</v>
      </c>
      <c r="K65" s="26">
        <f t="shared" si="0"/>
        <v>-0.6018420124328987</v>
      </c>
      <c r="L65" s="26">
        <f t="shared" si="1"/>
        <v>0.35392238351580652</v>
      </c>
      <c r="M65" s="26">
        <f t="shared" si="2"/>
        <v>0.44032552631338673</v>
      </c>
      <c r="N65" s="26">
        <f t="shared" si="3"/>
        <v>0.60833659441657506</v>
      </c>
      <c r="O65" s="26">
        <f t="shared" si="4"/>
        <v>2.3874352927335585E-2</v>
      </c>
      <c r="P65" s="26">
        <f t="shared" si="5"/>
        <v>0.5059683047476472</v>
      </c>
      <c r="Q65" s="26">
        <f t="shared" si="6"/>
        <v>0.12800196270460398</v>
      </c>
      <c r="R65" s="26">
        <f t="shared" si="7"/>
        <v>-1.6417075762220512</v>
      </c>
      <c r="S65" s="26">
        <f t="shared" si="8"/>
        <v>0.16223284629880905</v>
      </c>
      <c r="T65" s="26">
        <f t="shared" si="9"/>
        <v>0.92441459959567318</v>
      </c>
      <c r="U65" s="26">
        <f t="shared" si="10"/>
        <v>0.715940756226769</v>
      </c>
      <c r="V65" s="26">
        <f t="shared" si="11"/>
        <v>-0.20437723028758431</v>
      </c>
      <c r="W65" s="26">
        <f t="shared" si="12"/>
        <v>0.4490828036617811</v>
      </c>
      <c r="X65" s="26">
        <f t="shared" si="13"/>
        <v>0.15175487861058182</v>
      </c>
      <c r="Y65" s="26">
        <f t="shared" si="14"/>
        <v>-8.3011040591890461E-2</v>
      </c>
      <c r="Z65" s="26">
        <f t="shared" si="15"/>
        <v>0.47925914862941904</v>
      </c>
      <c r="AA65" s="26">
        <f t="shared" si="16"/>
        <v>-7.4710748713487041E-2</v>
      </c>
      <c r="AB65" s="26">
        <f t="shared" si="17"/>
        <v>0.48133099573939592</v>
      </c>
      <c r="AC65" s="26">
        <f t="shared" si="18"/>
        <v>0.20716139222916458</v>
      </c>
      <c r="AD65" s="26">
        <f t="shared" si="19"/>
        <v>0.55160592063464098</v>
      </c>
      <c r="AE65" s="26">
        <f t="shared" si="20"/>
        <v>0.10052862520495394</v>
      </c>
      <c r="AF65" s="26">
        <f t="shared" si="21"/>
        <v>-1.122876604381043</v>
      </c>
      <c r="AG65" s="26">
        <f t="shared" si="22"/>
        <v>0.24547809290569919</v>
      </c>
      <c r="AH65" s="26">
        <f t="shared" si="23"/>
        <v>0.40937832456879941</v>
      </c>
      <c r="AI65" s="26">
        <f t="shared" si="24"/>
        <v>0.6009388033784574</v>
      </c>
      <c r="AJ65" s="26">
        <f t="shared" si="25"/>
        <v>-6.4224204860086481E-2</v>
      </c>
      <c r="AK65" s="26">
        <f t="shared" si="26"/>
        <v>0.48394946544059148</v>
      </c>
      <c r="AL65" s="26">
        <f t="shared" si="27"/>
        <v>0.11710354255011712</v>
      </c>
      <c r="AM65" s="27">
        <f t="shared" si="28"/>
        <v>0.49738900907025685</v>
      </c>
      <c r="AO65">
        <v>531</v>
      </c>
      <c r="AP65" s="28">
        <f>AM542</f>
        <v>0.11040162353729058</v>
      </c>
    </row>
    <row r="66" spans="1:42" ht="15" customHeight="1" x14ac:dyDescent="0.2">
      <c r="A66" s="24">
        <v>55</v>
      </c>
      <c r="B66" s="29">
        <f t="shared" si="29"/>
        <v>0.52334738182709717</v>
      </c>
      <c r="C66" s="29">
        <f t="shared" si="30"/>
        <v>-1.0431603795443998</v>
      </c>
      <c r="D66" s="29">
        <f t="shared" si="31"/>
        <v>-0.60619616731809534</v>
      </c>
      <c r="E66" s="29">
        <f t="shared" si="32"/>
        <v>-0.51425692939055112</v>
      </c>
      <c r="F66" s="29">
        <f t="shared" si="33"/>
        <v>0.48484916237240216</v>
      </c>
      <c r="G66" s="29">
        <f t="shared" si="34"/>
        <v>0.44255599785673511</v>
      </c>
      <c r="H66" s="29">
        <f t="shared" si="35"/>
        <v>0.85421549044130962</v>
      </c>
      <c r="I66" s="29">
        <f t="shared" si="36"/>
        <v>-0.59957724041077609</v>
      </c>
      <c r="J66" s="29">
        <f t="shared" si="37"/>
        <v>8.7305508816870589E-2</v>
      </c>
      <c r="K66" s="26">
        <f t="shared" si="0"/>
        <v>-0.60619616731809534</v>
      </c>
      <c r="L66" s="26">
        <f t="shared" si="1"/>
        <v>0.35292739110039295</v>
      </c>
      <c r="M66" s="26">
        <f t="shared" si="2"/>
        <v>0.44255599785673511</v>
      </c>
      <c r="N66" s="26">
        <f t="shared" si="3"/>
        <v>0.60886790505747124</v>
      </c>
      <c r="O66" s="26">
        <f t="shared" si="4"/>
        <v>2.3718215006815632E-2</v>
      </c>
      <c r="P66" s="26">
        <f t="shared" si="5"/>
        <v>0.50592927579296232</v>
      </c>
      <c r="Q66" s="26">
        <f t="shared" si="6"/>
        <v>0.12798221605219567</v>
      </c>
      <c r="R66" s="26">
        <f t="shared" si="7"/>
        <v>-1.6493565468624951</v>
      </c>
      <c r="S66" s="26">
        <f t="shared" si="8"/>
        <v>0.1611959330704483</v>
      </c>
      <c r="T66" s="26">
        <f t="shared" si="9"/>
        <v>0.92740516022913733</v>
      </c>
      <c r="U66" s="26">
        <f t="shared" si="10"/>
        <v>0.71654855235811521</v>
      </c>
      <c r="V66" s="26">
        <f t="shared" si="11"/>
        <v>-0.20462463180142709</v>
      </c>
      <c r="W66" s="26">
        <f t="shared" si="12"/>
        <v>0.44902159545815895</v>
      </c>
      <c r="X66" s="26">
        <f t="shared" si="13"/>
        <v>0.15178860113573636</v>
      </c>
      <c r="Y66" s="26">
        <f t="shared" si="14"/>
        <v>-8.2848785490998167E-2</v>
      </c>
      <c r="Z66" s="26">
        <f t="shared" si="15"/>
        <v>0.47929964274145626</v>
      </c>
      <c r="AA66" s="26">
        <f t="shared" si="16"/>
        <v>-7.1700931533816015E-2</v>
      </c>
      <c r="AB66" s="26">
        <f t="shared" si="17"/>
        <v>0.48208244267429623</v>
      </c>
      <c r="AC66" s="26">
        <f t="shared" si="18"/>
        <v>0.20768502758046742</v>
      </c>
      <c r="AD66" s="26">
        <f t="shared" si="19"/>
        <v>0.55173543143927239</v>
      </c>
      <c r="AE66" s="26">
        <f t="shared" si="20"/>
        <v>0.10047056171346763</v>
      </c>
      <c r="AF66" s="26">
        <f t="shared" si="21"/>
        <v>-1.1260091650353981</v>
      </c>
      <c r="AG66" s="26">
        <f t="shared" si="22"/>
        <v>0.2448983471190942</v>
      </c>
      <c r="AH66" s="26">
        <f t="shared" si="23"/>
        <v>0.41314823083858615</v>
      </c>
      <c r="AI66" s="26">
        <f t="shared" si="24"/>
        <v>0.60184252475718181</v>
      </c>
      <c r="AJ66" s="26">
        <f t="shared" si="25"/>
        <v>-6.4349609646291564E-2</v>
      </c>
      <c r="AK66" s="26">
        <f t="shared" si="26"/>
        <v>0.48391814661385846</v>
      </c>
      <c r="AL66" s="26">
        <f t="shared" si="27"/>
        <v>0.1170883863110959</v>
      </c>
      <c r="AM66" s="27">
        <f t="shared" si="28"/>
        <v>0.49732976521249561</v>
      </c>
      <c r="AO66">
        <v>541</v>
      </c>
      <c r="AP66" s="28">
        <f>AM552</f>
        <v>9.1519038191722538E-2</v>
      </c>
    </row>
    <row r="67" spans="1:42" ht="15" customHeight="1" x14ac:dyDescent="0.2">
      <c r="A67" s="24">
        <v>56</v>
      </c>
      <c r="B67" s="29">
        <f t="shared" si="29"/>
        <v>0.52789206863039184</v>
      </c>
      <c r="C67" s="29">
        <f t="shared" si="30"/>
        <v>-1.0465069258990849</v>
      </c>
      <c r="D67" s="29">
        <f t="shared" si="31"/>
        <v>-0.61057766672344804</v>
      </c>
      <c r="E67" s="29">
        <f t="shared" si="32"/>
        <v>-0.51349000162875225</v>
      </c>
      <c r="F67" s="29">
        <f t="shared" si="33"/>
        <v>0.48561306943437466</v>
      </c>
      <c r="G67" s="29">
        <f t="shared" si="34"/>
        <v>0.44478062831413206</v>
      </c>
      <c r="H67" s="29">
        <f t="shared" si="35"/>
        <v>0.85509690634112756</v>
      </c>
      <c r="I67" s="29">
        <f t="shared" si="36"/>
        <v>-0.59819134544183439</v>
      </c>
      <c r="J67" s="29">
        <f t="shared" si="37"/>
        <v>8.7165650777478149E-2</v>
      </c>
      <c r="K67" s="26">
        <f t="shared" si="0"/>
        <v>-0.61057766672344804</v>
      </c>
      <c r="L67" s="26">
        <f t="shared" si="1"/>
        <v>0.3519274355943442</v>
      </c>
      <c r="M67" s="26">
        <f t="shared" si="2"/>
        <v>0.44478062831413206</v>
      </c>
      <c r="N67" s="26">
        <f t="shared" si="3"/>
        <v>0.6093975673627402</v>
      </c>
      <c r="O67" s="26">
        <f t="shared" si="4"/>
        <v>2.3561361481069826E-2</v>
      </c>
      <c r="P67" s="26">
        <f t="shared" si="5"/>
        <v>0.50589006788953317</v>
      </c>
      <c r="Q67" s="26">
        <f t="shared" si="6"/>
        <v>0.12796238039463823</v>
      </c>
      <c r="R67" s="26">
        <f t="shared" si="7"/>
        <v>-1.657084592622533</v>
      </c>
      <c r="S67" s="26">
        <f t="shared" si="8"/>
        <v>0.1601537440035877</v>
      </c>
      <c r="T67" s="26">
        <f t="shared" si="9"/>
        <v>0.93039369774850678</v>
      </c>
      <c r="U67" s="26">
        <f t="shared" si="10"/>
        <v>0.71715515140440966</v>
      </c>
      <c r="V67" s="26">
        <f t="shared" si="11"/>
        <v>-0.20488338309525136</v>
      </c>
      <c r="W67" s="26">
        <f t="shared" si="12"/>
        <v>0.44895758092173327</v>
      </c>
      <c r="X67" s="26">
        <f t="shared" si="13"/>
        <v>0.15182387381181411</v>
      </c>
      <c r="Y67" s="26">
        <f t="shared" si="14"/>
        <v>-8.2685598093056201E-2</v>
      </c>
      <c r="Z67" s="26">
        <f t="shared" si="15"/>
        <v>0.47934036980184708</v>
      </c>
      <c r="AA67" s="26">
        <f t="shared" si="16"/>
        <v>-6.8709373314620181E-2</v>
      </c>
      <c r="AB67" s="26">
        <f t="shared" si="17"/>
        <v>0.48282941130415158</v>
      </c>
      <c r="AC67" s="26">
        <f t="shared" si="18"/>
        <v>0.20822374291253035</v>
      </c>
      <c r="AD67" s="26">
        <f t="shared" si="19"/>
        <v>0.55186866465462348</v>
      </c>
      <c r="AE67" s="26">
        <f t="shared" si="20"/>
        <v>0.10041084685921516</v>
      </c>
      <c r="AF67" s="26">
        <f t="shared" si="21"/>
        <v>-1.129192523992141</v>
      </c>
      <c r="AG67" s="26">
        <f t="shared" si="22"/>
        <v>0.24431014852486022</v>
      </c>
      <c r="AH67" s="26">
        <f t="shared" si="23"/>
        <v>0.41690369611975447</v>
      </c>
      <c r="AI67" s="26">
        <f t="shared" si="24"/>
        <v>0.60274209465547346</v>
      </c>
      <c r="AJ67" s="26">
        <f t="shared" si="25"/>
        <v>-6.4480601587559666E-2</v>
      </c>
      <c r="AK67" s="26">
        <f t="shared" si="26"/>
        <v>0.48388543257542638</v>
      </c>
      <c r="AL67" s="26">
        <f t="shared" si="27"/>
        <v>0.11707255592935376</v>
      </c>
      <c r="AM67" s="27">
        <f t="shared" si="28"/>
        <v>0.49726965699502124</v>
      </c>
      <c r="AO67">
        <v>551</v>
      </c>
      <c r="AP67" s="28">
        <f>AM562</f>
        <v>7.6910133258160068E-2</v>
      </c>
    </row>
    <row r="68" spans="1:42" ht="15" customHeight="1" x14ac:dyDescent="0.2">
      <c r="A68" s="24">
        <v>57</v>
      </c>
      <c r="B68" s="29">
        <f t="shared" si="29"/>
        <v>0.53246567133399381</v>
      </c>
      <c r="C68" s="29">
        <f t="shared" si="30"/>
        <v>-1.0499055398449428</v>
      </c>
      <c r="D68" s="29">
        <f t="shared" si="31"/>
        <v>-0.6149867131797333</v>
      </c>
      <c r="E68" s="29">
        <f t="shared" si="32"/>
        <v>-0.51273528686119774</v>
      </c>
      <c r="F68" s="29">
        <f t="shared" si="33"/>
        <v>0.4863806298358751</v>
      </c>
      <c r="G68" s="29">
        <f t="shared" si="34"/>
        <v>0.44699953574657103</v>
      </c>
      <c r="H68" s="29">
        <f t="shared" si="35"/>
        <v>0.85602700616456606</v>
      </c>
      <c r="I68" s="29">
        <f t="shared" si="36"/>
        <v>-0.59681470867901654</v>
      </c>
      <c r="J68" s="29">
        <f t="shared" si="37"/>
        <v>8.7017139648473088E-2</v>
      </c>
      <c r="K68" s="26">
        <f t="shared" si="0"/>
        <v>-0.6149867131797333</v>
      </c>
      <c r="L68" s="26">
        <f t="shared" si="1"/>
        <v>0.35092250216687165</v>
      </c>
      <c r="M68" s="26">
        <f t="shared" si="2"/>
        <v>0.44699953574657103</v>
      </c>
      <c r="N68" s="26">
        <f t="shared" si="3"/>
        <v>0.60992561032349069</v>
      </c>
      <c r="O68" s="26">
        <f t="shared" si="4"/>
        <v>2.3403703133073231E-2</v>
      </c>
      <c r="P68" s="26">
        <f t="shared" si="5"/>
        <v>0.50585065873564494</v>
      </c>
      <c r="Q68" s="26">
        <f t="shared" si="6"/>
        <v>0.12794244447164296</v>
      </c>
      <c r="R68" s="26">
        <f t="shared" si="7"/>
        <v>-1.6648922530246761</v>
      </c>
      <c r="S68" s="26">
        <f t="shared" si="8"/>
        <v>0.15910636281727733</v>
      </c>
      <c r="T68" s="26">
        <f t="shared" si="9"/>
        <v>0.93338016558244608</v>
      </c>
      <c r="U68" s="26">
        <f t="shared" si="10"/>
        <v>0.71776054434769032</v>
      </c>
      <c r="V68" s="26">
        <f t="shared" si="11"/>
        <v>-0.20515356710347893</v>
      </c>
      <c r="W68" s="26">
        <f t="shared" si="12"/>
        <v>0.44889073975998833</v>
      </c>
      <c r="X68" s="26">
        <f t="shared" si="13"/>
        <v>0.15186070836114643</v>
      </c>
      <c r="Y68" s="26">
        <f t="shared" si="14"/>
        <v>-8.2521041845739496E-2</v>
      </c>
      <c r="Z68" s="26">
        <f t="shared" si="15"/>
        <v>0.47938143876725436</v>
      </c>
      <c r="AA68" s="26">
        <f t="shared" si="16"/>
        <v>-6.5735751114626706E-2</v>
      </c>
      <c r="AB68" s="26">
        <f t="shared" si="17"/>
        <v>0.48357197751114284</v>
      </c>
      <c r="AC68" s="26">
        <f t="shared" si="18"/>
        <v>0.20877772860361943</v>
      </c>
      <c r="AD68" s="26">
        <f t="shared" si="19"/>
        <v>0.55200566671716378</v>
      </c>
      <c r="AE68" s="26">
        <f t="shared" si="20"/>
        <v>0.10034946132676646</v>
      </c>
      <c r="AF68" s="26">
        <f t="shared" si="21"/>
        <v>-1.1324265816906824</v>
      </c>
      <c r="AG68" s="26">
        <f t="shared" si="22"/>
        <v>0.24371356190791707</v>
      </c>
      <c r="AH68" s="26">
        <f t="shared" si="23"/>
        <v>0.42064487872124839</v>
      </c>
      <c r="AI68" s="26">
        <f t="shared" si="24"/>
        <v>0.60363755337608904</v>
      </c>
      <c r="AJ68" s="26">
        <f t="shared" si="25"/>
        <v>-6.4617240155654912E-2</v>
      </c>
      <c r="AK68" s="26">
        <f t="shared" si="26"/>
        <v>0.48385130849079788</v>
      </c>
      <c r="AL68" s="26">
        <f t="shared" si="27"/>
        <v>0.11705604436412863</v>
      </c>
      <c r="AM68" s="27">
        <f t="shared" si="28"/>
        <v>0.49720865852368451</v>
      </c>
      <c r="AO68">
        <v>561</v>
      </c>
      <c r="AP68" s="28">
        <f>AM572</f>
        <v>6.559078095910878E-2</v>
      </c>
    </row>
    <row r="69" spans="1:42" ht="15" customHeight="1" x14ac:dyDescent="0.2">
      <c r="A69" s="24">
        <v>58</v>
      </c>
      <c r="B69" s="29">
        <f t="shared" si="29"/>
        <v>0.53706883434539243</v>
      </c>
      <c r="C69" s="29">
        <f t="shared" si="30"/>
        <v>-1.0533565670811191</v>
      </c>
      <c r="D69" s="29">
        <f t="shared" si="31"/>
        <v>-0.61942351188184441</v>
      </c>
      <c r="E69" s="29">
        <f t="shared" si="32"/>
        <v>-0.51199258063863684</v>
      </c>
      <c r="F69" s="29">
        <f t="shared" si="33"/>
        <v>0.48715167984292723</v>
      </c>
      <c r="G69" s="29">
        <f t="shared" si="34"/>
        <v>0.44921283671437473</v>
      </c>
      <c r="H69" s="29">
        <f t="shared" si="35"/>
        <v>0.85700636234726879</v>
      </c>
      <c r="I69" s="29">
        <f t="shared" si="36"/>
        <v>-0.5954471989974589</v>
      </c>
      <c r="J69" s="29">
        <f t="shared" si="37"/>
        <v>8.685981611627111E-2</v>
      </c>
      <c r="K69" s="26">
        <f t="shared" si="0"/>
        <v>-0.61942351188184441</v>
      </c>
      <c r="L69" s="26">
        <f t="shared" si="1"/>
        <v>0.34991257599997427</v>
      </c>
      <c r="M69" s="26">
        <f t="shared" si="2"/>
        <v>0.44921283671437473</v>
      </c>
      <c r="N69" s="26">
        <f t="shared" si="3"/>
        <v>0.61045206253384365</v>
      </c>
      <c r="O69" s="26">
        <f t="shared" si="4"/>
        <v>2.3245149255572445E-2</v>
      </c>
      <c r="P69" s="26">
        <f t="shared" si="5"/>
        <v>0.50581102565691938</v>
      </c>
      <c r="Q69" s="26">
        <f t="shared" si="6"/>
        <v>0.12792239683805237</v>
      </c>
      <c r="R69" s="26">
        <f t="shared" si="7"/>
        <v>-1.6727800789629637</v>
      </c>
      <c r="S69" s="26">
        <f t="shared" si="8"/>
        <v>0.15805387403560545</v>
      </c>
      <c r="T69" s="26">
        <f t="shared" si="9"/>
        <v>0.93636451655730202</v>
      </c>
      <c r="U69" s="26">
        <f t="shared" si="10"/>
        <v>0.71836472211097568</v>
      </c>
      <c r="V69" s="26">
        <f t="shared" si="11"/>
        <v>-0.20543526988114966</v>
      </c>
      <c r="W69" s="26">
        <f t="shared" si="12"/>
        <v>0.44882105092112173</v>
      </c>
      <c r="X69" s="26">
        <f t="shared" si="13"/>
        <v>0.15189911695384836</v>
      </c>
      <c r="Y69" s="26">
        <f t="shared" si="14"/>
        <v>-8.2354677536451981E-2</v>
      </c>
      <c r="Z69" s="26">
        <f t="shared" si="15"/>
        <v>0.4794229592612656</v>
      </c>
      <c r="AA69" s="26">
        <f t="shared" si="16"/>
        <v>-6.277974392426211E-2</v>
      </c>
      <c r="AB69" s="26">
        <f t="shared" si="17"/>
        <v>0.4843102168540826</v>
      </c>
      <c r="AC69" s="26">
        <f t="shared" si="18"/>
        <v>0.20934718038691577</v>
      </c>
      <c r="AD69" s="26">
        <f t="shared" si="19"/>
        <v>0.55214648535563771</v>
      </c>
      <c r="AE69" s="26">
        <f t="shared" si="20"/>
        <v>0.10028638528965401</v>
      </c>
      <c r="AF69" s="26">
        <f t="shared" si="21"/>
        <v>-1.1357112446175712</v>
      </c>
      <c r="AG69" s="26">
        <f t="shared" si="22"/>
        <v>0.24310865159796216</v>
      </c>
      <c r="AH69" s="26">
        <f t="shared" si="23"/>
        <v>0.42437193591866512</v>
      </c>
      <c r="AI69" s="26">
        <f t="shared" si="24"/>
        <v>0.60452894097193721</v>
      </c>
      <c r="AJ69" s="26">
        <f t="shared" si="25"/>
        <v>-6.4759587337249985E-2</v>
      </c>
      <c r="AK69" s="26">
        <f t="shared" si="26"/>
        <v>0.48381575889850964</v>
      </c>
      <c r="AL69" s="26">
        <f t="shared" si="27"/>
        <v>0.1170388442792704</v>
      </c>
      <c r="AM69" s="27">
        <f t="shared" si="28"/>
        <v>0.49714674336082515</v>
      </c>
      <c r="AO69">
        <v>571</v>
      </c>
      <c r="AP69" s="28">
        <f>AM582</f>
        <v>5.673177692313567E-2</v>
      </c>
    </row>
    <row r="70" spans="1:42" ht="15" customHeight="1" x14ac:dyDescent="0.2">
      <c r="A70" s="24">
        <v>59</v>
      </c>
      <c r="B70" s="29">
        <f t="shared" si="29"/>
        <v>0.54170220757768528</v>
      </c>
      <c r="C70" s="29">
        <f t="shared" si="30"/>
        <v>-1.05686036202786</v>
      </c>
      <c r="D70" s="29">
        <f t="shared" si="31"/>
        <v>-0.62388827064270569</v>
      </c>
      <c r="E70" s="29">
        <f t="shared" si="32"/>
        <v>-0.51126167887832408</v>
      </c>
      <c r="F70" s="29">
        <f t="shared" si="33"/>
        <v>0.48792605654185939</v>
      </c>
      <c r="G70" s="29">
        <f t="shared" si="34"/>
        <v>0.45142064631228052</v>
      </c>
      <c r="H70" s="29">
        <f t="shared" si="35"/>
        <v>0.8580355580982898</v>
      </c>
      <c r="I70" s="29">
        <f t="shared" si="36"/>
        <v>-0.59408868570264439</v>
      </c>
      <c r="J70" s="29">
        <f t="shared" si="37"/>
        <v>8.6693518854919216E-2</v>
      </c>
      <c r="K70" s="26">
        <f t="shared" si="0"/>
        <v>-0.62388827064270569</v>
      </c>
      <c r="L70" s="26">
        <f t="shared" si="1"/>
        <v>0.34889764231137049</v>
      </c>
      <c r="M70" s="26">
        <f t="shared" si="2"/>
        <v>0.45142064631228052</v>
      </c>
      <c r="N70" s="26">
        <f t="shared" si="3"/>
        <v>0.61097695219974069</v>
      </c>
      <c r="O70" s="26">
        <f t="shared" si="4"/>
        <v>2.3085607567782107E-2</v>
      </c>
      <c r="P70" s="26">
        <f t="shared" si="5"/>
        <v>0.50577114558549041</v>
      </c>
      <c r="Q70" s="26">
        <f t="shared" si="6"/>
        <v>0.12790222585342967</v>
      </c>
      <c r="R70" s="26">
        <f t="shared" si="7"/>
        <v>-1.6807486326705656</v>
      </c>
      <c r="S70" s="26">
        <f t="shared" si="8"/>
        <v>0.15699636302654868</v>
      </c>
      <c r="T70" s="26">
        <f t="shared" si="9"/>
        <v>0.9393467028541399</v>
      </c>
      <c r="U70" s="26">
        <f t="shared" si="10"/>
        <v>0.71896767555038832</v>
      </c>
      <c r="V70" s="26">
        <f t="shared" si="11"/>
        <v>-0.20572858060660981</v>
      </c>
      <c r="W70" s="26">
        <f t="shared" si="12"/>
        <v>0.4487484925938075</v>
      </c>
      <c r="X70" s="26">
        <f t="shared" si="13"/>
        <v>0.15193911220879977</v>
      </c>
      <c r="Y70" s="26">
        <f t="shared" si="14"/>
        <v>-8.2186063065020409E-2</v>
      </c>
      <c r="Z70" s="26">
        <f t="shared" si="15"/>
        <v>0.47946504163120229</v>
      </c>
      <c r="AA70" s="26">
        <f t="shared" si="16"/>
        <v>-5.9841032566043562E-2</v>
      </c>
      <c r="AB70" s="26">
        <f t="shared" si="17"/>
        <v>0.48504420458742398</v>
      </c>
      <c r="AC70" s="26">
        <f t="shared" si="18"/>
        <v>0.20993229942854036</v>
      </c>
      <c r="AD70" s="26">
        <f t="shared" si="19"/>
        <v>0.55229116960889768</v>
      </c>
      <c r="AE70" s="26">
        <f t="shared" si="20"/>
        <v>0.10022159840508441</v>
      </c>
      <c r="AF70" s="26">
        <f t="shared" si="21"/>
        <v>-1.1390464250928805</v>
      </c>
      <c r="AG70" s="26">
        <f t="shared" si="22"/>
        <v>0.24249548151379594</v>
      </c>
      <c r="AH70" s="26">
        <f t="shared" si="23"/>
        <v>0.42808502397581583</v>
      </c>
      <c r="AI70" s="26">
        <f t="shared" si="24"/>
        <v>0.60541629724924084</v>
      </c>
      <c r="AJ70" s="26">
        <f t="shared" si="25"/>
        <v>-6.4907707663840325E-2</v>
      </c>
      <c r="AK70" s="26">
        <f t="shared" si="26"/>
        <v>0.48377876770271222</v>
      </c>
      <c r="AL70" s="26">
        <f t="shared" si="27"/>
        <v>0.1170209480399774</v>
      </c>
      <c r="AM70" s="27">
        <f t="shared" si="28"/>
        <v>0.49708388450729124</v>
      </c>
      <c r="AO70">
        <v>581</v>
      </c>
      <c r="AP70" s="28">
        <f>AM592</f>
        <v>4.9702263591256068E-2</v>
      </c>
    </row>
    <row r="71" spans="1:42" ht="15" customHeight="1" x14ac:dyDescent="0.2">
      <c r="A71" s="24">
        <v>60</v>
      </c>
      <c r="B71" s="29">
        <f t="shared" si="29"/>
        <v>0.54636644662817868</v>
      </c>
      <c r="C71" s="29">
        <f t="shared" si="30"/>
        <v>-1.0604172878401688</v>
      </c>
      <c r="D71" s="29">
        <f t="shared" si="31"/>
        <v>-0.62838119984511875</v>
      </c>
      <c r="E71" s="29">
        <f t="shared" si="32"/>
        <v>-0.51054237779984157</v>
      </c>
      <c r="F71" s="29">
        <f t="shared" si="33"/>
        <v>0.48870359776221833</v>
      </c>
      <c r="G71" s="29">
        <f t="shared" si="34"/>
        <v>0.45362307820358921</v>
      </c>
      <c r="H71" s="29">
        <f t="shared" si="35"/>
        <v>0.85911518742708304</v>
      </c>
      <c r="I71" s="29">
        <f t="shared" si="36"/>
        <v>-0.59273903846465092</v>
      </c>
      <c r="J71" s="29">
        <f t="shared" si="37"/>
        <v>8.6518084476033527E-2</v>
      </c>
      <c r="K71" s="26">
        <f t="shared" si="0"/>
        <v>-0.62838119984511875</v>
      </c>
      <c r="L71" s="26">
        <f t="shared" si="1"/>
        <v>0.3478776863780037</v>
      </c>
      <c r="M71" s="26">
        <f t="shared" si="2"/>
        <v>0.45362307820358921</v>
      </c>
      <c r="N71" s="26">
        <f t="shared" si="3"/>
        <v>0.61150030714751391</v>
      </c>
      <c r="O71" s="26">
        <f t="shared" si="4"/>
        <v>2.2924984130916079E-2</v>
      </c>
      <c r="P71" s="26">
        <f t="shared" si="5"/>
        <v>0.50573099503888508</v>
      </c>
      <c r="Q71" s="26">
        <f t="shared" si="6"/>
        <v>0.12788191967151041</v>
      </c>
      <c r="R71" s="26">
        <f t="shared" si="7"/>
        <v>-1.6887984876852875</v>
      </c>
      <c r="S71" s="26">
        <f t="shared" si="8"/>
        <v>0.15593391604068563</v>
      </c>
      <c r="T71" s="26">
        <f t="shared" si="9"/>
        <v>0.94232667596580755</v>
      </c>
      <c r="U71" s="26">
        <f t="shared" si="10"/>
        <v>0.71956939544734744</v>
      </c>
      <c r="V71" s="26">
        <f t="shared" si="11"/>
        <v>-0.2060335915844847</v>
      </c>
      <c r="W71" s="26">
        <f t="shared" si="12"/>
        <v>0.44867304220690896</v>
      </c>
      <c r="X71" s="26">
        <f t="shared" si="13"/>
        <v>0.15198070719469239</v>
      </c>
      <c r="Y71" s="26">
        <f t="shared" si="14"/>
        <v>-8.2014753216940073E-2</v>
      </c>
      <c r="Z71" s="26">
        <f t="shared" si="15"/>
        <v>0.47950779700481422</v>
      </c>
      <c r="AA71" s="26">
        <f t="shared" si="16"/>
        <v>-5.691929959625236E-2</v>
      </c>
      <c r="AB71" s="26">
        <f t="shared" si="17"/>
        <v>0.48577401568013251</v>
      </c>
      <c r="AC71" s="26">
        <f t="shared" si="18"/>
        <v>0.21053329240721819</v>
      </c>
      <c r="AD71" s="26">
        <f t="shared" si="19"/>
        <v>0.5524397698440715</v>
      </c>
      <c r="AE71" s="26">
        <f t="shared" si="20"/>
        <v>0.10015507980861384</v>
      </c>
      <c r="AF71" s="26">
        <f t="shared" si="21"/>
        <v>-1.1424320410571087</v>
      </c>
      <c r="AG71" s="26">
        <f t="shared" si="22"/>
        <v>0.24187411520749699</v>
      </c>
      <c r="AH71" s="26">
        <f t="shared" si="23"/>
        <v>0.43178429816596597</v>
      </c>
      <c r="AI71" s="26">
        <f t="shared" si="24"/>
        <v>0.60629966177067385</v>
      </c>
      <c r="AJ71" s="26">
        <f t="shared" si="25"/>
        <v>-6.5061668243110091E-2</v>
      </c>
      <c r="AK71" s="26">
        <f t="shared" si="26"/>
        <v>0.48374031816539315</v>
      </c>
      <c r="AL71" s="26">
        <f t="shared" si="27"/>
        <v>0.1170023477093779</v>
      </c>
      <c r="AM71" s="27">
        <f t="shared" si="28"/>
        <v>0.4970200543841945</v>
      </c>
      <c r="AO71">
        <v>591</v>
      </c>
      <c r="AP71" s="28">
        <f>AM602</f>
        <v>4.4041136985702015E-2</v>
      </c>
    </row>
    <row r="72" spans="1:42" ht="15" customHeight="1" x14ac:dyDescent="0.2">
      <c r="A72" s="24">
        <v>61</v>
      </c>
      <c r="B72" s="29">
        <f t="shared" si="29"/>
        <v>0.55106221295425228</v>
      </c>
      <c r="C72" s="29">
        <f t="shared" si="30"/>
        <v>-1.0640277164212111</v>
      </c>
      <c r="D72" s="29">
        <f t="shared" si="31"/>
        <v>-0.63290251239143525</v>
      </c>
      <c r="E72" s="29">
        <f t="shared" si="32"/>
        <v>-0.50983447386123804</v>
      </c>
      <c r="F72" s="29">
        <f t="shared" si="33"/>
        <v>0.48948414200060947</v>
      </c>
      <c r="G72" s="29">
        <f t="shared" si="34"/>
        <v>0.45582024465340076</v>
      </c>
      <c r="H72" s="29">
        <f t="shared" si="35"/>
        <v>0.8602458551693446</v>
      </c>
      <c r="I72" s="29">
        <f t="shared" si="36"/>
        <v>-0.591398127253002</v>
      </c>
      <c r="J72" s="29">
        <f t="shared" si="37"/>
        <v>8.633334747820394E-2</v>
      </c>
      <c r="K72" s="26">
        <f t="shared" si="0"/>
        <v>-0.63290251239143525</v>
      </c>
      <c r="L72" s="26">
        <f t="shared" si="1"/>
        <v>0.34685269356013881</v>
      </c>
      <c r="M72" s="26">
        <f t="shared" si="2"/>
        <v>0.45582024465340076</v>
      </c>
      <c r="N72" s="26">
        <f t="shared" si="3"/>
        <v>0.61202215483222544</v>
      </c>
      <c r="O72" s="26">
        <f t="shared" si="4"/>
        <v>2.2763183262511213E-2</v>
      </c>
      <c r="P72" s="26">
        <f t="shared" si="5"/>
        <v>0.5056905500986052</v>
      </c>
      <c r="Q72" s="26">
        <f t="shared" si="6"/>
        <v>0.12786146622951497</v>
      </c>
      <c r="R72" s="26">
        <f t="shared" si="7"/>
        <v>-1.6969302288126462</v>
      </c>
      <c r="S72" s="26">
        <f t="shared" si="8"/>
        <v>0.154866620249765</v>
      </c>
      <c r="T72" s="26">
        <f t="shared" si="9"/>
        <v>0.94530438665401029</v>
      </c>
      <c r="U72" s="26">
        <f t="shared" si="10"/>
        <v>0.72016987250082776</v>
      </c>
      <c r="V72" s="26">
        <f t="shared" si="11"/>
        <v>-0.20635039824887363</v>
      </c>
      <c r="W72" s="26">
        <f t="shared" si="12"/>
        <v>0.44859467642915812</v>
      </c>
      <c r="X72" s="26">
        <f t="shared" si="13"/>
        <v>0.15202391543113239</v>
      </c>
      <c r="Y72" s="26">
        <f t="shared" si="14"/>
        <v>-8.1840299437182962E-2</v>
      </c>
      <c r="Z72" s="26">
        <f t="shared" si="15"/>
        <v>0.47955133734685462</v>
      </c>
      <c r="AA72" s="26">
        <f t="shared" si="16"/>
        <v>-5.4014229207837272E-2</v>
      </c>
      <c r="AB72" s="26">
        <f t="shared" si="17"/>
        <v>0.48649972483442511</v>
      </c>
      <c r="AC72" s="26">
        <f t="shared" si="18"/>
        <v>0.21115037159557198</v>
      </c>
      <c r="AD72" s="26">
        <f t="shared" si="19"/>
        <v>0.55259233777505801</v>
      </c>
      <c r="AE72" s="26">
        <f t="shared" si="20"/>
        <v>0.10008680810879389</v>
      </c>
      <c r="AF72" s="26">
        <f t="shared" si="21"/>
        <v>-1.145868015858394</v>
      </c>
      <c r="AG72" s="26">
        <f t="shared" si="22"/>
        <v>0.24124461590845933</v>
      </c>
      <c r="AH72" s="26">
        <f t="shared" si="23"/>
        <v>0.4354699127927722</v>
      </c>
      <c r="AI72" s="26">
        <f t="shared" si="24"/>
        <v>0.60717907385847425</v>
      </c>
      <c r="AJ72" s="26">
        <f t="shared" si="25"/>
        <v>-6.5221538791737241E-2</v>
      </c>
      <c r="AK72" s="26">
        <f t="shared" si="26"/>
        <v>0.48370039289824146</v>
      </c>
      <c r="AL72" s="26">
        <f t="shared" si="27"/>
        <v>0.11698303504495658</v>
      </c>
      <c r="AM72" s="27">
        <f t="shared" si="28"/>
        <v>0.4969552248143978</v>
      </c>
      <c r="AO72">
        <v>601</v>
      </c>
      <c r="AP72" s="28">
        <f>AM612</f>
        <v>3.9415267357763316E-2</v>
      </c>
    </row>
    <row r="73" spans="1:42" ht="15" customHeight="1" x14ac:dyDescent="0.2">
      <c r="A73" s="24">
        <v>62</v>
      </c>
      <c r="B73" s="29">
        <f t="shared" si="29"/>
        <v>0.55579017404636111</v>
      </c>
      <c r="C73" s="29">
        <f t="shared" si="30"/>
        <v>-1.067692028435252</v>
      </c>
      <c r="D73" s="29">
        <f t="shared" si="31"/>
        <v>-0.63745242365094879</v>
      </c>
      <c r="E73" s="29">
        <f t="shared" si="32"/>
        <v>-0.50913776369545505</v>
      </c>
      <c r="F73" s="29">
        <f t="shared" si="33"/>
        <v>0.49026752834543036</v>
      </c>
      <c r="G73" s="29">
        <f t="shared" si="34"/>
        <v>0.45801225656095956</v>
      </c>
      <c r="H73" s="29">
        <f t="shared" si="35"/>
        <v>0.86142817701147123</v>
      </c>
      <c r="I73" s="29">
        <f t="shared" si="36"/>
        <v>-0.59006582227209847</v>
      </c>
      <c r="J73" s="29">
        <f t="shared" si="37"/>
        <v>8.6139140195853822E-2</v>
      </c>
      <c r="K73" s="26">
        <f t="shared" si="0"/>
        <v>-0.63745242365094879</v>
      </c>
      <c r="L73" s="26">
        <f t="shared" si="1"/>
        <v>0.3458226493260671</v>
      </c>
      <c r="M73" s="26">
        <f t="shared" si="2"/>
        <v>0.45801225656095956</v>
      </c>
      <c r="N73" s="26">
        <f t="shared" si="3"/>
        <v>0.61254252234578077</v>
      </c>
      <c r="O73" s="26">
        <f t="shared" si="4"/>
        <v>2.260010744949674E-2</v>
      </c>
      <c r="P73" s="26">
        <f t="shared" si="5"/>
        <v>0.50564978638839331</v>
      </c>
      <c r="Q73" s="26">
        <f t="shared" si="6"/>
        <v>0.1278408532373139</v>
      </c>
      <c r="R73" s="26">
        <f t="shared" si="7"/>
        <v>-1.7051444520862007</v>
      </c>
      <c r="S73" s="26">
        <f t="shared" si="8"/>
        <v>0.15379456378511516</v>
      </c>
      <c r="T73" s="26">
        <f t="shared" si="9"/>
        <v>0.94827978490638998</v>
      </c>
      <c r="U73" s="26">
        <f t="shared" si="10"/>
        <v>0.72076909731968253</v>
      </c>
      <c r="V73" s="26">
        <f t="shared" si="11"/>
        <v>-0.20667909916671662</v>
      </c>
      <c r="W73" s="26">
        <f t="shared" si="12"/>
        <v>0.44851337116881462</v>
      </c>
      <c r="X73" s="26">
        <f t="shared" si="13"/>
        <v>0.15206875088979283</v>
      </c>
      <c r="Y73" s="26">
        <f t="shared" si="14"/>
        <v>-8.1662249604587678E-2</v>
      </c>
      <c r="Z73" s="26">
        <f t="shared" si="15"/>
        <v>0.47959577551553362</v>
      </c>
      <c r="AA73" s="26">
        <f t="shared" si="16"/>
        <v>-5.1125507134495485E-2</v>
      </c>
      <c r="AB73" s="26">
        <f t="shared" si="17"/>
        <v>0.48722140650438206</v>
      </c>
      <c r="AC73" s="26">
        <f t="shared" si="18"/>
        <v>0.2117837549430262</v>
      </c>
      <c r="AD73" s="26">
        <f t="shared" si="19"/>
        <v>0.55274892648134422</v>
      </c>
      <c r="AE73" s="26">
        <f t="shared" si="20"/>
        <v>0.10001676138179502</v>
      </c>
      <c r="AF73" s="26">
        <f t="shared" si="21"/>
        <v>-1.1493542780398398</v>
      </c>
      <c r="AG73" s="26">
        <f t="shared" si="22"/>
        <v>0.240607046567302</v>
      </c>
      <c r="AH73" s="26">
        <f t="shared" si="23"/>
        <v>0.43914202121093487</v>
      </c>
      <c r="AI73" s="26">
        <f t="shared" si="24"/>
        <v>0.60805457259753626</v>
      </c>
      <c r="AJ73" s="26">
        <f t="shared" si="25"/>
        <v>-6.5387391669635683E-2</v>
      </c>
      <c r="AK73" s="26">
        <f t="shared" si="26"/>
        <v>0.48365897385415829</v>
      </c>
      <c r="AL73" s="26">
        <f t="shared" si="27"/>
        <v>0.11696300149482869</v>
      </c>
      <c r="AM73" s="27">
        <f t="shared" si="28"/>
        <v>0.49688936700373049</v>
      </c>
      <c r="AO73">
        <v>611</v>
      </c>
      <c r="AP73" s="28">
        <f>AM622</f>
        <v>3.5583436563318457E-2</v>
      </c>
    </row>
    <row r="74" spans="1:42" ht="15" customHeight="1" x14ac:dyDescent="0.2">
      <c r="A74" s="24">
        <v>63</v>
      </c>
      <c r="B74" s="29">
        <f t="shared" si="29"/>
        <v>0.56055100359803256</v>
      </c>
      <c r="C74" s="29">
        <f t="shared" si="30"/>
        <v>-1.0714106133198964</v>
      </c>
      <c r="D74" s="29">
        <f t="shared" si="31"/>
        <v>-0.64203115140490163</v>
      </c>
      <c r="E74" s="29">
        <f t="shared" si="32"/>
        <v>-0.50845204404701461</v>
      </c>
      <c r="F74" s="29">
        <f t="shared" si="33"/>
        <v>0.49105359640246576</v>
      </c>
      <c r="G74" s="29">
        <f t="shared" si="34"/>
        <v>0.46019922349113201</v>
      </c>
      <c r="H74" s="29">
        <f t="shared" si="35"/>
        <v>0.86266277951339221</v>
      </c>
      <c r="I74" s="29">
        <f t="shared" si="36"/>
        <v>-0.5887419938972116</v>
      </c>
      <c r="J74" s="29">
        <f t="shared" si="37"/>
        <v>8.5935292747545772E-2</v>
      </c>
      <c r="K74" s="26">
        <f t="shared" si="0"/>
        <v>-0.64203115140490163</v>
      </c>
      <c r="L74" s="26">
        <f t="shared" si="1"/>
        <v>0.34478753927743405</v>
      </c>
      <c r="M74" s="26">
        <f t="shared" si="2"/>
        <v>0.46019922349113201</v>
      </c>
      <c r="N74" s="26">
        <f t="shared" si="3"/>
        <v>0.61306143642482114</v>
      </c>
      <c r="O74" s="26">
        <f t="shared" si="4"/>
        <v>2.2435657259962133E-2</v>
      </c>
      <c r="P74" s="26">
        <f t="shared" si="5"/>
        <v>0.50560867905217333</v>
      </c>
      <c r="Q74" s="26">
        <f t="shared" si="6"/>
        <v>0.12782006816644181</v>
      </c>
      <c r="R74" s="26">
        <f t="shared" si="7"/>
        <v>-1.7134417647247981</v>
      </c>
      <c r="S74" s="26">
        <f t="shared" si="8"/>
        <v>0.15271783577588136</v>
      </c>
      <c r="T74" s="26">
        <f t="shared" si="9"/>
        <v>0.95125281989359778</v>
      </c>
      <c r="U74" s="26">
        <f t="shared" si="10"/>
        <v>0.7213670604150304</v>
      </c>
      <c r="V74" s="26">
        <f t="shared" si="11"/>
        <v>-0.20701979604127799</v>
      </c>
      <c r="W74" s="26">
        <f t="shared" si="12"/>
        <v>0.44842910157331889</v>
      </c>
      <c r="X74" s="26">
        <f t="shared" si="13"/>
        <v>0.15211522799560812</v>
      </c>
      <c r="Y74" s="26">
        <f t="shared" si="14"/>
        <v>-8.1480147806869074E-2</v>
      </c>
      <c r="Z74" s="26">
        <f t="shared" si="15"/>
        <v>0.47964122531883874</v>
      </c>
      <c r="AA74" s="26">
        <f t="shared" si="16"/>
        <v>-4.8252820555882592E-2</v>
      </c>
      <c r="AB74" s="26">
        <f t="shared" si="17"/>
        <v>0.48793913491443952</v>
      </c>
      <c r="AC74" s="26">
        <f t="shared" si="18"/>
        <v>0.21243366616029677</v>
      </c>
      <c r="AD74" s="26">
        <f t="shared" si="19"/>
        <v>0.55290959042713028</v>
      </c>
      <c r="AE74" s="26">
        <f t="shared" si="20"/>
        <v>9.9944917166018193E-2</v>
      </c>
      <c r="AF74" s="26">
        <f t="shared" si="21"/>
        <v>-1.1528907611267654</v>
      </c>
      <c r="AG74" s="26">
        <f t="shared" si="22"/>
        <v>0.23996146989966047</v>
      </c>
      <c r="AH74" s="26">
        <f t="shared" si="23"/>
        <v>0.44280077584658317</v>
      </c>
      <c r="AI74" s="26">
        <f t="shared" si="24"/>
        <v>0.60892619683848481</v>
      </c>
      <c r="AJ74" s="26">
        <f t="shared" si="25"/>
        <v>-6.5559301915629448E-2</v>
      </c>
      <c r="AK74" s="26">
        <f t="shared" si="26"/>
        <v>0.48361604231841282</v>
      </c>
      <c r="AL74" s="26">
        <f t="shared" si="27"/>
        <v>0.11694223819386243</v>
      </c>
      <c r="AM74" s="27">
        <f t="shared" si="28"/>
        <v>0.4968224515219305</v>
      </c>
      <c r="AO74">
        <v>621</v>
      </c>
      <c r="AP74" s="28">
        <f>AM632</f>
        <v>3.2369389178973279E-2</v>
      </c>
    </row>
    <row r="75" spans="1:42" ht="15" customHeight="1" x14ac:dyDescent="0.2">
      <c r="A75" s="24">
        <v>64</v>
      </c>
      <c r="B75" s="29">
        <f t="shared" si="29"/>
        <v>0.56534538167270398</v>
      </c>
      <c r="C75" s="29">
        <f t="shared" si="30"/>
        <v>-1.0751838692973996</v>
      </c>
      <c r="D75" s="29">
        <f t="shared" si="31"/>
        <v>-0.64663891578899813</v>
      </c>
      <c r="E75" s="29">
        <f t="shared" si="32"/>
        <v>-0.50777711170894091</v>
      </c>
      <c r="F75" s="29">
        <f t="shared" si="33"/>
        <v>0.49184218622131359</v>
      </c>
      <c r="G75" s="29">
        <f t="shared" si="34"/>
        <v>0.46238125370503613</v>
      </c>
      <c r="H75" s="29">
        <f t="shared" si="35"/>
        <v>0.86395030012952223</v>
      </c>
      <c r="I75" s="29">
        <f t="shared" si="36"/>
        <v>-0.58742651261101708</v>
      </c>
      <c r="J75" s="29">
        <f t="shared" si="37"/>
        <v>8.5721632983725246E-2</v>
      </c>
      <c r="K75" s="26">
        <f t="shared" si="0"/>
        <v>-0.64663891578899813</v>
      </c>
      <c r="L75" s="26">
        <f t="shared" si="1"/>
        <v>0.34374734917520755</v>
      </c>
      <c r="M75" s="26">
        <f t="shared" si="2"/>
        <v>0.46238125370503613</v>
      </c>
      <c r="N75" s="26">
        <f t="shared" si="3"/>
        <v>0.61357892345840226</v>
      </c>
      <c r="O75" s="26">
        <f t="shared" si="4"/>
        <v>2.2269731253582045E-2</v>
      </c>
      <c r="P75" s="26">
        <f t="shared" si="5"/>
        <v>0.50556720273165556</v>
      </c>
      <c r="Q75" s="26">
        <f t="shared" si="6"/>
        <v>0.12779909823895547</v>
      </c>
      <c r="R75" s="26">
        <f t="shared" si="7"/>
        <v>-1.7218227850863976</v>
      </c>
      <c r="S75" s="26">
        <f t="shared" si="8"/>
        <v>0.1516365263870732</v>
      </c>
      <c r="T75" s="26">
        <f t="shared" si="9"/>
        <v>0.95422343992634973</v>
      </c>
      <c r="U75" s="26">
        <f t="shared" si="10"/>
        <v>0.72196375219270104</v>
      </c>
      <c r="V75" s="26">
        <f t="shared" si="11"/>
        <v>-0.20737259371568756</v>
      </c>
      <c r="W75" s="26">
        <f t="shared" si="12"/>
        <v>0.44834184202895355</v>
      </c>
      <c r="X75" s="26">
        <f t="shared" si="13"/>
        <v>0.15216336162800401</v>
      </c>
      <c r="Y75" s="26">
        <f t="shared" si="14"/>
        <v>-8.1293534116294142E-2</v>
      </c>
      <c r="Z75" s="26">
        <f t="shared" si="15"/>
        <v>0.47968780157071333</v>
      </c>
      <c r="AA75" s="26">
        <f t="shared" si="16"/>
        <v>-4.5395858003904777E-2</v>
      </c>
      <c r="AB75" s="26">
        <f t="shared" si="17"/>
        <v>0.48865298407776459</v>
      </c>
      <c r="AC75" s="26">
        <f t="shared" si="18"/>
        <v>0.2131003348054456</v>
      </c>
      <c r="AD75" s="26">
        <f t="shared" si="19"/>
        <v>0.55307438548075949</v>
      </c>
      <c r="AE75" s="26">
        <f t="shared" si="20"/>
        <v>9.987125245670038E-2</v>
      </c>
      <c r="AF75" s="26">
        <f t="shared" si="21"/>
        <v>-1.1564774034136938</v>
      </c>
      <c r="AG75" s="26">
        <f t="shared" si="22"/>
        <v>0.23930794842986641</v>
      </c>
      <c r="AH75" s="26">
        <f t="shared" si="23"/>
        <v>0.44644632821740882</v>
      </c>
      <c r="AI75" s="26">
        <f t="shared" si="24"/>
        <v>0.60979398520073258</v>
      </c>
      <c r="AJ75" s="26">
        <f t="shared" si="25"/>
        <v>-6.5737347284551925E-2</v>
      </c>
      <c r="AK75" s="26">
        <f t="shared" si="26"/>
        <v>0.48357157889944613</v>
      </c>
      <c r="AL75" s="26">
        <f t="shared" si="27"/>
        <v>0.11692073595965163</v>
      </c>
      <c r="AM75" s="27">
        <f t="shared" si="28"/>
        <v>0.49675444828331144</v>
      </c>
      <c r="AO75">
        <v>631</v>
      </c>
      <c r="AP75" s="28">
        <f>AM642</f>
        <v>2.9642755833946533E-2</v>
      </c>
    </row>
    <row r="76" spans="1:42" ht="15" customHeight="1" x14ac:dyDescent="0.2">
      <c r="A76" s="24">
        <v>65</v>
      </c>
      <c r="B76" s="29">
        <f t="shared" si="29"/>
        <v>0.57017399486723086</v>
      </c>
      <c r="C76" s="29">
        <f t="shared" si="30"/>
        <v>-1.0790122033848109</v>
      </c>
      <c r="D76" s="29">
        <f t="shared" si="31"/>
        <v>-0.65127593923331961</v>
      </c>
      <c r="E76" s="29">
        <f t="shared" si="32"/>
        <v>-0.50711276345989298</v>
      </c>
      <c r="F76" s="29">
        <f t="shared" si="33"/>
        <v>0.49263313822261368</v>
      </c>
      <c r="G76" s="29">
        <f t="shared" si="34"/>
        <v>0.46455845418984426</v>
      </c>
      <c r="H76" s="29">
        <f t="shared" si="35"/>
        <v>0.86529138722757215</v>
      </c>
      <c r="I76" s="29">
        <f t="shared" si="36"/>
        <v>-0.58611924894065603</v>
      </c>
      <c r="J76" s="29">
        <f t="shared" si="37"/>
        <v>8.5497986433893461E-2</v>
      </c>
      <c r="K76" s="26">
        <f t="shared" ref="K76:K139" si="38">0*B76+0*C76+D76</f>
        <v>-0.65127593923331961</v>
      </c>
      <c r="L76" s="26">
        <f t="shared" ref="L76:L139" si="39">1/(1+EXP(-K76))</f>
        <v>0.3427020649662989</v>
      </c>
      <c r="M76" s="26">
        <f t="shared" ref="M76:M139" si="40">0*E76+0*F76+G76</f>
        <v>0.46455845418984426</v>
      </c>
      <c r="N76" s="26">
        <f t="shared" ref="N76:N139" si="41">1/(1+EXP(-M76))</f>
        <v>0.61409500949546258</v>
      </c>
      <c r="O76" s="26">
        <f t="shared" ref="O76:O139" si="42">L76*H76+N76*I76+J76</f>
        <v>2.2102225890650209E-2</v>
      </c>
      <c r="P76" s="26">
        <f t="shared" ref="P76:P139" si="43">1/(1+EXP(-O76))</f>
        <v>0.5055253315435928</v>
      </c>
      <c r="Q76" s="26">
        <f t="shared" ref="Q76:Q139" si="44">0.5*(0-P76)^2</f>
        <v>0.12777793041612973</v>
      </c>
      <c r="R76" s="26">
        <f t="shared" ref="R76:R139" si="45">0*B76+1*C76+D76</f>
        <v>-1.7302881426181305</v>
      </c>
      <c r="S76" s="26">
        <f t="shared" ref="S76:S139" si="46">1/(1+EXP(-R76))</f>
        <v>0.15055072685740337</v>
      </c>
      <c r="T76" s="26">
        <f t="shared" ref="T76:T139" si="47">0*E76+1*F76+G76</f>
        <v>0.95719159241245788</v>
      </c>
      <c r="U76" s="26">
        <f t="shared" ref="U76:U139" si="48">1/(1+EXP(-T76))</f>
        <v>0.72255916294574063</v>
      </c>
      <c r="V76" s="26">
        <f t="shared" ref="V76:V139" si="49">S76*H76+U76*I76+J76</f>
        <v>-0.20773760017649129</v>
      </c>
      <c r="W76" s="26">
        <f t="shared" ref="W76:W139" si="50">1/(1+EXP(-V76))</f>
        <v>0.44825156616052719</v>
      </c>
      <c r="X76" s="26">
        <f t="shared" ref="X76:X139" si="51">0.5*(1-W76)^2</f>
        <v>0.15221316712215555</v>
      </c>
      <c r="Y76" s="26">
        <f t="shared" ref="Y76:Y139" si="52">1*B76+0*C76+D76</f>
        <v>-8.1101944366088752E-2</v>
      </c>
      <c r="Z76" s="26">
        <f t="shared" ref="Z76:Z139" si="53">1/(1+EXP(-Y76))</f>
        <v>0.47973562014707488</v>
      </c>
      <c r="AA76" s="26">
        <f t="shared" ref="AA76:AA139" si="54">1*E76+0*F76+G76</f>
        <v>-4.2554309270048718E-2</v>
      </c>
      <c r="AB76" s="26">
        <f t="shared" ref="AB76:AB139" si="55">1/(1+EXP(-AA76))</f>
        <v>0.48936302781451951</v>
      </c>
      <c r="AC76" s="26">
        <f t="shared" ref="AC76:AC139" si="56">Z76*H76+AB76*I76+J76</f>
        <v>0.21378399637146389</v>
      </c>
      <c r="AD76" s="26">
        <f t="shared" ref="AD76:AD139" si="57">1/(1+EXP(-AC76))</f>
        <v>0.55324336893443338</v>
      </c>
      <c r="AE76" s="26">
        <f t="shared" ref="AE76:AE139" si="58">0.5*(1-AD76)^2</f>
        <v>9.9795743700527406E-2</v>
      </c>
      <c r="AF76" s="26">
        <f t="shared" ref="AF76:AF139" si="59">1*B76+1*C76+D76</f>
        <v>-1.1601141477508996</v>
      </c>
      <c r="AG76" s="26">
        <f t="shared" ref="AG76:AG139" si="60">1/(1+EXP(-AF76))</f>
        <v>0.23864654453452208</v>
      </c>
      <c r="AH76" s="26">
        <f t="shared" ref="AH76:AH139" si="61">1*E76+1*F76+G76</f>
        <v>0.45007882895256496</v>
      </c>
      <c r="AI76" s="26">
        <f t="shared" ref="AI76:AI139" si="62">1/(1+EXP(-AH76))</f>
        <v>0.61065797607552419</v>
      </c>
      <c r="AJ76" s="26">
        <f t="shared" ref="AJ76:AJ139" si="63">AG76*H76+AI76*I76+J76</f>
        <v>-6.5921608285770691E-2</v>
      </c>
      <c r="AK76" s="26">
        <f t="shared" ref="AK76:AK139" si="64">1/(1+EXP(-AJ76))</f>
        <v>0.48352556351932369</v>
      </c>
      <c r="AL76" s="26">
        <f t="shared" ref="AL76:AL139" si="65">0.5*(0-AK76)^2</f>
        <v>0.11689848528833977</v>
      </c>
      <c r="AM76" s="27">
        <f t="shared" ref="AM76:AM139" si="66">Q76+X76+AE76+AL76</f>
        <v>0.49668532652715247</v>
      </c>
      <c r="AO76">
        <v>641</v>
      </c>
      <c r="AP76" s="28">
        <f>AM652</f>
        <v>2.7305805490173869E-2</v>
      </c>
    </row>
    <row r="77" spans="1:42" ht="15" customHeight="1" x14ac:dyDescent="0.2">
      <c r="A77" s="24">
        <v>66</v>
      </c>
      <c r="B77" s="29">
        <f t="shared" ref="B77:B140" si="67">B76-$C$6*(((((P76)-0)*(P76)*(1-(P76)))*H76*(L76)*(1-(L76))*0)+((((W76)-1)*(W76)*(1-(W76)))*H76*(S76)*(1-(S76))*0)+((((AD76)-1)*(AD76)*(1-(AD76)))*H76*(Z76)*(1-(Z76))*1)+((((AK76)-0)*(AK76)*(1-(AK76)))*H76*(AG76)*(1-(AG76))*1))</f>
        <v>0.57503753647188138</v>
      </c>
      <c r="C77" s="29">
        <f t="shared" ref="C77:C140" si="68">C76-$C$6*(((((P76)-0)*(P76)*(1-(P76)))*H76*(L76)*(1-(L76))*0)+((((W76)-1)*(W76)*(1-(W76)))*H76*(S76)*(1-(S76))*1)+((((AD76)-1)*(AD76)*(1-(AD76)))*H76*(Z76)*(1-(Z76))*0)+((((AK76)-0)*(AK76)*(1-(AK76)))*H76*(AG76)*(1-(AG76))*1))</f>
        <v>-1.082896031402701</v>
      </c>
      <c r="D77" s="29">
        <f t="shared" ref="D77:D140" si="69">D76-$C$6*(((((P76)-0)*(P76)*(1-(P76)))*H76*(L76)*(1-(L76)))+((((W76)-1)*(W76)*(1-(W76)))*H76*(S76)*(1-(S76)))+((((AD76)-1)*(AD76)*(1-(AD76)))*H76*(Z76)*(1-(Z76)))+((((AK76)-0)*(AK76)*(1-(AK76)))*H76*(AG76)*(1-(AG76))))</f>
        <v>-0.65594244639953547</v>
      </c>
      <c r="E77" s="29">
        <f t="shared" ref="E77:E140" si="70">E76-$C$6*(((((P76)-0)*(P76)*(1-(P76)))*I76*(N76)*(1-(N76))*0)+((((W76)-1)*(W76)*(1-(W76)))*I76*(U76)*(1-(U76))*0)+((((AD76)-1)*(AD76)*(1-(AD76)))*I76*(AB76)*(1-(AB76))*1)+((((AK76)-0)*(AK76)*(1-(AK76)))*I76*(AI76)*(1-(AI76))*1))</f>
        <v>-0.50645879600148458</v>
      </c>
      <c r="F77" s="29">
        <f t="shared" ref="F77:F140" si="71">F76-$C$6*(((((P76)-0)*(P76)*(1-(P76)))*I76*(N76)*(1-(N76))*0)+((((W76)-1)*(W76)*(1-(W76)))*I76*(U76)*(1-(U76))*1)+((((AD76)-1)*(AD76)*(1-(AD76)))*I76*(AB76)*(1-(AB76))*0)+((((AK76)-0)*(AK76)*(1-(AK76)))*I76*(AI76)*(1-(AI76))*1))</f>
        <v>0.49342629312605119</v>
      </c>
      <c r="G77" s="29">
        <f t="shared" ref="G77:G140" si="72">G76-$C$6*(((((P76)-0)*(P76)*(1-(P76)))*I76*(N76)*(1-(N76)))+((((W76)-1)*(W76)*(1-(W76)))*I76*(U76)*(1-(U76)))+((((AD76)-1)*(AD76)*(1-(AD76)))*I76*(AB76)*(1-(AB76)))+((((AK76)-0)*(AK76)*(1-(AK76)))*I76*(AI76)*(1-(AI76))))</f>
        <v>0.46673093068777638</v>
      </c>
      <c r="H77" s="29">
        <f t="shared" ref="H77:H140" si="73">H76-$C$6*((((P76)-0)*(P76)*(1-(P76))*L76)+(((W76)-1)*(W76)*(1-(W76))*S76)+(((AD76)-1)*(AD76)*(1-(AD76))*Z76)+(((AK76)-0)*(AK76)*(1-(AK76))*AG76))</f>
        <v>0.86668670010494864</v>
      </c>
      <c r="I77" s="29">
        <f t="shared" ref="I77:I140" si="74">I76-$C$6*((((P76)-0)*(P76)*(1-(P76))*N76)+(((W76)-1)*(W76)*(1-(W76))*U76)+(((AD76)-1)*(AD76)*(1-(AD76))*AB76)+(((AK76)-0)*(AK76)*(1-(AK76))*AI76))</f>
        <v>-0.58482007339530462</v>
      </c>
      <c r="J77" s="29">
        <f t="shared" ref="J77:J140" si="75">J76-$C$6*((((P76)-0)*(P76)*(1-(P76)))+(((W76)-1)*(W76)*(1-(W76)))+(((AD76)-1)*(AD76)*(1-(AD76)))+(((AK76)-0)*(AK76)*(1-(AK76))))</f>
        <v>8.5264176253205051E-2</v>
      </c>
      <c r="K77" s="26">
        <f t="shared" si="38"/>
        <v>-0.65594244639953547</v>
      </c>
      <c r="L77" s="26">
        <f t="shared" si="39"/>
        <v>0.34165167281085235</v>
      </c>
      <c r="M77" s="26">
        <f t="shared" si="40"/>
        <v>0.46673093068777638</v>
      </c>
      <c r="N77" s="26">
        <f t="shared" si="41"/>
        <v>0.61460972025208571</v>
      </c>
      <c r="O77" s="26">
        <f t="shared" si="42"/>
        <v>2.1933035439685847E-2</v>
      </c>
      <c r="P77" s="26">
        <f t="shared" si="43"/>
        <v>0.50548303905668024</v>
      </c>
      <c r="Q77" s="26">
        <f t="shared" si="44"/>
        <v>0.12775655138698866</v>
      </c>
      <c r="R77" s="26">
        <f t="shared" si="45"/>
        <v>-1.7388384778022363</v>
      </c>
      <c r="S77" s="26">
        <f t="shared" si="46"/>
        <v>0.14946052953689579</v>
      </c>
      <c r="T77" s="26">
        <f t="shared" si="47"/>
        <v>0.96015722381382762</v>
      </c>
      <c r="U77" s="26">
        <f t="shared" si="48"/>
        <v>0.72315328284697389</v>
      </c>
      <c r="V77" s="26">
        <f t="shared" si="49"/>
        <v>-0.20811492655714731</v>
      </c>
      <c r="W77" s="26">
        <f t="shared" si="50"/>
        <v>0.44815824683109562</v>
      </c>
      <c r="X77" s="26">
        <f t="shared" si="51"/>
        <v>0.152264660270265</v>
      </c>
      <c r="Y77" s="26">
        <f t="shared" si="52"/>
        <v>-8.090490992765409E-2</v>
      </c>
      <c r="Z77" s="26">
        <f t="shared" si="53"/>
        <v>0.47978479804165608</v>
      </c>
      <c r="AA77" s="26">
        <f t="shared" si="54"/>
        <v>-3.9727865313708199E-2</v>
      </c>
      <c r="AB77" s="26">
        <f t="shared" si="55"/>
        <v>0.49006933977001937</v>
      </c>
      <c r="AC77" s="26">
        <f t="shared" si="56"/>
        <v>0.21448489237535595</v>
      </c>
      <c r="AD77" s="26">
        <f t="shared" si="57"/>
        <v>0.5534165995242073</v>
      </c>
      <c r="AE77" s="26">
        <f t="shared" si="58"/>
        <v>9.9718366790261123E-2</v>
      </c>
      <c r="AF77" s="26">
        <f t="shared" si="59"/>
        <v>-1.1638009413303552</v>
      </c>
      <c r="AG77" s="26">
        <f t="shared" si="60"/>
        <v>0.2379773204859717</v>
      </c>
      <c r="AH77" s="26">
        <f t="shared" si="61"/>
        <v>0.45369842781234299</v>
      </c>
      <c r="AI77" s="26">
        <f t="shared" si="62"/>
        <v>0.61151820762896847</v>
      </c>
      <c r="AJ77" s="26">
        <f t="shared" si="63"/>
        <v>-6.6112168223128806E-2</v>
      </c>
      <c r="AK77" s="26">
        <f t="shared" si="64"/>
        <v>0.48347797540383664</v>
      </c>
      <c r="AL77" s="26">
        <f t="shared" si="65"/>
        <v>0.11687547635029644</v>
      </c>
      <c r="AM77" s="27">
        <f t="shared" si="66"/>
        <v>0.49661505479781126</v>
      </c>
      <c r="AO77">
        <v>651</v>
      </c>
      <c r="AP77" s="28">
        <f>AM662</f>
        <v>2.5284272352271233E-2</v>
      </c>
    </row>
    <row r="78" spans="1:42" ht="15" customHeight="1" x14ac:dyDescent="0.2">
      <c r="A78" s="24">
        <v>67</v>
      </c>
      <c r="B78" s="29">
        <f t="shared" si="67"/>
        <v>0.57993670662661934</v>
      </c>
      <c r="C78" s="29">
        <f t="shared" si="68"/>
        <v>-1.0868357779822215</v>
      </c>
      <c r="D78" s="29">
        <f t="shared" si="69"/>
        <v>-0.66063866411530381</v>
      </c>
      <c r="E78" s="29">
        <f t="shared" si="70"/>
        <v>-0.50581500589577078</v>
      </c>
      <c r="F78" s="29">
        <f t="shared" si="71"/>
        <v>0.49422149187910958</v>
      </c>
      <c r="G78" s="29">
        <f t="shared" si="72"/>
        <v>0.46889878772430299</v>
      </c>
      <c r="H78" s="29">
        <f t="shared" si="73"/>
        <v>0.86813690900245954</v>
      </c>
      <c r="I78" s="29">
        <f t="shared" si="74"/>
        <v>-0.58352885640424046</v>
      </c>
      <c r="J78" s="29">
        <f t="shared" si="75"/>
        <v>8.5020023168483977E-2</v>
      </c>
      <c r="K78" s="26">
        <f t="shared" si="38"/>
        <v>-0.66063866411530381</v>
      </c>
      <c r="L78" s="26">
        <f t="shared" si="39"/>
        <v>0.34059615911021446</v>
      </c>
      <c r="M78" s="26">
        <f t="shared" si="40"/>
        <v>0.46889878772430299</v>
      </c>
      <c r="N78" s="26">
        <f t="shared" si="41"/>
        <v>0.61512308111856451</v>
      </c>
      <c r="O78" s="26">
        <f t="shared" si="42"/>
        <v>2.1762051883566641E-2</v>
      </c>
      <c r="P78" s="26">
        <f t="shared" si="43"/>
        <v>0.50544029826808601</v>
      </c>
      <c r="Q78" s="26">
        <f t="shared" si="44"/>
        <v>0.12773494755666587</v>
      </c>
      <c r="R78" s="26">
        <f t="shared" si="45"/>
        <v>-1.7474744420975252</v>
      </c>
      <c r="S78" s="26">
        <f t="shared" si="46"/>
        <v>0.1483660279242387</v>
      </c>
      <c r="T78" s="26">
        <f t="shared" si="47"/>
        <v>0.96312027960341262</v>
      </c>
      <c r="U78" s="26">
        <f t="shared" si="48"/>
        <v>0.72374610194162092</v>
      </c>
      <c r="V78" s="26">
        <f t="shared" si="49"/>
        <v>-0.20850468714141571</v>
      </c>
      <c r="W78" s="26">
        <f t="shared" si="50"/>
        <v>0.44806185614173577</v>
      </c>
      <c r="X78" s="26">
        <f t="shared" si="51"/>
        <v>0.152317857322853</v>
      </c>
      <c r="Y78" s="26">
        <f t="shared" si="52"/>
        <v>-8.0701957488684473E-2</v>
      </c>
      <c r="Z78" s="26">
        <f t="shared" si="53"/>
        <v>0.47983545342164452</v>
      </c>
      <c r="AA78" s="26">
        <f t="shared" si="54"/>
        <v>-3.6916218171467785E-2</v>
      </c>
      <c r="AB78" s="26">
        <f t="shared" si="55"/>
        <v>0.4907719934327851</v>
      </c>
      <c r="AC78" s="26">
        <f t="shared" si="56"/>
        <v>0.21520327044868162</v>
      </c>
      <c r="AD78" s="26">
        <f t="shared" si="57"/>
        <v>0.55359413745024666</v>
      </c>
      <c r="AE78" s="26">
        <f t="shared" si="58"/>
        <v>9.9639097059394638E-2</v>
      </c>
      <c r="AF78" s="26">
        <f t="shared" si="59"/>
        <v>-1.167537735470906</v>
      </c>
      <c r="AG78" s="26">
        <f t="shared" si="60"/>
        <v>0.23730033849567111</v>
      </c>
      <c r="AH78" s="26">
        <f t="shared" si="61"/>
        <v>0.45730527370764179</v>
      </c>
      <c r="AI78" s="26">
        <f t="shared" si="62"/>
        <v>0.61237471780505981</v>
      </c>
      <c r="AJ78" s="26">
        <f t="shared" si="63"/>
        <v>-6.6309113236302758E-2</v>
      </c>
      <c r="AK78" s="26">
        <f t="shared" si="64"/>
        <v>0.48342879307225528</v>
      </c>
      <c r="AL78" s="26">
        <f t="shared" si="65"/>
        <v>0.11685169898564871</v>
      </c>
      <c r="AM78" s="27">
        <f t="shared" si="66"/>
        <v>0.49654360092456229</v>
      </c>
      <c r="AO78">
        <v>661</v>
      </c>
      <c r="AP78" s="28">
        <f>AM672</f>
        <v>2.3520970960425665E-2</v>
      </c>
    </row>
    <row r="79" spans="1:42" ht="15" customHeight="1" x14ac:dyDescent="0.2">
      <c r="A79" s="24">
        <v>68</v>
      </c>
      <c r="B79" s="29">
        <f t="shared" si="67"/>
        <v>0.58487221247345844</v>
      </c>
      <c r="C79" s="29">
        <f t="shared" si="68"/>
        <v>-1.0908318765702336</v>
      </c>
      <c r="D79" s="29">
        <f t="shared" si="69"/>
        <v>-0.66536482130575891</v>
      </c>
      <c r="E79" s="29">
        <f t="shared" si="70"/>
        <v>-0.50518118950288116</v>
      </c>
      <c r="F79" s="29">
        <f t="shared" si="71"/>
        <v>0.49501857558654833</v>
      </c>
      <c r="G79" s="29">
        <f t="shared" si="72"/>
        <v>0.47106212863557317</v>
      </c>
      <c r="H79" s="29">
        <f t="shared" si="73"/>
        <v>0.869642695115035</v>
      </c>
      <c r="I79" s="29">
        <f t="shared" si="74"/>
        <v>-0.58224546825539292</v>
      </c>
      <c r="J79" s="29">
        <f t="shared" si="75"/>
        <v>8.4765345423656255E-2</v>
      </c>
      <c r="K79" s="26">
        <f t="shared" si="38"/>
        <v>-0.66536482130575891</v>
      </c>
      <c r="L79" s="26">
        <f t="shared" si="39"/>
        <v>0.33953551053559644</v>
      </c>
      <c r="M79" s="26">
        <f t="shared" si="40"/>
        <v>0.47106212863557317</v>
      </c>
      <c r="N79" s="26">
        <f t="shared" si="41"/>
        <v>0.61563511716626684</v>
      </c>
      <c r="O79" s="26">
        <f t="shared" si="42"/>
        <v>2.1589164824155002E-2</v>
      </c>
      <c r="P79" s="26">
        <f t="shared" si="43"/>
        <v>0.50539708157960461</v>
      </c>
      <c r="Q79" s="26">
        <f t="shared" si="44"/>
        <v>0.12771310503459077</v>
      </c>
      <c r="R79" s="26">
        <f t="shared" si="45"/>
        <v>-1.7561966978759926</v>
      </c>
      <c r="S79" s="26">
        <f t="shared" si="46"/>
        <v>0.14726731670385582</v>
      </c>
      <c r="T79" s="26">
        <f t="shared" si="47"/>
        <v>0.96608070422212156</v>
      </c>
      <c r="U79" s="26">
        <f t="shared" si="48"/>
        <v>0.72433761013996878</v>
      </c>
      <c r="V79" s="26">
        <f t="shared" si="49"/>
        <v>-0.20890699936658147</v>
      </c>
      <c r="W79" s="26">
        <f t="shared" si="50"/>
        <v>0.44796236543138551</v>
      </c>
      <c r="X79" s="26">
        <f t="shared" si="51"/>
        <v>0.15237277499005555</v>
      </c>
      <c r="Y79" s="26">
        <f t="shared" si="52"/>
        <v>-8.0492608832300472E-2</v>
      </c>
      <c r="Z79" s="26">
        <f t="shared" si="53"/>
        <v>0.47988770568309347</v>
      </c>
      <c r="AA79" s="26">
        <f t="shared" si="54"/>
        <v>-3.4119060867307982E-2</v>
      </c>
      <c r="AB79" s="26">
        <f t="shared" si="55"/>
        <v>0.49147106215249725</v>
      </c>
      <c r="AC79" s="26">
        <f t="shared" si="56"/>
        <v>0.21593938442951627</v>
      </c>
      <c r="AD79" s="26">
        <f t="shared" si="57"/>
        <v>0.55377604439733308</v>
      </c>
      <c r="AE79" s="26">
        <f t="shared" si="58"/>
        <v>9.9557909276845435E-2</v>
      </c>
      <c r="AF79" s="26">
        <f t="shared" si="59"/>
        <v>-1.171324485402534</v>
      </c>
      <c r="AG79" s="26">
        <f t="shared" si="60"/>
        <v>0.23661566075745627</v>
      </c>
      <c r="AH79" s="26">
        <f t="shared" si="61"/>
        <v>0.46089951471924034</v>
      </c>
      <c r="AI79" s="26">
        <f t="shared" si="62"/>
        <v>0.61322754432869064</v>
      </c>
      <c r="AJ79" s="26">
        <f t="shared" si="63"/>
        <v>-6.6512532343567868E-2</v>
      </c>
      <c r="AK79" s="26">
        <f t="shared" si="64"/>
        <v>0.48337799432673517</v>
      </c>
      <c r="AL79" s="26">
        <f t="shared" si="65"/>
        <v>0.11682714269966861</v>
      </c>
      <c r="AM79" s="27">
        <f t="shared" si="66"/>
        <v>0.49647093200116033</v>
      </c>
      <c r="AO79">
        <v>671</v>
      </c>
      <c r="AP79" s="28">
        <f>AM682</f>
        <v>2.1971310306763723E-2</v>
      </c>
    </row>
    <row r="80" spans="1:42" ht="15" customHeight="1" x14ac:dyDescent="0.2">
      <c r="A80" s="24">
        <v>69</v>
      </c>
      <c r="B80" s="29">
        <f t="shared" si="67"/>
        <v>0.58984476830465893</v>
      </c>
      <c r="C80" s="29">
        <f t="shared" si="68"/>
        <v>-1.0948847694322372</v>
      </c>
      <c r="D80" s="29">
        <f t="shared" si="69"/>
        <v>-0.67012114892198138</v>
      </c>
      <c r="E80" s="29">
        <f t="shared" si="70"/>
        <v>-0.50455714291878118</v>
      </c>
      <c r="F80" s="29">
        <f t="shared" si="71"/>
        <v>0.49581738544058296</v>
      </c>
      <c r="G80" s="29">
        <f t="shared" si="72"/>
        <v>0.47322105559508426</v>
      </c>
      <c r="H80" s="29">
        <f t="shared" si="73"/>
        <v>0.87120475059916169</v>
      </c>
      <c r="I80" s="29">
        <f t="shared" si="74"/>
        <v>-0.58096977903436453</v>
      </c>
      <c r="J80" s="29">
        <f t="shared" si="75"/>
        <v>8.4499958724598159E-2</v>
      </c>
      <c r="K80" s="26">
        <f t="shared" si="38"/>
        <v>-0.67012114892198138</v>
      </c>
      <c r="L80" s="26">
        <f t="shared" si="39"/>
        <v>0.33846971405744003</v>
      </c>
      <c r="M80" s="26">
        <f t="shared" si="40"/>
        <v>0.47322105559508426</v>
      </c>
      <c r="N80" s="26">
        <f t="shared" si="41"/>
        <v>0.61614585315431047</v>
      </c>
      <c r="O80" s="26">
        <f t="shared" si="42"/>
        <v>2.141426138538001E-2</v>
      </c>
      <c r="P80" s="26">
        <f t="shared" si="43"/>
        <v>0.50535336077342419</v>
      </c>
      <c r="Q80" s="26">
        <f t="shared" si="44"/>
        <v>0.12769100962249733</v>
      </c>
      <c r="R80" s="26">
        <f t="shared" si="45"/>
        <v>-1.7650059183542186</v>
      </c>
      <c r="S80" s="26">
        <f t="shared" si="46"/>
        <v>0.14616449178266547</v>
      </c>
      <c r="T80" s="26">
        <f t="shared" si="47"/>
        <v>0.96903844103566716</v>
      </c>
      <c r="U80" s="26">
        <f t="shared" si="48"/>
        <v>0.72492779721009271</v>
      </c>
      <c r="V80" s="26">
        <f t="shared" si="49"/>
        <v>-0.20932198382644773</v>
      </c>
      <c r="W80" s="26">
        <f t="shared" si="50"/>
        <v>0.44785974527676881</v>
      </c>
      <c r="X80" s="26">
        <f t="shared" si="51"/>
        <v>0.15242943044291735</v>
      </c>
      <c r="Y80" s="26">
        <f t="shared" si="52"/>
        <v>-8.0276380617322451E-2</v>
      </c>
      <c r="Z80" s="26">
        <f t="shared" si="53"/>
        <v>0.47994167550607347</v>
      </c>
      <c r="AA80" s="26">
        <f t="shared" si="54"/>
        <v>-3.1336087323696915E-2</v>
      </c>
      <c r="AB80" s="26">
        <f t="shared" si="55"/>
        <v>0.49216661915785265</v>
      </c>
      <c r="AC80" s="26">
        <f t="shared" si="56"/>
        <v>0.21669349445578279</v>
      </c>
      <c r="AD80" s="26">
        <f t="shared" si="57"/>
        <v>0.55396238355560112</v>
      </c>
      <c r="AE80" s="26">
        <f t="shared" si="58"/>
        <v>9.9474777641700346E-2</v>
      </c>
      <c r="AF80" s="26">
        <f t="shared" si="59"/>
        <v>-1.1751611500495596</v>
      </c>
      <c r="AG80" s="26">
        <f t="shared" si="60"/>
        <v>0.23592334949070604</v>
      </c>
      <c r="AH80" s="26">
        <f t="shared" si="61"/>
        <v>0.46448129811688604</v>
      </c>
      <c r="AI80" s="26">
        <f t="shared" si="62"/>
        <v>0.61407672470865704</v>
      </c>
      <c r="AJ80" s="26">
        <f t="shared" si="63"/>
        <v>-6.6722517485967234E-2</v>
      </c>
      <c r="AK80" s="26">
        <f t="shared" si="64"/>
        <v>0.4833255562413768</v>
      </c>
      <c r="AL80" s="26">
        <f t="shared" si="65"/>
        <v>0.11680179665801814</v>
      </c>
      <c r="AM80" s="27">
        <f t="shared" si="66"/>
        <v>0.49639701436513317</v>
      </c>
      <c r="AO80">
        <v>681</v>
      </c>
      <c r="AP80" s="28">
        <f>AM692</f>
        <v>2.0600106225029571E-2</v>
      </c>
    </row>
    <row r="81" spans="1:42" ht="15" customHeight="1" x14ac:dyDescent="0.2">
      <c r="A81" s="24">
        <v>70</v>
      </c>
      <c r="B81" s="29">
        <f t="shared" si="67"/>
        <v>0.59485509570651784</v>
      </c>
      <c r="C81" s="29">
        <f t="shared" si="68"/>
        <v>-1.0989949076528249</v>
      </c>
      <c r="D81" s="29">
        <f t="shared" si="69"/>
        <v>-0.67490787986634948</v>
      </c>
      <c r="E81" s="29">
        <f t="shared" si="70"/>
        <v>-0.50394266191314552</v>
      </c>
      <c r="F81" s="29">
        <f t="shared" si="71"/>
        <v>0.49661776265174551</v>
      </c>
      <c r="G81" s="29">
        <f t="shared" si="72"/>
        <v>0.47537566963960703</v>
      </c>
      <c r="H81" s="29">
        <f t="shared" si="73"/>
        <v>0.87282377857671711</v>
      </c>
      <c r="I81" s="29">
        <f t="shared" si="74"/>
        <v>-0.57970165856391576</v>
      </c>
      <c r="J81" s="29">
        <f t="shared" si="75"/>
        <v>8.4223676183401472E-2</v>
      </c>
      <c r="K81" s="26">
        <f t="shared" si="38"/>
        <v>-0.67490787986634948</v>
      </c>
      <c r="L81" s="26">
        <f t="shared" si="39"/>
        <v>0.33739875697549621</v>
      </c>
      <c r="M81" s="26">
        <f t="shared" si="40"/>
        <v>0.47537566963960703</v>
      </c>
      <c r="N81" s="26">
        <f t="shared" si="41"/>
        <v>0.61665531353604908</v>
      </c>
      <c r="O81" s="26">
        <f t="shared" si="42"/>
        <v>2.1237226114742422E-2</v>
      </c>
      <c r="P81" s="26">
        <f t="shared" si="43"/>
        <v>0.50530910698749987</v>
      </c>
      <c r="Q81" s="26">
        <f t="shared" si="44"/>
        <v>0.12766864680225229</v>
      </c>
      <c r="R81" s="26">
        <f t="shared" si="45"/>
        <v>-1.7739027875191744</v>
      </c>
      <c r="S81" s="26">
        <f t="shared" si="46"/>
        <v>0.14505765032649515</v>
      </c>
      <c r="T81" s="26">
        <f t="shared" si="47"/>
        <v>0.9719934322913526</v>
      </c>
      <c r="U81" s="26">
        <f t="shared" si="48"/>
        <v>0.72551665277063171</v>
      </c>
      <c r="V81" s="26">
        <f t="shared" si="49"/>
        <v>-0.20974976427404263</v>
      </c>
      <c r="W81" s="26">
        <f t="shared" si="50"/>
        <v>0.44775396549241814</v>
      </c>
      <c r="X81" s="26">
        <f t="shared" si="51"/>
        <v>0.15248784131467469</v>
      </c>
      <c r="Y81" s="26">
        <f t="shared" si="52"/>
        <v>-8.0052784159831636E-2</v>
      </c>
      <c r="Z81" s="26">
        <f t="shared" si="53"/>
        <v>0.47999748490952754</v>
      </c>
      <c r="AA81" s="26">
        <f t="shared" si="54"/>
        <v>-2.8566992273538483E-2</v>
      </c>
      <c r="AB81" s="26">
        <f t="shared" si="55"/>
        <v>0.49285873757432597</v>
      </c>
      <c r="AC81" s="26">
        <f t="shared" si="56"/>
        <v>0.21746586705990162</v>
      </c>
      <c r="AD81" s="26">
        <f t="shared" si="57"/>
        <v>0.55415321964148967</v>
      </c>
      <c r="AE81" s="26">
        <f t="shared" si="58"/>
        <v>9.9389675778024877E-2</v>
      </c>
      <c r="AF81" s="26">
        <f t="shared" si="59"/>
        <v>-1.1790476918126567</v>
      </c>
      <c r="AG81" s="26">
        <f t="shared" si="60"/>
        <v>0.23522346698339378</v>
      </c>
      <c r="AH81" s="26">
        <f t="shared" si="61"/>
        <v>0.46805077037820703</v>
      </c>
      <c r="AI81" s="26">
        <f t="shared" si="62"/>
        <v>0.61492229624065553</v>
      </c>
      <c r="AJ81" s="26">
        <f t="shared" si="63"/>
        <v>-6.6939163572876673E-2</v>
      </c>
      <c r="AK81" s="26">
        <f t="shared" si="64"/>
        <v>0.48327145515094283</v>
      </c>
      <c r="AL81" s="26">
        <f t="shared" si="65"/>
        <v>0.11677564968185487</v>
      </c>
      <c r="AM81" s="27">
        <f t="shared" si="66"/>
        <v>0.49632181357680671</v>
      </c>
      <c r="AO81">
        <v>691</v>
      </c>
      <c r="AP81" s="28">
        <f>AM702</f>
        <v>1.9379288587089951E-2</v>
      </c>
    </row>
    <row r="82" spans="1:42" ht="15" customHeight="1" x14ac:dyDescent="0.2">
      <c r="A82" s="24">
        <v>71</v>
      </c>
      <c r="B82" s="29">
        <f t="shared" si="67"/>
        <v>0.59990392369848877</v>
      </c>
      <c r="C82" s="29">
        <f t="shared" si="68"/>
        <v>-1.1031627511333724</v>
      </c>
      <c r="D82" s="29">
        <f t="shared" si="69"/>
        <v>-0.67972524891467212</v>
      </c>
      <c r="E82" s="29">
        <f t="shared" si="70"/>
        <v>-0.50333754186732893</v>
      </c>
      <c r="F82" s="29">
        <f t="shared" si="71"/>
        <v>0.49741954838040603</v>
      </c>
      <c r="G82" s="29">
        <f t="shared" si="72"/>
        <v>0.47752607069438047</v>
      </c>
      <c r="H82" s="29">
        <f t="shared" si="73"/>
        <v>0.87450049313487832</v>
      </c>
      <c r="I82" s="29">
        <f t="shared" si="74"/>
        <v>-0.57844097634390201</v>
      </c>
      <c r="J82" s="29">
        <f t="shared" si="75"/>
        <v>8.3936308262058779E-2</v>
      </c>
      <c r="K82" s="26">
        <f t="shared" si="38"/>
        <v>-0.67972524891467212</v>
      </c>
      <c r="L82" s="26">
        <f t="shared" si="39"/>
        <v>0.33632262694962545</v>
      </c>
      <c r="M82" s="26">
        <f t="shared" si="40"/>
        <v>0.47752607069438047</v>
      </c>
      <c r="N82" s="26">
        <f t="shared" si="41"/>
        <v>0.61716352246537409</v>
      </c>
      <c r="O82" s="26">
        <f t="shared" si="42"/>
        <v>2.1057940883211279E-2</v>
      </c>
      <c r="P82" s="26">
        <f t="shared" si="43"/>
        <v>0.50526429069052314</v>
      </c>
      <c r="Q82" s="26">
        <f t="shared" si="44"/>
        <v>0.12764600172349874</v>
      </c>
      <c r="R82" s="26">
        <f t="shared" si="45"/>
        <v>-1.7828880000480445</v>
      </c>
      <c r="S82" s="26">
        <f t="shared" si="46"/>
        <v>0.14394689079611633</v>
      </c>
      <c r="T82" s="26">
        <f t="shared" si="47"/>
        <v>0.9749456190747865</v>
      </c>
      <c r="U82" s="26">
        <f t="shared" si="48"/>
        <v>0.72610416628360874</v>
      </c>
      <c r="V82" s="26">
        <f t="shared" si="49"/>
        <v>-0.21019046762397064</v>
      </c>
      <c r="W82" s="26">
        <f t="shared" si="50"/>
        <v>0.44764499513081396</v>
      </c>
      <c r="X82" s="26">
        <f t="shared" si="51"/>
        <v>0.15254802570201931</v>
      </c>
      <c r="Y82" s="26">
        <f t="shared" si="52"/>
        <v>-7.9821325216183348E-2</v>
      </c>
      <c r="Z82" s="26">
        <f t="shared" si="53"/>
        <v>0.48005525730578957</v>
      </c>
      <c r="AA82" s="26">
        <f t="shared" si="54"/>
        <v>-2.5811471172948464E-2</v>
      </c>
      <c r="AB82" s="26">
        <f t="shared" si="55"/>
        <v>0.49354749044183782</v>
      </c>
      <c r="AC82" s="26">
        <f t="shared" si="56"/>
        <v>0.21825677526470333</v>
      </c>
      <c r="AD82" s="26">
        <f t="shared" si="57"/>
        <v>0.55434861891888787</v>
      </c>
      <c r="AE82" s="26">
        <f t="shared" si="58"/>
        <v>9.9302576729751318E-2</v>
      </c>
      <c r="AF82" s="26">
        <f t="shared" si="59"/>
        <v>-1.1829840763495558</v>
      </c>
      <c r="AG82" s="26">
        <f t="shared" si="60"/>
        <v>0.2345160756350223</v>
      </c>
      <c r="AH82" s="26">
        <f t="shared" si="61"/>
        <v>0.47160807720745757</v>
      </c>
      <c r="AI82" s="26">
        <f t="shared" si="62"/>
        <v>0.61576429601027638</v>
      </c>
      <c r="AJ82" s="26">
        <f t="shared" si="63"/>
        <v>-6.7162568528957522E-2</v>
      </c>
      <c r="AK82" s="26">
        <f t="shared" si="64"/>
        <v>0.48321566663923382</v>
      </c>
      <c r="AL82" s="26">
        <f t="shared" si="65"/>
        <v>0.11674869024279957</v>
      </c>
      <c r="AM82" s="27">
        <f t="shared" si="66"/>
        <v>0.49624529439806886</v>
      </c>
      <c r="AO82">
        <v>701</v>
      </c>
      <c r="AP82" s="28">
        <f>AM712</f>
        <v>1.8286231648929091E-2</v>
      </c>
    </row>
    <row r="83" spans="1:42" ht="15" customHeight="1" x14ac:dyDescent="0.2">
      <c r="A83" s="24">
        <v>72</v>
      </c>
      <c r="B83" s="29">
        <f t="shared" si="67"/>
        <v>0.60499198886734862</v>
      </c>
      <c r="C83" s="29">
        <f t="shared" si="68"/>
        <v>-1.1073887685866741</v>
      </c>
      <c r="D83" s="29">
        <f t="shared" si="69"/>
        <v>-0.684573492635005</v>
      </c>
      <c r="E83" s="29">
        <f t="shared" si="70"/>
        <v>-0.50274157771242056</v>
      </c>
      <c r="F83" s="29">
        <f t="shared" si="71"/>
        <v>0.49822258366893635</v>
      </c>
      <c r="G83" s="29">
        <f t="shared" si="72"/>
        <v>0.47967235759758792</v>
      </c>
      <c r="H83" s="29">
        <f t="shared" si="73"/>
        <v>0.87623561932176852</v>
      </c>
      <c r="I83" s="29">
        <f t="shared" si="74"/>
        <v>-0.57718760149165671</v>
      </c>
      <c r="J83" s="29">
        <f t="shared" si="75"/>
        <v>8.3637662715576003E-2</v>
      </c>
      <c r="K83" s="26">
        <f t="shared" si="38"/>
        <v>-0.684573492635005</v>
      </c>
      <c r="L83" s="26">
        <f t="shared" si="39"/>
        <v>0.33524131203132707</v>
      </c>
      <c r="M83" s="26">
        <f t="shared" si="40"/>
        <v>0.47967235759758792</v>
      </c>
      <c r="N83" s="26">
        <f t="shared" si="41"/>
        <v>0.61767050380283461</v>
      </c>
      <c r="O83" s="26">
        <f t="shared" si="42"/>
        <v>2.0876284783486812E-2</v>
      </c>
      <c r="P83" s="26">
        <f t="shared" si="43"/>
        <v>0.50521888165648388</v>
      </c>
      <c r="Q83" s="26">
        <f t="shared" si="44"/>
        <v>0.12762305919111414</v>
      </c>
      <c r="R83" s="26">
        <f t="shared" si="45"/>
        <v>-1.7919622612216792</v>
      </c>
      <c r="S83" s="26">
        <f t="shared" si="46"/>
        <v>0.14283231298286059</v>
      </c>
      <c r="T83" s="26">
        <f t="shared" si="47"/>
        <v>0.97789494126652432</v>
      </c>
      <c r="U83" s="26">
        <f t="shared" si="48"/>
        <v>0.72669032704730308</v>
      </c>
      <c r="V83" s="26">
        <f t="shared" si="49"/>
        <v>-0.21064422395434695</v>
      </c>
      <c r="W83" s="26">
        <f t="shared" si="50"/>
        <v>0.44753280248265703</v>
      </c>
      <c r="X83" s="26">
        <f t="shared" si="51"/>
        <v>0.15261000216633341</v>
      </c>
      <c r="Y83" s="26">
        <f t="shared" si="52"/>
        <v>-7.9581503767656381E-2</v>
      </c>
      <c r="Z83" s="26">
        <f t="shared" si="53"/>
        <v>0.48011511755472042</v>
      </c>
      <c r="AA83" s="26">
        <f t="shared" si="54"/>
        <v>-2.3069220114832645E-2</v>
      </c>
      <c r="AB83" s="26">
        <f t="shared" si="55"/>
        <v>0.49423295073233187</v>
      </c>
      <c r="AC83" s="26">
        <f t="shared" si="56"/>
        <v>0.2190664986805414</v>
      </c>
      <c r="AD83" s="26">
        <f t="shared" si="57"/>
        <v>0.55454864922045499</v>
      </c>
      <c r="AE83" s="26">
        <f t="shared" si="58"/>
        <v>9.9213452955660628E-2</v>
      </c>
      <c r="AF83" s="26">
        <f t="shared" si="59"/>
        <v>-1.1869702723543305</v>
      </c>
      <c r="AG83" s="26">
        <f t="shared" si="60"/>
        <v>0.23380123799942815</v>
      </c>
      <c r="AH83" s="26">
        <f t="shared" si="61"/>
        <v>0.4751533635541037</v>
      </c>
      <c r="AI83" s="26">
        <f t="shared" si="62"/>
        <v>0.61660276089598831</v>
      </c>
      <c r="AJ83" s="26">
        <f t="shared" si="63"/>
        <v>-6.7392833342487898E-2</v>
      </c>
      <c r="AK83" s="26">
        <f t="shared" si="64"/>
        <v>0.48315816552712432</v>
      </c>
      <c r="AL83" s="26">
        <f t="shared" si="65"/>
        <v>0.11672090645776803</v>
      </c>
      <c r="AM83" s="27">
        <f t="shared" si="66"/>
        <v>0.49616742077087617</v>
      </c>
      <c r="AO83">
        <v>711</v>
      </c>
      <c r="AP83" s="28">
        <f>AM722</f>
        <v>1.7302523340601519E-2</v>
      </c>
    </row>
    <row r="84" spans="1:42" ht="15" customHeight="1" x14ac:dyDescent="0.2">
      <c r="A84" s="24">
        <v>73</v>
      </c>
      <c r="B84" s="29">
        <f t="shared" si="67"/>
        <v>0.61012003549611116</v>
      </c>
      <c r="C84" s="29">
        <f t="shared" si="68"/>
        <v>-1.1116734375282189</v>
      </c>
      <c r="D84" s="29">
        <f t="shared" si="69"/>
        <v>-0.68945284930305473</v>
      </c>
      <c r="E84" s="29">
        <f t="shared" si="70"/>
        <v>-0.50215456386737078</v>
      </c>
      <c r="F84" s="29">
        <f t="shared" si="71"/>
        <v>0.49902670937449933</v>
      </c>
      <c r="G84" s="29">
        <f t="shared" si="72"/>
        <v>0.4818146281241264</v>
      </c>
      <c r="H84" s="29">
        <f t="shared" si="73"/>
        <v>0.87802989313749247</v>
      </c>
      <c r="I84" s="29">
        <f t="shared" si="74"/>
        <v>-0.57594140268281202</v>
      </c>
      <c r="J84" s="29">
        <f t="shared" si="75"/>
        <v>8.3327544534520695E-2</v>
      </c>
      <c r="K84" s="26">
        <f t="shared" si="38"/>
        <v>-0.68945284930305473</v>
      </c>
      <c r="L84" s="26">
        <f t="shared" si="39"/>
        <v>0.33415480069600262</v>
      </c>
      <c r="M84" s="26">
        <f t="shared" si="40"/>
        <v>0.4818146281241264</v>
      </c>
      <c r="N84" s="26">
        <f t="shared" si="41"/>
        <v>0.61817628112157863</v>
      </c>
      <c r="O84" s="26">
        <f t="shared" si="42"/>
        <v>2.0692134026605649E-2</v>
      </c>
      <c r="P84" s="26">
        <f t="shared" si="43"/>
        <v>0.50517284893881709</v>
      </c>
      <c r="Q84" s="26">
        <f t="shared" si="44"/>
        <v>0.12759980365248044</v>
      </c>
      <c r="R84" s="26">
        <f t="shared" si="45"/>
        <v>-1.8011262868312736</v>
      </c>
      <c r="S84" s="26">
        <f t="shared" si="46"/>
        <v>0.14171401804377587</v>
      </c>
      <c r="T84" s="26">
        <f t="shared" si="47"/>
        <v>0.98084133749862579</v>
      </c>
      <c r="U84" s="26">
        <f t="shared" si="48"/>
        <v>0.72727512418916562</v>
      </c>
      <c r="V84" s="26">
        <f t="shared" si="49"/>
        <v>-0.21111116650824246</v>
      </c>
      <c r="W84" s="26">
        <f t="shared" si="50"/>
        <v>0.44741735507729086</v>
      </c>
      <c r="X84" s="26">
        <f t="shared" si="51"/>
        <v>0.15267378973488843</v>
      </c>
      <c r="Y84" s="26">
        <f t="shared" si="52"/>
        <v>-7.933281380694357E-2</v>
      </c>
      <c r="Z84" s="26">
        <f t="shared" si="53"/>
        <v>0.48017719201741083</v>
      </c>
      <c r="AA84" s="26">
        <f t="shared" si="54"/>
        <v>-2.0339935743244386E-2</v>
      </c>
      <c r="AB84" s="26">
        <f t="shared" si="55"/>
        <v>0.49491519136726037</v>
      </c>
      <c r="AC84" s="26">
        <f t="shared" si="56"/>
        <v>0.21989532360353686</v>
      </c>
      <c r="AD84" s="26">
        <f t="shared" si="57"/>
        <v>0.55475337996909169</v>
      </c>
      <c r="AE84" s="26">
        <f t="shared" si="58"/>
        <v>9.9122276324474026E-2</v>
      </c>
      <c r="AF84" s="26">
        <f t="shared" si="59"/>
        <v>-1.1910062513351625</v>
      </c>
      <c r="AG84" s="26">
        <f t="shared" si="60"/>
        <v>0.23307901682744567</v>
      </c>
      <c r="AH84" s="26">
        <f t="shared" si="61"/>
        <v>0.47868677363125495</v>
      </c>
      <c r="AI84" s="26">
        <f t="shared" si="62"/>
        <v>0.6174377275721199</v>
      </c>
      <c r="AJ84" s="26">
        <f t="shared" si="63"/>
        <v>-6.7630062115060049E-2</v>
      </c>
      <c r="AK84" s="26">
        <f t="shared" si="64"/>
        <v>0.48309892586026504</v>
      </c>
      <c r="AL84" s="26">
        <f t="shared" si="65"/>
        <v>0.11669228608367092</v>
      </c>
      <c r="AM84" s="27">
        <f t="shared" si="66"/>
        <v>0.49608815579551385</v>
      </c>
      <c r="AO84">
        <v>721</v>
      </c>
      <c r="AP84" s="28">
        <f>AM732</f>
        <v>1.6413047405832985E-2</v>
      </c>
    </row>
    <row r="85" spans="1:42" ht="15" customHeight="1" x14ac:dyDescent="0.2">
      <c r="A85" s="24">
        <v>74</v>
      </c>
      <c r="B85" s="29">
        <f t="shared" si="67"/>
        <v>0.61528881568736804</v>
      </c>
      <c r="C85" s="29">
        <f t="shared" si="68"/>
        <v>-1.116017244263795</v>
      </c>
      <c r="D85" s="29">
        <f t="shared" si="69"/>
        <v>-0.69436355881407874</v>
      </c>
      <c r="E85" s="29">
        <f t="shared" si="70"/>
        <v>-0.50157629417718141</v>
      </c>
      <c r="F85" s="29">
        <f t="shared" si="71"/>
        <v>0.49983176610244862</v>
      </c>
      <c r="G85" s="29">
        <f t="shared" si="72"/>
        <v>0.48395297900867917</v>
      </c>
      <c r="H85" s="29">
        <f t="shared" si="73"/>
        <v>0.87988406152019716</v>
      </c>
      <c r="I85" s="29">
        <f t="shared" si="74"/>
        <v>-0.57470224809255332</v>
      </c>
      <c r="J85" s="29">
        <f t="shared" si="75"/>
        <v>8.3005755887017654E-2</v>
      </c>
      <c r="K85" s="26">
        <f t="shared" si="38"/>
        <v>-0.69436355881407874</v>
      </c>
      <c r="L85" s="26">
        <f t="shared" si="39"/>
        <v>0.33306308187595779</v>
      </c>
      <c r="M85" s="26">
        <f t="shared" si="40"/>
        <v>0.48395297900867917</v>
      </c>
      <c r="N85" s="26">
        <f t="shared" si="41"/>
        <v>0.61868087771311897</v>
      </c>
      <c r="O85" s="26">
        <f t="shared" si="42"/>
        <v>2.0505361836865812E-2</v>
      </c>
      <c r="P85" s="26">
        <f t="shared" si="43"/>
        <v>0.50512616084412898</v>
      </c>
      <c r="Q85" s="26">
        <f t="shared" si="44"/>
        <v>0.12757621918456444</v>
      </c>
      <c r="R85" s="26">
        <f t="shared" si="45"/>
        <v>-1.8103808030778739</v>
      </c>
      <c r="S85" s="26">
        <f t="shared" si="46"/>
        <v>0.14059210853627796</v>
      </c>
      <c r="T85" s="26">
        <f t="shared" si="47"/>
        <v>0.98378474511112779</v>
      </c>
      <c r="U85" s="26">
        <f t="shared" si="48"/>
        <v>0.72785854665878258</v>
      </c>
      <c r="V85" s="26">
        <f t="shared" si="49"/>
        <v>-0.21159143169457473</v>
      </c>
      <c r="W85" s="26">
        <f t="shared" si="50"/>
        <v>0.44729861968329321</v>
      </c>
      <c r="X85" s="26">
        <f t="shared" si="51"/>
        <v>0.15273940790199647</v>
      </c>
      <c r="Y85" s="26">
        <f t="shared" si="52"/>
        <v>-7.90747431267107E-2</v>
      </c>
      <c r="Z85" s="26">
        <f t="shared" si="53"/>
        <v>0.48024160860939441</v>
      </c>
      <c r="AA85" s="26">
        <f t="shared" si="54"/>
        <v>-1.762331516850224E-2</v>
      </c>
      <c r="AB85" s="26">
        <f t="shared" si="55"/>
        <v>0.4955942852349795</v>
      </c>
      <c r="AC85" s="26">
        <f t="shared" si="56"/>
        <v>0.22074354311487965</v>
      </c>
      <c r="AD85" s="26">
        <f t="shared" si="57"/>
        <v>0.55496288219953804</v>
      </c>
      <c r="AE85" s="26">
        <f t="shared" si="58"/>
        <v>9.9029018110071129E-2</v>
      </c>
      <c r="AF85" s="26">
        <f t="shared" si="59"/>
        <v>-1.1950919873905057</v>
      </c>
      <c r="AG85" s="26">
        <f t="shared" si="60"/>
        <v>0.23234947510941367</v>
      </c>
      <c r="AH85" s="26">
        <f t="shared" si="61"/>
        <v>0.48220845093394638</v>
      </c>
      <c r="AI85" s="26">
        <f t="shared" si="62"/>
        <v>0.6182692325118323</v>
      </c>
      <c r="AJ85" s="26">
        <f t="shared" si="63"/>
        <v>-6.7874362112633105E-2</v>
      </c>
      <c r="AK85" s="26">
        <f t="shared" si="64"/>
        <v>0.4830379208964527</v>
      </c>
      <c r="AL85" s="26">
        <f t="shared" si="65"/>
        <v>0.11666281651198385</v>
      </c>
      <c r="AM85" s="27">
        <f t="shared" si="66"/>
        <v>0.49600746170861587</v>
      </c>
      <c r="AO85">
        <v>731</v>
      </c>
      <c r="AP85" s="28">
        <f>AM742</f>
        <v>1.5605291149498574E-2</v>
      </c>
    </row>
    <row r="86" spans="1:42" ht="15" customHeight="1" x14ac:dyDescent="0.2">
      <c r="A86" s="24">
        <v>75</v>
      </c>
      <c r="B86" s="29">
        <f t="shared" si="67"/>
        <v>0.62049908948071897</v>
      </c>
      <c r="C86" s="29">
        <f t="shared" si="68"/>
        <v>-1.1204206838731041</v>
      </c>
      <c r="D86" s="29">
        <f t="shared" si="69"/>
        <v>-0.69930586259119154</v>
      </c>
      <c r="E86" s="29">
        <f t="shared" si="70"/>
        <v>-0.501006561851151</v>
      </c>
      <c r="F86" s="29">
        <f t="shared" si="71"/>
        <v>0.50063759414032438</v>
      </c>
      <c r="G86" s="29">
        <f t="shared" si="72"/>
        <v>0.48608750596810069</v>
      </c>
      <c r="H86" s="29">
        <f t="shared" si="73"/>
        <v>0.88179888232678272</v>
      </c>
      <c r="I86" s="29">
        <f t="shared" si="74"/>
        <v>-0.57347000533730175</v>
      </c>
      <c r="J86" s="29">
        <f t="shared" si="75"/>
        <v>8.2672096060207118E-2</v>
      </c>
      <c r="K86" s="26">
        <f t="shared" si="38"/>
        <v>-0.69930586259119154</v>
      </c>
      <c r="L86" s="26">
        <f t="shared" si="39"/>
        <v>0.33196614499414534</v>
      </c>
      <c r="M86" s="26">
        <f t="shared" si="40"/>
        <v>0.48608750596810069</v>
      </c>
      <c r="N86" s="26">
        <f t="shared" si="41"/>
        <v>0.6191843165929265</v>
      </c>
      <c r="O86" s="26">
        <f t="shared" si="42"/>
        <v>2.0315838345056098E-2</v>
      </c>
      <c r="P86" s="26">
        <f t="shared" si="43"/>
        <v>0.50507878490549973</v>
      </c>
      <c r="Q86" s="26">
        <f t="shared" si="44"/>
        <v>0.12755228948080805</v>
      </c>
      <c r="R86" s="26">
        <f t="shared" si="45"/>
        <v>-1.8197265464642958</v>
      </c>
      <c r="S86" s="26">
        <f t="shared" si="46"/>
        <v>0.13946668845224999</v>
      </c>
      <c r="T86" s="26">
        <f t="shared" si="47"/>
        <v>0.98672510010842507</v>
      </c>
      <c r="U86" s="26">
        <f t="shared" si="48"/>
        <v>0.72844058322088157</v>
      </c>
      <c r="V86" s="26">
        <f t="shared" si="49"/>
        <v>-0.21208515908836736</v>
      </c>
      <c r="W86" s="26">
        <f t="shared" si="50"/>
        <v>0.44717656230925595</v>
      </c>
      <c r="X86" s="26">
        <f t="shared" si="51"/>
        <v>0.15280687663010598</v>
      </c>
      <c r="Y86" s="26">
        <f t="shared" si="52"/>
        <v>-7.8806773110472572E-2</v>
      </c>
      <c r="Z86" s="26">
        <f t="shared" si="53"/>
        <v>0.48030849685330923</v>
      </c>
      <c r="AA86" s="26">
        <f t="shared" si="54"/>
        <v>-1.4919055883050314E-2</v>
      </c>
      <c r="AB86" s="26">
        <f t="shared" si="55"/>
        <v>0.49627030520805238</v>
      </c>
      <c r="AC86" s="26">
        <f t="shared" si="56"/>
        <v>0.22161145718110606</v>
      </c>
      <c r="AD86" s="26">
        <f t="shared" si="57"/>
        <v>0.55517722858007224</v>
      </c>
      <c r="AE86" s="26">
        <f t="shared" si="58"/>
        <v>9.8933648986852654E-2</v>
      </c>
      <c r="AF86" s="26">
        <f t="shared" si="59"/>
        <v>-1.1992274569835768</v>
      </c>
      <c r="AG86" s="26">
        <f t="shared" si="60"/>
        <v>0.23161267611750569</v>
      </c>
      <c r="AH86" s="26">
        <f t="shared" si="61"/>
        <v>0.48571853825727407</v>
      </c>
      <c r="AI86" s="26">
        <f t="shared" si="62"/>
        <v>0.61909731199008844</v>
      </c>
      <c r="AJ86" s="26">
        <f t="shared" si="63"/>
        <v>-6.8125843817926468E-2</v>
      </c>
      <c r="AK86" s="26">
        <f t="shared" si="64"/>
        <v>0.48297512309267038</v>
      </c>
      <c r="AL86" s="26">
        <f t="shared" si="65"/>
        <v>0.11663248476319005</v>
      </c>
      <c r="AM86" s="27">
        <f t="shared" si="66"/>
        <v>0.49592529986095674</v>
      </c>
      <c r="AO86">
        <v>741</v>
      </c>
      <c r="AP86" s="28">
        <f>AM752</f>
        <v>1.4868817753526132E-2</v>
      </c>
    </row>
    <row r="87" spans="1:42" ht="15" customHeight="1" x14ac:dyDescent="0.2">
      <c r="A87" s="24">
        <v>76</v>
      </c>
      <c r="B87" s="29">
        <f t="shared" si="67"/>
        <v>0.62575162496393355</v>
      </c>
      <c r="C87" s="29">
        <f t="shared" si="68"/>
        <v>-1.124884260189051</v>
      </c>
      <c r="D87" s="29">
        <f t="shared" si="69"/>
        <v>-0.70428000348999154</v>
      </c>
      <c r="E87" s="29">
        <f t="shared" si="70"/>
        <v>-0.50044515940117018</v>
      </c>
      <c r="F87" s="29">
        <f t="shared" si="71"/>
        <v>0.5014440333924336</v>
      </c>
      <c r="G87" s="29">
        <f t="shared" si="72"/>
        <v>0.4882183037231218</v>
      </c>
      <c r="H87" s="29">
        <f t="shared" si="73"/>
        <v>0.88377512430787353</v>
      </c>
      <c r="I87" s="29">
        <f t="shared" si="74"/>
        <v>-0.5722445414168208</v>
      </c>
      <c r="J87" s="29">
        <f t="shared" si="75"/>
        <v>8.2326361401184336E-2</v>
      </c>
      <c r="K87" s="26">
        <f t="shared" si="38"/>
        <v>-0.70428000348999154</v>
      </c>
      <c r="L87" s="26">
        <f t="shared" si="39"/>
        <v>0.33086397999864919</v>
      </c>
      <c r="M87" s="26">
        <f t="shared" si="40"/>
        <v>0.4882183037231218</v>
      </c>
      <c r="N87" s="26">
        <f t="shared" si="41"/>
        <v>0.61968662050585088</v>
      </c>
      <c r="O87" s="26">
        <f t="shared" si="42"/>
        <v>2.0123430479978235E-2</v>
      </c>
      <c r="P87" s="26">
        <f t="shared" si="43"/>
        <v>0.50503068785535754</v>
      </c>
      <c r="Q87" s="26">
        <f t="shared" si="44"/>
        <v>0.12752799783782778</v>
      </c>
      <c r="R87" s="26">
        <f t="shared" si="45"/>
        <v>-1.8291642636790426</v>
      </c>
      <c r="S87" s="26">
        <f t="shared" si="46"/>
        <v>0.13833786325153835</v>
      </c>
      <c r="T87" s="26">
        <f t="shared" si="47"/>
        <v>0.9896623371155554</v>
      </c>
      <c r="U87" s="26">
        <f t="shared" si="48"/>
        <v>0.72902122244838197</v>
      </c>
      <c r="V87" s="26">
        <f t="shared" si="49"/>
        <v>-0.21259249143030623</v>
      </c>
      <c r="W87" s="26">
        <f t="shared" si="50"/>
        <v>0.44705114820477126</v>
      </c>
      <c r="X87" s="26">
        <f t="shared" si="51"/>
        <v>0.15287621635083096</v>
      </c>
      <c r="Y87" s="26">
        <f t="shared" si="52"/>
        <v>-7.8528378526057985E-2</v>
      </c>
      <c r="Z87" s="26">
        <f t="shared" si="53"/>
        <v>0.48037798793094022</v>
      </c>
      <c r="AA87" s="26">
        <f t="shared" si="54"/>
        <v>-1.2226855678048376E-2</v>
      </c>
      <c r="AB87" s="26">
        <f t="shared" si="55"/>
        <v>0.49694332416046061</v>
      </c>
      <c r="AC87" s="26">
        <f t="shared" si="56"/>
        <v>0.22249937275526388</v>
      </c>
      <c r="AD87" s="26">
        <f t="shared" si="57"/>
        <v>0.55539649343428121</v>
      </c>
      <c r="AE87" s="26">
        <f t="shared" si="58"/>
        <v>9.883613902526657E-2</v>
      </c>
      <c r="AF87" s="26">
        <f t="shared" si="59"/>
        <v>-1.203412638715109</v>
      </c>
      <c r="AG87" s="26">
        <f t="shared" si="60"/>
        <v>0.23086868344786377</v>
      </c>
      <c r="AH87" s="26">
        <f t="shared" si="61"/>
        <v>0.48921717771438522</v>
      </c>
      <c r="AI87" s="26">
        <f t="shared" si="62"/>
        <v>0.61992200208661175</v>
      </c>
      <c r="AJ87" s="26">
        <f t="shared" si="63"/>
        <v>-6.8384620984135294E-2</v>
      </c>
      <c r="AK87" s="26">
        <f t="shared" si="64"/>
        <v>0.48291050409180625</v>
      </c>
      <c r="AL87" s="26">
        <f t="shared" si="65"/>
        <v>0.1166012774811012</v>
      </c>
      <c r="AM87" s="27">
        <f t="shared" si="66"/>
        <v>0.49584163069502651</v>
      </c>
      <c r="AO87">
        <v>751</v>
      </c>
      <c r="AP87" s="28">
        <f>AM762</f>
        <v>1.4194859970129883E-2</v>
      </c>
    </row>
    <row r="88" spans="1:42" ht="15" customHeight="1" x14ac:dyDescent="0.2">
      <c r="A88" s="24">
        <v>77</v>
      </c>
      <c r="B88" s="29">
        <f t="shared" si="67"/>
        <v>0.63104719837746537</v>
      </c>
      <c r="C88" s="29">
        <f t="shared" si="68"/>
        <v>-1.1294084857723716</v>
      </c>
      <c r="D88" s="29">
        <f t="shared" si="69"/>
        <v>-0.70928622569942779</v>
      </c>
      <c r="E88" s="29">
        <f t="shared" si="70"/>
        <v>-0.49989187858006229</v>
      </c>
      <c r="F88" s="29">
        <f t="shared" si="71"/>
        <v>0.50225092331500387</v>
      </c>
      <c r="G88" s="29">
        <f t="shared" si="72"/>
        <v>0.49034546601938267</v>
      </c>
      <c r="H88" s="29">
        <f t="shared" si="73"/>
        <v>0.88581356707664605</v>
      </c>
      <c r="I88" s="29">
        <f t="shared" si="74"/>
        <v>-0.57102572265674423</v>
      </c>
      <c r="J88" s="29">
        <f t="shared" si="75"/>
        <v>8.1968345257442454E-2</v>
      </c>
      <c r="K88" s="26">
        <f t="shared" si="38"/>
        <v>-0.70928622569942779</v>
      </c>
      <c r="L88" s="26">
        <f t="shared" si="39"/>
        <v>0.32975657739790887</v>
      </c>
      <c r="M88" s="26">
        <f t="shared" si="40"/>
        <v>0.49034546601938267</v>
      </c>
      <c r="N88" s="26">
        <f t="shared" si="41"/>
        <v>0.62018781193137396</v>
      </c>
      <c r="O88" s="26">
        <f t="shared" si="42"/>
        <v>1.9928001858252442E-2</v>
      </c>
      <c r="P88" s="26">
        <f t="shared" si="43"/>
        <v>0.50498183559792531</v>
      </c>
      <c r="Q88" s="26">
        <f t="shared" si="44"/>
        <v>0.12750332714192503</v>
      </c>
      <c r="R88" s="26">
        <f t="shared" si="45"/>
        <v>-1.8386947114717995</v>
      </c>
      <c r="S88" s="26">
        <f t="shared" si="46"/>
        <v>0.13720573989479118</v>
      </c>
      <c r="T88" s="26">
        <f t="shared" si="47"/>
        <v>0.99259638933438654</v>
      </c>
      <c r="U88" s="26">
        <f t="shared" si="48"/>
        <v>0.7296004527154869</v>
      </c>
      <c r="V88" s="26">
        <f t="shared" si="49"/>
        <v>-0.21311357462551073</v>
      </c>
      <c r="W88" s="26">
        <f t="shared" si="50"/>
        <v>0.44692234186164592</v>
      </c>
      <c r="X88" s="26">
        <f t="shared" si="51"/>
        <v>0.15294744796590304</v>
      </c>
      <c r="Y88" s="26">
        <f t="shared" si="52"/>
        <v>-7.8239027321962418E-2</v>
      </c>
      <c r="Z88" s="26">
        <f t="shared" si="53"/>
        <v>0.48045021473456667</v>
      </c>
      <c r="AA88" s="26">
        <f t="shared" si="54"/>
        <v>-9.546412560679618E-3</v>
      </c>
      <c r="AB88" s="26">
        <f t="shared" si="55"/>
        <v>0.49761341498472106</v>
      </c>
      <c r="AC88" s="26">
        <f t="shared" si="56"/>
        <v>0.22340760387886882</v>
      </c>
      <c r="AD88" s="26">
        <f t="shared" si="57"/>
        <v>0.55562075276287404</v>
      </c>
      <c r="AE88" s="26">
        <f t="shared" si="58"/>
        <v>9.8736457687517362E-2</v>
      </c>
      <c r="AF88" s="26">
        <f t="shared" si="59"/>
        <v>-1.207647513094334</v>
      </c>
      <c r="AG88" s="26">
        <f t="shared" si="60"/>
        <v>0.23011756106251033</v>
      </c>
      <c r="AH88" s="26">
        <f t="shared" si="61"/>
        <v>0.49270451075432425</v>
      </c>
      <c r="AI88" s="26">
        <f t="shared" si="62"/>
        <v>0.62074333868883902</v>
      </c>
      <c r="AJ88" s="26">
        <f t="shared" si="63"/>
        <v>-6.8650810689951769E-2</v>
      </c>
      <c r="AK88" s="26">
        <f t="shared" si="64"/>
        <v>0.48284403470905224</v>
      </c>
      <c r="AL88" s="26">
        <f t="shared" si="65"/>
        <v>0.11656918092705822</v>
      </c>
      <c r="AM88" s="27">
        <f t="shared" si="66"/>
        <v>0.49575641372240364</v>
      </c>
      <c r="AO88">
        <v>761</v>
      </c>
      <c r="AP88" s="28">
        <f>AM772</f>
        <v>1.3576004288883954E-2</v>
      </c>
    </row>
    <row r="89" spans="1:42" ht="15" customHeight="1" x14ac:dyDescent="0.2">
      <c r="A89" s="24">
        <v>78</v>
      </c>
      <c r="B89" s="29">
        <f t="shared" si="67"/>
        <v>0.63638659421192056</v>
      </c>
      <c r="C89" s="29">
        <f t="shared" si="68"/>
        <v>-1.1339938818812489</v>
      </c>
      <c r="D89" s="29">
        <f t="shared" si="69"/>
        <v>-0.71432477463882993</v>
      </c>
      <c r="E89" s="29">
        <f t="shared" si="70"/>
        <v>-0.49934651031996907</v>
      </c>
      <c r="F89" s="29">
        <f t="shared" si="71"/>
        <v>0.50305810285190189</v>
      </c>
      <c r="G89" s="29">
        <f t="shared" si="72"/>
        <v>0.49246908564779818</v>
      </c>
      <c r="H89" s="29">
        <f t="shared" si="73"/>
        <v>0.88791500107109456</v>
      </c>
      <c r="I89" s="29">
        <f t="shared" si="74"/>
        <v>-0.56981341465152435</v>
      </c>
      <c r="J89" s="29">
        <f t="shared" si="75"/>
        <v>8.159783791684401E-2</v>
      </c>
      <c r="K89" s="26">
        <f t="shared" si="38"/>
        <v>-0.71432477463882993</v>
      </c>
      <c r="L89" s="26">
        <f t="shared" si="39"/>
        <v>0.32864392829668027</v>
      </c>
      <c r="M89" s="26">
        <f t="shared" si="40"/>
        <v>0.49246908564779818</v>
      </c>
      <c r="N89" s="26">
        <f t="shared" si="41"/>
        <v>0.62068791308869486</v>
      </c>
      <c r="O89" s="26">
        <f t="shared" si="42"/>
        <v>1.9729412672401761E-2</v>
      </c>
      <c r="P89" s="26">
        <f t="shared" si="43"/>
        <v>0.50493219318123539</v>
      </c>
      <c r="Q89" s="26">
        <f t="shared" si="44"/>
        <v>0.1274782598554062</v>
      </c>
      <c r="R89" s="26">
        <f t="shared" si="45"/>
        <v>-1.8483186565200789</v>
      </c>
      <c r="S89" s="26">
        <f t="shared" si="46"/>
        <v>0.13607042687558188</v>
      </c>
      <c r="T89" s="26">
        <f t="shared" si="47"/>
        <v>0.99552718849970012</v>
      </c>
      <c r="U89" s="26">
        <f t="shared" si="48"/>
        <v>0.73017826219081738</v>
      </c>
      <c r="V89" s="26">
        <f t="shared" si="49"/>
        <v>-0.21364855774144509</v>
      </c>
      <c r="W89" s="26">
        <f t="shared" si="50"/>
        <v>0.44679010701536381</v>
      </c>
      <c r="X89" s="26">
        <f t="shared" si="51"/>
        <v>0.15302059284803632</v>
      </c>
      <c r="Y89" s="26">
        <f t="shared" si="52"/>
        <v>-7.7938180426909365E-2</v>
      </c>
      <c r="Z89" s="26">
        <f t="shared" si="53"/>
        <v>0.48052531191753761</v>
      </c>
      <c r="AA89" s="26">
        <f t="shared" si="54"/>
        <v>-6.8774246721708954E-3</v>
      </c>
      <c r="AB89" s="26">
        <f t="shared" si="55"/>
        <v>0.49828065060890658</v>
      </c>
      <c r="AC89" s="26">
        <f t="shared" si="56"/>
        <v>0.22433647178454824</v>
      </c>
      <c r="AD89" s="26">
        <f t="shared" si="57"/>
        <v>0.55585008426550186</v>
      </c>
      <c r="AE89" s="26">
        <f t="shared" si="58"/>
        <v>9.8634573823480898E-2</v>
      </c>
      <c r="AF89" s="26">
        <f t="shared" si="59"/>
        <v>-1.2119320623081582</v>
      </c>
      <c r="AG89" s="26">
        <f t="shared" si="60"/>
        <v>0.229359373331011</v>
      </c>
      <c r="AH89" s="26">
        <f t="shared" si="61"/>
        <v>0.49618067817973099</v>
      </c>
      <c r="AI89" s="26">
        <f t="shared" si="62"/>
        <v>0.6215613574948613</v>
      </c>
      <c r="AJ89" s="26">
        <f t="shared" si="63"/>
        <v>-6.8924533395869556E-2</v>
      </c>
      <c r="AK89" s="26">
        <f t="shared" si="64"/>
        <v>0.48277568491799111</v>
      </c>
      <c r="AL89" s="26">
        <f t="shared" si="65"/>
        <v>0.11653618097401772</v>
      </c>
      <c r="AM89" s="27">
        <f t="shared" si="66"/>
        <v>0.49566960750094113</v>
      </c>
      <c r="AO89">
        <v>771</v>
      </c>
      <c r="AP89" s="28">
        <f>AM782</f>
        <v>1.3005943225497784E-2</v>
      </c>
    </row>
    <row r="90" spans="1:42" ht="15" customHeight="1" x14ac:dyDescent="0.2">
      <c r="A90" s="24">
        <v>79</v>
      </c>
      <c r="B90" s="29">
        <f t="shared" si="67"/>
        <v>0.64177060529805874</v>
      </c>
      <c r="C90" s="29">
        <f t="shared" si="68"/>
        <v>-1.1386409784355542</v>
      </c>
      <c r="D90" s="29">
        <f t="shared" si="69"/>
        <v>-0.71939589685102912</v>
      </c>
      <c r="E90" s="29">
        <f t="shared" si="70"/>
        <v>-0.49880884467078107</v>
      </c>
      <c r="F90" s="29">
        <f t="shared" si="71"/>
        <v>0.50386541037090915</v>
      </c>
      <c r="G90" s="29">
        <f t="shared" si="72"/>
        <v>0.49458925446426139</v>
      </c>
      <c r="H90" s="29">
        <f t="shared" si="73"/>
        <v>0.89008022750930194</v>
      </c>
      <c r="I90" s="29">
        <f t="shared" si="74"/>
        <v>-0.56860748220779722</v>
      </c>
      <c r="J90" s="29">
        <f t="shared" si="75"/>
        <v>8.1214626547152849E-2</v>
      </c>
      <c r="K90" s="26">
        <f t="shared" si="38"/>
        <v>-0.71939589685102912</v>
      </c>
      <c r="L90" s="26">
        <f t="shared" si="39"/>
        <v>0.32752602443272838</v>
      </c>
      <c r="M90" s="26">
        <f t="shared" si="40"/>
        <v>0.49458925446426139</v>
      </c>
      <c r="N90" s="26">
        <f t="shared" si="41"/>
        <v>0.62118694594165025</v>
      </c>
      <c r="O90" s="26">
        <f t="shared" si="42"/>
        <v>1.9527519577220112E-2</v>
      </c>
      <c r="P90" s="26">
        <f t="shared" si="43"/>
        <v>0.5048817247687144</v>
      </c>
      <c r="Q90" s="26">
        <f t="shared" si="44"/>
        <v>0.12745277800271593</v>
      </c>
      <c r="R90" s="26">
        <f t="shared" si="45"/>
        <v>-1.8580368752865835</v>
      </c>
      <c r="S90" s="26">
        <f t="shared" si="46"/>
        <v>0.13493203425175673</v>
      </c>
      <c r="T90" s="26">
        <f t="shared" si="47"/>
        <v>0.99845466483517054</v>
      </c>
      <c r="U90" s="26">
        <f t="shared" si="48"/>
        <v>0.73075463883058689</v>
      </c>
      <c r="V90" s="26">
        <f t="shared" si="49"/>
        <v>-0.21419759300487884</v>
      </c>
      <c r="W90" s="26">
        <f t="shared" si="50"/>
        <v>0.44665440664681899</v>
      </c>
      <c r="X90" s="26">
        <f t="shared" si="51"/>
        <v>0.15309567284169198</v>
      </c>
      <c r="Y90" s="26">
        <f t="shared" si="52"/>
        <v>-7.7625291552970377E-2</v>
      </c>
      <c r="Z90" s="26">
        <f t="shared" si="53"/>
        <v>0.48060341594398337</v>
      </c>
      <c r="AA90" s="26">
        <f t="shared" si="54"/>
        <v>-4.2195902065196855E-3</v>
      </c>
      <c r="AB90" s="26">
        <f t="shared" si="55"/>
        <v>0.4989451040135664</v>
      </c>
      <c r="AC90" s="26">
        <f t="shared" si="56"/>
        <v>0.22528630499925972</v>
      </c>
      <c r="AD90" s="26">
        <f t="shared" si="57"/>
        <v>0.55608456736255452</v>
      </c>
      <c r="AE90" s="26">
        <f t="shared" si="58"/>
        <v>9.8530455666845193E-2</v>
      </c>
      <c r="AF90" s="26">
        <f t="shared" si="59"/>
        <v>-1.2162662699885245</v>
      </c>
      <c r="AG90" s="26">
        <f t="shared" si="60"/>
        <v>0.22859418507185703</v>
      </c>
      <c r="AH90" s="26">
        <f t="shared" si="61"/>
        <v>0.49964582016438946</v>
      </c>
      <c r="AI90" s="26">
        <f t="shared" si="62"/>
        <v>0.62237609401635396</v>
      </c>
      <c r="AJ90" s="26">
        <f t="shared" si="63"/>
        <v>-6.9205913001747485E-2</v>
      </c>
      <c r="AK90" s="26">
        <f t="shared" si="64"/>
        <v>0.48270542383637638</v>
      </c>
      <c r="AL90" s="26">
        <f t="shared" si="65"/>
        <v>0.11650226310052787</v>
      </c>
      <c r="AM90" s="27">
        <f t="shared" si="66"/>
        <v>0.495581169611781</v>
      </c>
      <c r="AO90">
        <v>781</v>
      </c>
      <c r="AP90" s="28">
        <f>AM792</f>
        <v>1.2479279395710304E-2</v>
      </c>
    </row>
    <row r="91" spans="1:42" ht="15" customHeight="1" x14ac:dyDescent="0.2">
      <c r="A91" s="24">
        <v>80</v>
      </c>
      <c r="B91" s="29">
        <f t="shared" si="67"/>
        <v>0.64720003288888528</v>
      </c>
      <c r="C91" s="29">
        <f t="shared" si="68"/>
        <v>-1.1433503139753465</v>
      </c>
      <c r="D91" s="29">
        <f t="shared" si="69"/>
        <v>-0.72449983989150546</v>
      </c>
      <c r="E91" s="29">
        <f t="shared" si="70"/>
        <v>-0.49827867073861593</v>
      </c>
      <c r="F91" s="29">
        <f t="shared" si="71"/>
        <v>0.50467268360054962</v>
      </c>
      <c r="G91" s="29">
        <f t="shared" si="72"/>
        <v>0.49670606340868778</v>
      </c>
      <c r="H91" s="29">
        <f t="shared" si="73"/>
        <v>0.89231005833726607</v>
      </c>
      <c r="I91" s="29">
        <f t="shared" si="74"/>
        <v>-0.56740778928816671</v>
      </c>
      <c r="J91" s="29">
        <f t="shared" si="75"/>
        <v>8.0818495135159332E-2</v>
      </c>
      <c r="K91" s="26">
        <f t="shared" si="38"/>
        <v>-0.72449983989150546</v>
      </c>
      <c r="L91" s="26">
        <f t="shared" si="39"/>
        <v>0.32640285821424275</v>
      </c>
      <c r="M91" s="26">
        <f t="shared" si="40"/>
        <v>0.49670606340868778</v>
      </c>
      <c r="N91" s="26">
        <f t="shared" si="41"/>
        <v>0.62168493220346854</v>
      </c>
      <c r="O91" s="26">
        <f t="shared" si="42"/>
        <v>1.9322175574426795E-2</v>
      </c>
      <c r="P91" s="26">
        <f t="shared" si="43"/>
        <v>0.50483039361034199</v>
      </c>
      <c r="Q91" s="26">
        <f t="shared" si="44"/>
        <v>0.12742686315638641</v>
      </c>
      <c r="R91" s="26">
        <f t="shared" si="45"/>
        <v>-1.8678501538668519</v>
      </c>
      <c r="S91" s="26">
        <f t="shared" si="46"/>
        <v>0.13379067367594272</v>
      </c>
      <c r="T91" s="26">
        <f t="shared" si="47"/>
        <v>1.0013787470092375</v>
      </c>
      <c r="U91" s="26">
        <f t="shared" si="48"/>
        <v>0.73132957037181556</v>
      </c>
      <c r="V91" s="26">
        <f t="shared" si="49"/>
        <v>-0.21476083579781469</v>
      </c>
      <c r="W91" s="26">
        <f t="shared" si="50"/>
        <v>0.44651520298434144</v>
      </c>
      <c r="X91" s="26">
        <f t="shared" si="51"/>
        <v>0.15317271026373239</v>
      </c>
      <c r="Y91" s="26">
        <f t="shared" si="52"/>
        <v>-7.729980700262018E-2</v>
      </c>
      <c r="Z91" s="26">
        <f t="shared" si="53"/>
        <v>0.48068466513757324</v>
      </c>
      <c r="AA91" s="26">
        <f t="shared" si="54"/>
        <v>-1.572607329928144E-3</v>
      </c>
      <c r="AB91" s="26">
        <f t="shared" si="55"/>
        <v>0.49960684824854307</v>
      </c>
      <c r="AC91" s="26">
        <f t="shared" si="56"/>
        <v>0.22625743944796212</v>
      </c>
      <c r="AD91" s="26">
        <f t="shared" si="57"/>
        <v>0.55632428321688976</v>
      </c>
      <c r="AE91" s="26">
        <f t="shared" si="58"/>
        <v>9.8424070831503327E-2</v>
      </c>
      <c r="AF91" s="26">
        <f t="shared" si="59"/>
        <v>-1.2206501209779668</v>
      </c>
      <c r="AG91" s="26">
        <f t="shared" si="60"/>
        <v>0.22782206159353421</v>
      </c>
      <c r="AH91" s="26">
        <f t="shared" si="61"/>
        <v>0.50310007627062148</v>
      </c>
      <c r="AI91" s="26">
        <f t="shared" si="62"/>
        <v>0.6231875835814914</v>
      </c>
      <c r="AJ91" s="26">
        <f t="shared" si="63"/>
        <v>-6.9495076905606593E-2</v>
      </c>
      <c r="AK91" s="26">
        <f t="shared" si="64"/>
        <v>0.48263321971161266</v>
      </c>
      <c r="AL91" s="26">
        <f t="shared" si="65"/>
        <v>0.11646741238459889</v>
      </c>
      <c r="AM91" s="27">
        <f t="shared" si="66"/>
        <v>0.49549105663622101</v>
      </c>
      <c r="AO91">
        <v>791</v>
      </c>
      <c r="AP91" s="28">
        <f>AM802</f>
        <v>1.1991369314294766E-2</v>
      </c>
    </row>
    <row r="92" spans="1:42" ht="15" customHeight="1" x14ac:dyDescent="0.2">
      <c r="A92" s="24">
        <v>81</v>
      </c>
      <c r="B92" s="29">
        <f t="shared" si="67"/>
        <v>0.65267568673336918</v>
      </c>
      <c r="C92" s="29">
        <f t="shared" si="68"/>
        <v>-1.1481224356132484</v>
      </c>
      <c r="D92" s="29">
        <f t="shared" si="69"/>
        <v>-0.72963685221350194</v>
      </c>
      <c r="E92" s="29">
        <f t="shared" si="70"/>
        <v>-0.49775577662434972</v>
      </c>
      <c r="F92" s="29">
        <f t="shared" si="71"/>
        <v>0.50547975956746527</v>
      </c>
      <c r="G92" s="29">
        <f t="shared" si="72"/>
        <v>0.49881960252340279</v>
      </c>
      <c r="H92" s="29">
        <f t="shared" si="73"/>
        <v>0.894605316168818</v>
      </c>
      <c r="I92" s="29">
        <f t="shared" si="74"/>
        <v>-0.56621419895540515</v>
      </c>
      <c r="J92" s="29">
        <f t="shared" si="75"/>
        <v>8.0409224425439782E-2</v>
      </c>
      <c r="K92" s="26">
        <f t="shared" si="38"/>
        <v>-0.72963685221350194</v>
      </c>
      <c r="L92" s="26">
        <f t="shared" si="39"/>
        <v>0.32527442275796625</v>
      </c>
      <c r="M92" s="26">
        <f t="shared" si="40"/>
        <v>0.49881960252340279</v>
      </c>
      <c r="N92" s="26">
        <f t="shared" si="41"/>
        <v>0.62218189334136165</v>
      </c>
      <c r="O92" s="26">
        <f t="shared" si="42"/>
        <v>1.9113229895623515E-2</v>
      </c>
      <c r="P92" s="26">
        <f t="shared" si="43"/>
        <v>0.50477816201338177</v>
      </c>
      <c r="Q92" s="26">
        <f t="shared" si="44"/>
        <v>0.12740049642280396</v>
      </c>
      <c r="R92" s="26">
        <f t="shared" si="45"/>
        <v>-1.8777592878267504</v>
      </c>
      <c r="S92" s="26">
        <f t="shared" si="46"/>
        <v>0.13264645842514716</v>
      </c>
      <c r="T92" s="26">
        <f t="shared" si="47"/>
        <v>1.004299362090868</v>
      </c>
      <c r="U92" s="26">
        <f t="shared" si="48"/>
        <v>0.7319030443255844</v>
      </c>
      <c r="V92" s="26">
        <f t="shared" si="49"/>
        <v>-0.21533844465229063</v>
      </c>
      <c r="W92" s="26">
        <f t="shared" si="50"/>
        <v>0.44637245750603866</v>
      </c>
      <c r="X92" s="26">
        <f t="shared" si="51"/>
        <v>0.15325172790395153</v>
      </c>
      <c r="Y92" s="26">
        <f t="shared" si="52"/>
        <v>-7.6961165480132765E-2</v>
      </c>
      <c r="Z92" s="26">
        <f t="shared" si="53"/>
        <v>0.48076919972921495</v>
      </c>
      <c r="AA92" s="26">
        <f t="shared" si="54"/>
        <v>1.0638258990530725E-3</v>
      </c>
      <c r="AB92" s="26">
        <f t="shared" si="55"/>
        <v>0.50026595644968086</v>
      </c>
      <c r="AC92" s="26">
        <f t="shared" si="56"/>
        <v>0.22725021855760807</v>
      </c>
      <c r="AD92" s="26">
        <f t="shared" si="57"/>
        <v>0.55656931475545945</v>
      </c>
      <c r="AE92" s="26">
        <f t="shared" si="58"/>
        <v>9.8315386308221397E-2</v>
      </c>
      <c r="AF92" s="26">
        <f t="shared" si="59"/>
        <v>-1.2250836010933812</v>
      </c>
      <c r="AG92" s="26">
        <f t="shared" si="60"/>
        <v>0.22704306873523977</v>
      </c>
      <c r="AH92" s="26">
        <f t="shared" si="61"/>
        <v>0.50654358546651834</v>
      </c>
      <c r="AI92" s="26">
        <f t="shared" si="62"/>
        <v>0.62399586133784612</v>
      </c>
      <c r="AJ92" s="26">
        <f t="shared" si="63"/>
        <v>-6.9792156063628971E-2</v>
      </c>
      <c r="AK92" s="26">
        <f t="shared" si="64"/>
        <v>0.48255903990594562</v>
      </c>
      <c r="AL92" s="26">
        <f t="shared" si="65"/>
        <v>0.11643161349747401</v>
      </c>
      <c r="AM92" s="27">
        <f t="shared" si="66"/>
        <v>0.49539922413245091</v>
      </c>
      <c r="AO92">
        <v>801</v>
      </c>
      <c r="AP92" s="28">
        <f>AM812</f>
        <v>1.1538197930740316E-2</v>
      </c>
    </row>
    <row r="93" spans="1:42" ht="15" customHeight="1" x14ac:dyDescent="0.2">
      <c r="A93" s="24">
        <v>82</v>
      </c>
      <c r="B93" s="29">
        <f t="shared" si="67"/>
        <v>0.65819838514129925</v>
      </c>
      <c r="C93" s="29">
        <f t="shared" si="68"/>
        <v>-1.1529578989803086</v>
      </c>
      <c r="D93" s="29">
        <f t="shared" si="69"/>
        <v>-0.73480718304905257</v>
      </c>
      <c r="E93" s="29">
        <f t="shared" si="70"/>
        <v>-0.49723994936220939</v>
      </c>
      <c r="F93" s="29">
        <f t="shared" si="71"/>
        <v>0.50628647453433762</v>
      </c>
      <c r="G93" s="29">
        <f t="shared" si="72"/>
        <v>0.50092996097087328</v>
      </c>
      <c r="H93" s="29">
        <f t="shared" si="73"/>
        <v>0.8969668342171514</v>
      </c>
      <c r="I93" s="29">
        <f t="shared" si="74"/>
        <v>-0.56502657331707318</v>
      </c>
      <c r="J93" s="29">
        <f t="shared" si="75"/>
        <v>7.9986591858794365E-2</v>
      </c>
      <c r="K93" s="26">
        <f t="shared" si="38"/>
        <v>-0.73480718304905257</v>
      </c>
      <c r="L93" s="26">
        <f t="shared" si="39"/>
        <v>0.32414071192802429</v>
      </c>
      <c r="M93" s="26">
        <f t="shared" si="40"/>
        <v>0.50092996097087328</v>
      </c>
      <c r="N93" s="26">
        <f t="shared" si="41"/>
        <v>0.62267785058095293</v>
      </c>
      <c r="O93" s="26">
        <f t="shared" si="42"/>
        <v>1.8900527883571661E-2</v>
      </c>
      <c r="P93" s="26">
        <f t="shared" si="43"/>
        <v>0.50472499131269455</v>
      </c>
      <c r="Q93" s="26">
        <f t="shared" si="44"/>
        <v>0.1273736584277998</v>
      </c>
      <c r="R93" s="26">
        <f t="shared" si="45"/>
        <v>-1.8877650820293612</v>
      </c>
      <c r="S93" s="26">
        <f t="shared" si="46"/>
        <v>0.1314995034293793</v>
      </c>
      <c r="T93" s="26">
        <f t="shared" si="47"/>
        <v>1.0072164355052109</v>
      </c>
      <c r="U93" s="26">
        <f t="shared" si="48"/>
        <v>0.73247504797032703</v>
      </c>
      <c r="V93" s="26">
        <f t="shared" si="49"/>
        <v>-0.21593058124396053</v>
      </c>
      <c r="W93" s="26">
        <f t="shared" si="50"/>
        <v>0.44622613094247943</v>
      </c>
      <c r="X93" s="26">
        <f t="shared" si="51"/>
        <v>0.15333274902546798</v>
      </c>
      <c r="Y93" s="26">
        <f t="shared" si="52"/>
        <v>-7.6608797907753323E-2</v>
      </c>
      <c r="Z93" s="26">
        <f t="shared" si="53"/>
        <v>0.48085716190358668</v>
      </c>
      <c r="AA93" s="26">
        <f t="shared" si="54"/>
        <v>3.6900116086638901E-3</v>
      </c>
      <c r="AB93" s="26">
        <f t="shared" si="55"/>
        <v>0.50092250185541987</v>
      </c>
      <c r="AC93" s="26">
        <f t="shared" si="56"/>
        <v>0.22826499336131562</v>
      </c>
      <c r="AD93" s="26">
        <f t="shared" si="57"/>
        <v>0.55681974669078704</v>
      </c>
      <c r="AE93" s="26">
        <f t="shared" si="58"/>
        <v>9.8204368461609085E-2</v>
      </c>
      <c r="AF93" s="26">
        <f t="shared" si="59"/>
        <v>-1.2295666968880621</v>
      </c>
      <c r="AG93" s="26">
        <f t="shared" si="60"/>
        <v>0.22625727290720621</v>
      </c>
      <c r="AH93" s="26">
        <f t="shared" si="61"/>
        <v>0.50997648614300151</v>
      </c>
      <c r="AI93" s="26">
        <f t="shared" si="62"/>
        <v>0.62480096225526671</v>
      </c>
      <c r="AJ93" s="26">
        <f t="shared" si="63"/>
        <v>-7.0097285051326147E-2</v>
      </c>
      <c r="AK93" s="26">
        <f t="shared" si="64"/>
        <v>0.48248285088136944</v>
      </c>
      <c r="AL93" s="26">
        <f t="shared" si="65"/>
        <v>0.11639485069730689</v>
      </c>
      <c r="AM93" s="27">
        <f t="shared" si="66"/>
        <v>0.49530562661218375</v>
      </c>
      <c r="AO93">
        <v>811</v>
      </c>
      <c r="AP93" s="28">
        <f>AM822</f>
        <v>1.11162771411575E-2</v>
      </c>
    </row>
    <row r="94" spans="1:42" ht="15" customHeight="1" x14ac:dyDescent="0.2">
      <c r="A94" s="24">
        <v>83</v>
      </c>
      <c r="B94" s="29">
        <f t="shared" si="67"/>
        <v>0.66376895503876709</v>
      </c>
      <c r="C94" s="29">
        <f t="shared" si="68"/>
        <v>-1.1578572681649468</v>
      </c>
      <c r="D94" s="29">
        <f t="shared" si="69"/>
        <v>-0.74001108228587931</v>
      </c>
      <c r="E94" s="29">
        <f t="shared" si="70"/>
        <v>-0.49673097485843581</v>
      </c>
      <c r="F94" s="29">
        <f t="shared" si="71"/>
        <v>0.50709266393835473</v>
      </c>
      <c r="G94" s="29">
        <f t="shared" si="72"/>
        <v>0.50303722705078269</v>
      </c>
      <c r="H94" s="29">
        <f t="shared" si="73"/>
        <v>0.89939545621746619</v>
      </c>
      <c r="I94" s="29">
        <f t="shared" si="74"/>
        <v>-0.56384477347055895</v>
      </c>
      <c r="J94" s="29">
        <f t="shared" si="75"/>
        <v>7.9550371510413082E-2</v>
      </c>
      <c r="K94" s="26">
        <f t="shared" si="38"/>
        <v>-0.74001108228587931</v>
      </c>
      <c r="L94" s="26">
        <f t="shared" si="39"/>
        <v>0.32300172037543867</v>
      </c>
      <c r="M94" s="26">
        <f t="shared" si="40"/>
        <v>0.50303722705078269</v>
      </c>
      <c r="N94" s="26">
        <f t="shared" si="41"/>
        <v>0.62317282491054238</v>
      </c>
      <c r="O94" s="26">
        <f t="shared" si="42"/>
        <v>1.8683910871814119E-2</v>
      </c>
      <c r="P94" s="26">
        <f t="shared" si="43"/>
        <v>0.50467084184063649</v>
      </c>
      <c r="Q94" s="26">
        <f t="shared" si="44"/>
        <v>0.12734632930206835</v>
      </c>
      <c r="R94" s="26">
        <f t="shared" si="45"/>
        <v>-1.897868350450826</v>
      </c>
      <c r="S94" s="26">
        <f t="shared" si="46"/>
        <v>0.13034992529921877</v>
      </c>
      <c r="T94" s="26">
        <f t="shared" si="47"/>
        <v>1.0101298909891374</v>
      </c>
      <c r="U94" s="26">
        <f t="shared" si="48"/>
        <v>0.73304556834516121</v>
      </c>
      <c r="V94" s="26">
        <f t="shared" si="49"/>
        <v>-0.21653741038435795</v>
      </c>
      <c r="W94" s="26">
        <f t="shared" si="50"/>
        <v>0.4460761832797428</v>
      </c>
      <c r="X94" s="26">
        <f t="shared" si="51"/>
        <v>0.15341579736496852</v>
      </c>
      <c r="Y94" s="26">
        <f t="shared" si="52"/>
        <v>-7.6242127247112212E-2</v>
      </c>
      <c r="Z94" s="26">
        <f t="shared" si="53"/>
        <v>0.48094869584438676</v>
      </c>
      <c r="AA94" s="26">
        <f t="shared" si="54"/>
        <v>6.3062521923468728E-3</v>
      </c>
      <c r="AB94" s="26">
        <f t="shared" si="55"/>
        <v>0.50157655782327026</v>
      </c>
      <c r="AC94" s="26">
        <f t="shared" si="56"/>
        <v>0.22930212260256613</v>
      </c>
      <c r="AD94" s="26">
        <f t="shared" si="57"/>
        <v>0.55707566554224941</v>
      </c>
      <c r="AE94" s="26">
        <f t="shared" si="58"/>
        <v>9.8090983027420656E-2</v>
      </c>
      <c r="AF94" s="26">
        <f t="shared" si="59"/>
        <v>-1.2340993954120592</v>
      </c>
      <c r="AG94" s="26">
        <f t="shared" si="60"/>
        <v>0.22546474113058854</v>
      </c>
      <c r="AH94" s="26">
        <f t="shared" si="61"/>
        <v>0.51339891613070154</v>
      </c>
      <c r="AI94" s="26">
        <f t="shared" si="62"/>
        <v>0.62560292112873339</v>
      </c>
      <c r="AJ94" s="26">
        <f t="shared" si="63"/>
        <v>-7.0410602125838967E-2</v>
      </c>
      <c r="AK94" s="26">
        <f t="shared" si="64"/>
        <v>0.48240461818426028</v>
      </c>
      <c r="AL94" s="26">
        <f t="shared" si="65"/>
        <v>0.11635710782275097</v>
      </c>
      <c r="AM94" s="27">
        <f t="shared" si="66"/>
        <v>0.49521021751720851</v>
      </c>
      <c r="AO94">
        <v>821</v>
      </c>
      <c r="AP94" s="28">
        <f>AM832</f>
        <v>1.072256314742483E-2</v>
      </c>
    </row>
    <row r="95" spans="1:42" ht="15" customHeight="1" x14ac:dyDescent="0.2">
      <c r="A95" s="24">
        <v>84</v>
      </c>
      <c r="B95" s="29">
        <f t="shared" si="67"/>
        <v>0.66938823201374198</v>
      </c>
      <c r="C95" s="29">
        <f t="shared" si="68"/>
        <v>-1.1628211156445731</v>
      </c>
      <c r="D95" s="29">
        <f t="shared" si="69"/>
        <v>-0.74524880034012153</v>
      </c>
      <c r="E95" s="29">
        <f t="shared" si="70"/>
        <v>-0.49622863783003124</v>
      </c>
      <c r="F95" s="29">
        <f t="shared" si="71"/>
        <v>0.507898162330226</v>
      </c>
      <c r="G95" s="29">
        <f t="shared" si="72"/>
        <v>0.505141488216448</v>
      </c>
      <c r="H95" s="29">
        <f t="shared" si="73"/>
        <v>0.90189203634021309</v>
      </c>
      <c r="I95" s="29">
        <f t="shared" si="74"/>
        <v>-0.56266865944853905</v>
      </c>
      <c r="J95" s="29">
        <f t="shared" si="75"/>
        <v>7.9100334027826791E-2</v>
      </c>
      <c r="K95" s="26">
        <f t="shared" si="38"/>
        <v>-0.74524880034012153</v>
      </c>
      <c r="L95" s="26">
        <f t="shared" si="39"/>
        <v>0.32185744357830831</v>
      </c>
      <c r="M95" s="26">
        <f t="shared" si="40"/>
        <v>0.505141488216448</v>
      </c>
      <c r="N95" s="26">
        <f t="shared" si="41"/>
        <v>0.62366683708520854</v>
      </c>
      <c r="O95" s="26">
        <f t="shared" si="42"/>
        <v>1.8463216062677812E-2</v>
      </c>
      <c r="P95" s="26">
        <f t="shared" si="43"/>
        <v>0.50461567289655296</v>
      </c>
      <c r="Q95" s="26">
        <f t="shared" si="44"/>
        <v>0.12731848866642045</v>
      </c>
      <c r="R95" s="26">
        <f t="shared" si="45"/>
        <v>-1.9080699159846946</v>
      </c>
      <c r="S95" s="26">
        <f t="shared" si="46"/>
        <v>0.12919784235225323</v>
      </c>
      <c r="T95" s="26">
        <f t="shared" si="47"/>
        <v>1.0130396505466739</v>
      </c>
      <c r="U95" s="26">
        <f t="shared" si="48"/>
        <v>0.73361459224325654</v>
      </c>
      <c r="V95" s="26">
        <f t="shared" si="49"/>
        <v>-0.21715910001173744</v>
      </c>
      <c r="W95" s="26">
        <f t="shared" si="50"/>
        <v>0.44592257376285932</v>
      </c>
      <c r="X95" s="26">
        <f t="shared" si="51"/>
        <v>0.153500897132787</v>
      </c>
      <c r="Y95" s="26">
        <f t="shared" si="52"/>
        <v>-7.5860568326379552E-2</v>
      </c>
      <c r="Z95" s="26">
        <f t="shared" si="53"/>
        <v>0.48104394777817333</v>
      </c>
      <c r="AA95" s="26">
        <f t="shared" si="54"/>
        <v>8.9128503864167596E-3</v>
      </c>
      <c r="AB95" s="26">
        <f t="shared" si="55"/>
        <v>0.5022281978461578</v>
      </c>
      <c r="AC95" s="26">
        <f t="shared" si="56"/>
        <v>0.23036197283926541</v>
      </c>
      <c r="AD95" s="26">
        <f t="shared" si="57"/>
        <v>0.55733715965711472</v>
      </c>
      <c r="AE95" s="26">
        <f t="shared" si="58"/>
        <v>9.7975195110215366E-2</v>
      </c>
      <c r="AF95" s="26">
        <f t="shared" si="59"/>
        <v>-1.2386816839709527</v>
      </c>
      <c r="AG95" s="26">
        <f t="shared" si="60"/>
        <v>0.22466554107686562</v>
      </c>
      <c r="AH95" s="26">
        <f t="shared" si="61"/>
        <v>0.51681101271664276</v>
      </c>
      <c r="AI95" s="26">
        <f t="shared" si="62"/>
        <v>0.62640177258118535</v>
      </c>
      <c r="AJ95" s="26">
        <f t="shared" si="63"/>
        <v>-7.0732249289327254E-2</v>
      </c>
      <c r="AK95" s="26">
        <f t="shared" si="64"/>
        <v>0.48232430642975066</v>
      </c>
      <c r="AL95" s="26">
        <f t="shared" si="65"/>
        <v>0.11631836828647001</v>
      </c>
      <c r="AM95" s="27">
        <f t="shared" si="66"/>
        <v>0.49511294919589283</v>
      </c>
      <c r="AO95">
        <v>831</v>
      </c>
      <c r="AP95" s="28">
        <f>AM842</f>
        <v>1.0354388740145177E-2</v>
      </c>
    </row>
    <row r="96" spans="1:42" ht="15" customHeight="1" x14ac:dyDescent="0.2">
      <c r="A96" s="24">
        <v>85</v>
      </c>
      <c r="B96" s="29">
        <f t="shared" si="67"/>
        <v>0.67505706035117885</v>
      </c>
      <c r="C96" s="29">
        <f t="shared" si="68"/>
        <v>-1.1678500222094572</v>
      </c>
      <c r="D96" s="29">
        <f t="shared" si="69"/>
        <v>-0.75052058802486943</v>
      </c>
      <c r="E96" s="29">
        <f t="shared" si="70"/>
        <v>-0.49573272174360633</v>
      </c>
      <c r="F96" s="29">
        <f t="shared" si="71"/>
        <v>0.5087028033137474</v>
      </c>
      <c r="G96" s="29">
        <f t="shared" si="72"/>
        <v>0.50724283109057577</v>
      </c>
      <c r="H96" s="29">
        <f t="shared" si="73"/>
        <v>0.90445743909440857</v>
      </c>
      <c r="I96" s="29">
        <f t="shared" si="74"/>
        <v>-0.56149809016486274</v>
      </c>
      <c r="J96" s="29">
        <f t="shared" si="75"/>
        <v>7.863624656870434E-2</v>
      </c>
      <c r="K96" s="26">
        <f t="shared" si="38"/>
        <v>-0.75052058802486943</v>
      </c>
      <c r="L96" s="26">
        <f t="shared" si="39"/>
        <v>0.32070787788263472</v>
      </c>
      <c r="M96" s="26">
        <f t="shared" si="40"/>
        <v>0.50724283109057577</v>
      </c>
      <c r="N96" s="26">
        <f t="shared" si="41"/>
        <v>0.62415990763074802</v>
      </c>
      <c r="O96" s="26">
        <f t="shared" si="42"/>
        <v>1.8238276403692313E-2</v>
      </c>
      <c r="P96" s="26">
        <f t="shared" si="43"/>
        <v>0.50455944271587549</v>
      </c>
      <c r="Q96" s="26">
        <f t="shared" si="44"/>
        <v>0.12729011561687742</v>
      </c>
      <c r="R96" s="26">
        <f t="shared" si="45"/>
        <v>-1.9183706102343265</v>
      </c>
      <c r="S96" s="26">
        <f t="shared" si="46"/>
        <v>0.12804337463830467</v>
      </c>
      <c r="T96" s="26">
        <f t="shared" si="47"/>
        <v>1.0159456344043232</v>
      </c>
      <c r="U96" s="26">
        <f t="shared" si="48"/>
        <v>0.73418210620524094</v>
      </c>
      <c r="V96" s="26">
        <f t="shared" si="49"/>
        <v>-0.21779582118038787</v>
      </c>
      <c r="W96" s="26">
        <f t="shared" si="50"/>
        <v>0.44576526089967461</v>
      </c>
      <c r="X96" s="26">
        <f t="shared" si="51"/>
        <v>0.15358807301280289</v>
      </c>
      <c r="Y96" s="26">
        <f t="shared" si="52"/>
        <v>-7.5463527673690578E-2</v>
      </c>
      <c r="Z96" s="26">
        <f t="shared" si="53"/>
        <v>0.48114306601666096</v>
      </c>
      <c r="AA96" s="26">
        <f t="shared" si="54"/>
        <v>1.1510109346969444E-2</v>
      </c>
      <c r="AB96" s="26">
        <f t="shared" si="55"/>
        <v>0.50287749556863381</v>
      </c>
      <c r="AC96" s="26">
        <f t="shared" si="56"/>
        <v>0.23144491854748833</v>
      </c>
      <c r="AD96" s="26">
        <f t="shared" si="57"/>
        <v>0.55760431923128251</v>
      </c>
      <c r="AE96" s="26">
        <f t="shared" si="58"/>
        <v>9.7856969181408501E-2</v>
      </c>
      <c r="AF96" s="26">
        <f t="shared" si="59"/>
        <v>-1.2433135498831478</v>
      </c>
      <c r="AG96" s="26">
        <f t="shared" si="60"/>
        <v>0.22385974110670351</v>
      </c>
      <c r="AH96" s="26">
        <f t="shared" si="61"/>
        <v>0.5202129126607169</v>
      </c>
      <c r="AI96" s="26">
        <f t="shared" si="62"/>
        <v>0.62719755106631669</v>
      </c>
      <c r="AJ96" s="26">
        <f t="shared" si="63"/>
        <v>-7.1062372353405082E-2</v>
      </c>
      <c r="AK96" s="26">
        <f t="shared" si="64"/>
        <v>0.4822418792858511</v>
      </c>
      <c r="AL96" s="26">
        <f t="shared" si="65"/>
        <v>0.11627861506857469</v>
      </c>
      <c r="AM96" s="27">
        <f t="shared" si="66"/>
        <v>0.49501377287966347</v>
      </c>
      <c r="AO96">
        <v>841</v>
      </c>
      <c r="AP96" s="28">
        <f>AM852</f>
        <v>1.0009407480572769E-2</v>
      </c>
    </row>
    <row r="97" spans="1:42" ht="15" customHeight="1" x14ac:dyDescent="0.2">
      <c r="A97" s="24">
        <v>86</v>
      </c>
      <c r="B97" s="29">
        <f t="shared" si="67"/>
        <v>0.68077629305707466</v>
      </c>
      <c r="C97" s="29">
        <f t="shared" si="68"/>
        <v>-1.1729445768784139</v>
      </c>
      <c r="D97" s="29">
        <f t="shared" si="69"/>
        <v>-0.75582669641448286</v>
      </c>
      <c r="E97" s="29">
        <f t="shared" si="70"/>
        <v>-0.49524300875434574</v>
      </c>
      <c r="F97" s="29">
        <f t="shared" si="71"/>
        <v>0.50950641948592423</v>
      </c>
      <c r="G97" s="29">
        <f t="shared" si="72"/>
        <v>0.50934134148035271</v>
      </c>
      <c r="H97" s="29">
        <f t="shared" si="73"/>
        <v>0.9070925392204735</v>
      </c>
      <c r="I97" s="29">
        <f t="shared" si="74"/>
        <v>-0.56033292336086249</v>
      </c>
      <c r="J97" s="29">
        <f t="shared" si="75"/>
        <v>7.8157872738565753E-2</v>
      </c>
      <c r="K97" s="26">
        <f t="shared" si="38"/>
        <v>-0.75582669641448286</v>
      </c>
      <c r="L97" s="26">
        <f t="shared" si="39"/>
        <v>0.31955302054376861</v>
      </c>
      <c r="M97" s="26">
        <f t="shared" si="40"/>
        <v>0.50934134148035271</v>
      </c>
      <c r="N97" s="26">
        <f t="shared" si="41"/>
        <v>0.62465205684745073</v>
      </c>
      <c r="O97" s="26">
        <f t="shared" si="42"/>
        <v>1.8008920462477235E-2</v>
      </c>
      <c r="P97" s="26">
        <f t="shared" si="43"/>
        <v>0.50450210843883658</v>
      </c>
      <c r="Q97" s="26">
        <f t="shared" si="44"/>
        <v>0.12726118870961581</v>
      </c>
      <c r="R97" s="26">
        <f t="shared" si="45"/>
        <v>-1.9287712732928968</v>
      </c>
      <c r="S97" s="26">
        <f t="shared" si="46"/>
        <v>0.12688664396335952</v>
      </c>
      <c r="T97" s="26">
        <f t="shared" si="47"/>
        <v>1.0188477609662769</v>
      </c>
      <c r="U97" s="26">
        <f t="shared" si="48"/>
        <v>0.73474809651264317</v>
      </c>
      <c r="V97" s="26">
        <f t="shared" si="49"/>
        <v>-0.21844774804830477</v>
      </c>
      <c r="W97" s="26">
        <f t="shared" si="50"/>
        <v>0.44560420246516036</v>
      </c>
      <c r="X97" s="26">
        <f t="shared" si="51"/>
        <v>0.15367735016214548</v>
      </c>
      <c r="Y97" s="26">
        <f t="shared" si="52"/>
        <v>-7.5050403357408202E-2</v>
      </c>
      <c r="Z97" s="26">
        <f t="shared" si="53"/>
        <v>0.48124620099733278</v>
      </c>
      <c r="AA97" s="26">
        <f t="shared" si="54"/>
        <v>1.4098332726006968E-2</v>
      </c>
      <c r="AB97" s="26">
        <f t="shared" si="55"/>
        <v>0.50352452480293908</v>
      </c>
      <c r="AC97" s="26">
        <f t="shared" si="56"/>
        <v>0.23255134222472271</v>
      </c>
      <c r="AD97" s="26">
        <f t="shared" si="57"/>
        <v>0.55787723632966846</v>
      </c>
      <c r="AE97" s="26">
        <f t="shared" si="58"/>
        <v>9.7736269077745921E-2</v>
      </c>
      <c r="AF97" s="26">
        <f t="shared" si="59"/>
        <v>-1.2479949802358221</v>
      </c>
      <c r="AG97" s="26">
        <f t="shared" si="60"/>
        <v>0.22304741030822656</v>
      </c>
      <c r="AH97" s="26">
        <f t="shared" si="61"/>
        <v>0.52360475221193115</v>
      </c>
      <c r="AI97" s="26">
        <f t="shared" si="62"/>
        <v>0.62799029087133518</v>
      </c>
      <c r="AJ97" s="26">
        <f t="shared" si="63"/>
        <v>-7.1401121004567775E-2</v>
      </c>
      <c r="AK97" s="26">
        <f t="shared" si="64"/>
        <v>0.48215729945733798</v>
      </c>
      <c r="AL97" s="26">
        <f t="shared" si="65"/>
        <v>0.11623783070999655</v>
      </c>
      <c r="AM97" s="27">
        <f t="shared" si="66"/>
        <v>0.49491263865950375</v>
      </c>
      <c r="AO97">
        <v>851</v>
      </c>
      <c r="AP97" s="28">
        <f>AM862</f>
        <v>9.6855474320271997E-3</v>
      </c>
    </row>
    <row r="98" spans="1:42" ht="15" customHeight="1" x14ac:dyDescent="0.2">
      <c r="A98" s="24">
        <v>87</v>
      </c>
      <c r="B98" s="29">
        <f t="shared" si="67"/>
        <v>0.68654679187086409</v>
      </c>
      <c r="C98" s="29">
        <f t="shared" si="68"/>
        <v>-1.1781053768058631</v>
      </c>
      <c r="D98" s="29">
        <f t="shared" si="69"/>
        <v>-0.76116737670468659</v>
      </c>
      <c r="E98" s="29">
        <f t="shared" si="70"/>
        <v>-0.49475927964511385</v>
      </c>
      <c r="F98" s="29">
        <f t="shared" si="71"/>
        <v>0.51030884237765739</v>
      </c>
      <c r="G98" s="29">
        <f t="shared" si="72"/>
        <v>0.51143710439186407</v>
      </c>
      <c r="H98" s="29">
        <f t="shared" si="73"/>
        <v>0.90979822157203005</v>
      </c>
      <c r="I98" s="29">
        <f t="shared" si="74"/>
        <v>-0.55917301555209353</v>
      </c>
      <c r="J98" s="29">
        <f t="shared" si="75"/>
        <v>7.7664972528486559E-2</v>
      </c>
      <c r="K98" s="26">
        <f t="shared" si="38"/>
        <v>-0.76116737670468659</v>
      </c>
      <c r="L98" s="26">
        <f t="shared" si="39"/>
        <v>0.31839286976845005</v>
      </c>
      <c r="M98" s="26">
        <f t="shared" si="40"/>
        <v>0.51143710439186407</v>
      </c>
      <c r="N98" s="26">
        <f t="shared" si="41"/>
        <v>0.62514330481370917</v>
      </c>
      <c r="O98" s="26">
        <f t="shared" si="42"/>
        <v>1.7774972300154041E-2</v>
      </c>
      <c r="P98" s="26">
        <f t="shared" si="43"/>
        <v>0.50444362607881621</v>
      </c>
      <c r="Q98" s="26">
        <f t="shared" si="44"/>
        <v>0.12723168594577228</v>
      </c>
      <c r="R98" s="26">
        <f t="shared" si="45"/>
        <v>-1.9392727535105498</v>
      </c>
      <c r="S98" s="26">
        <f t="shared" si="46"/>
        <v>0.12572777391211501</v>
      </c>
      <c r="T98" s="26">
        <f t="shared" si="47"/>
        <v>1.0217459467695216</v>
      </c>
      <c r="U98" s="26">
        <f t="shared" si="48"/>
        <v>0.73531254918137334</v>
      </c>
      <c r="V98" s="26">
        <f t="shared" si="49"/>
        <v>-0.2191150578631065</v>
      </c>
      <c r="W98" s="26">
        <f t="shared" si="50"/>
        <v>0.4454393555062045</v>
      </c>
      <c r="X98" s="26">
        <f t="shared" si="51"/>
        <v>0.15376875421068692</v>
      </c>
      <c r="Y98" s="26">
        <f t="shared" si="52"/>
        <v>-7.4620584833822501E-2</v>
      </c>
      <c r="Z98" s="26">
        <f t="shared" si="53"/>
        <v>0.48135350532221444</v>
      </c>
      <c r="AA98" s="26">
        <f t="shared" si="54"/>
        <v>1.6677824746750225E-2</v>
      </c>
      <c r="AB98" s="26">
        <f t="shared" si="55"/>
        <v>0.50416935954491193</v>
      </c>
      <c r="AC98" s="26">
        <f t="shared" si="56"/>
        <v>0.23368163449240384</v>
      </c>
      <c r="AD98" s="26">
        <f t="shared" si="57"/>
        <v>0.55815600490617456</v>
      </c>
      <c r="AE98" s="26">
        <f t="shared" si="58"/>
        <v>9.7613058000236216E-2</v>
      </c>
      <c r="AF98" s="26">
        <f t="shared" si="59"/>
        <v>-1.2527259616396855</v>
      </c>
      <c r="AG98" s="26">
        <f t="shared" si="60"/>
        <v>0.22222861853463471</v>
      </c>
      <c r="AH98" s="26">
        <f t="shared" si="61"/>
        <v>0.52698666712440767</v>
      </c>
      <c r="AI98" s="26">
        <f t="shared" si="62"/>
        <v>0.62878002611967998</v>
      </c>
      <c r="AJ98" s="26">
        <f t="shared" si="63"/>
        <v>-7.1748648870559317E-2</v>
      </c>
      <c r="AK98" s="26">
        <f t="shared" si="64"/>
        <v>0.4820705286694183</v>
      </c>
      <c r="AL98" s="26">
        <f t="shared" si="65"/>
        <v>0.11619599730580622</v>
      </c>
      <c r="AM98" s="27">
        <f t="shared" si="66"/>
        <v>0.49480949546250164</v>
      </c>
      <c r="AO98">
        <v>861</v>
      </c>
      <c r="AP98" s="28">
        <f>AM872</f>
        <v>9.3809726029211171E-3</v>
      </c>
    </row>
    <row r="99" spans="1:42" ht="15" customHeight="1" x14ac:dyDescent="0.2">
      <c r="A99" s="24">
        <v>88</v>
      </c>
      <c r="B99" s="29">
        <f t="shared" si="67"/>
        <v>0.69236942726552098</v>
      </c>
      <c r="C99" s="29">
        <f t="shared" si="68"/>
        <v>-1.1833330271798077</v>
      </c>
      <c r="D99" s="29">
        <f t="shared" si="69"/>
        <v>-0.76654288006844407</v>
      </c>
      <c r="E99" s="29">
        <f t="shared" si="70"/>
        <v>-0.49428131376572554</v>
      </c>
      <c r="F99" s="29">
        <f t="shared" si="71"/>
        <v>0.51110990239500431</v>
      </c>
      <c r="G99" s="29">
        <f t="shared" si="72"/>
        <v>0.51353020404383376</v>
      </c>
      <c r="H99" s="29">
        <f t="shared" si="73"/>
        <v>0.91257538098607538</v>
      </c>
      <c r="I99" s="29">
        <f t="shared" si="74"/>
        <v>-0.55801822197550477</v>
      </c>
      <c r="J99" s="29">
        <f t="shared" si="75"/>
        <v>7.7157302252877022E-2</v>
      </c>
      <c r="K99" s="26">
        <f t="shared" si="38"/>
        <v>-0.76654288006844407</v>
      </c>
      <c r="L99" s="26">
        <f t="shared" si="39"/>
        <v>0.31722742475741067</v>
      </c>
      <c r="M99" s="26">
        <f t="shared" si="40"/>
        <v>0.51353020404383376</v>
      </c>
      <c r="N99" s="26">
        <f t="shared" si="41"/>
        <v>0.62563367138946413</v>
      </c>
      <c r="O99" s="26">
        <f t="shared" si="42"/>
        <v>1.7536251343346618E-2</v>
      </c>
      <c r="P99" s="26">
        <f t="shared" si="43"/>
        <v>0.50438395049033391</v>
      </c>
      <c r="Q99" s="26">
        <f t="shared" si="44"/>
        <v>0.12720158475611781</v>
      </c>
      <c r="R99" s="26">
        <f t="shared" si="45"/>
        <v>-1.9498759072482517</v>
      </c>
      <c r="S99" s="26">
        <f t="shared" si="46"/>
        <v>0.12456688986905157</v>
      </c>
      <c r="T99" s="26">
        <f t="shared" si="47"/>
        <v>1.024640106438838</v>
      </c>
      <c r="U99" s="26">
        <f t="shared" si="48"/>
        <v>0.73587544995523968</v>
      </c>
      <c r="V99" s="26">
        <f t="shared" si="49"/>
        <v>-0.21979793094607014</v>
      </c>
      <c r="W99" s="26">
        <f t="shared" si="50"/>
        <v>0.44527067634691353</v>
      </c>
      <c r="X99" s="26">
        <f t="shared" si="51"/>
        <v>0.15386231126030539</v>
      </c>
      <c r="Y99" s="26">
        <f t="shared" si="52"/>
        <v>-7.417345280292309E-2</v>
      </c>
      <c r="Z99" s="26">
        <f t="shared" si="53"/>
        <v>0.48146513379465139</v>
      </c>
      <c r="AA99" s="26">
        <f t="shared" si="54"/>
        <v>1.9248890278108222E-2</v>
      </c>
      <c r="AB99" s="26">
        <f t="shared" si="55"/>
        <v>0.50481207398972949</v>
      </c>
      <c r="AC99" s="26">
        <f t="shared" si="56"/>
        <v>0.23483619419752699</v>
      </c>
      <c r="AD99" s="26">
        <f t="shared" si="57"/>
        <v>0.55844072082318075</v>
      </c>
      <c r="AE99" s="26">
        <f t="shared" si="58"/>
        <v>9.7487298513576098E-2</v>
      </c>
      <c r="AF99" s="26">
        <f t="shared" si="59"/>
        <v>-1.2575064799827307</v>
      </c>
      <c r="AG99" s="26">
        <f t="shared" si="60"/>
        <v>0.22140343644110511</v>
      </c>
      <c r="AH99" s="26">
        <f t="shared" si="61"/>
        <v>0.53035879267311259</v>
      </c>
      <c r="AI99" s="26">
        <f t="shared" si="62"/>
        <v>0.62956679077369027</v>
      </c>
      <c r="AJ99" s="26">
        <f t="shared" si="63"/>
        <v>-7.2105113587614414E-2</v>
      </c>
      <c r="AK99" s="26">
        <f t="shared" si="64"/>
        <v>0.48198152765118857</v>
      </c>
      <c r="AL99" s="26">
        <f t="shared" si="65"/>
        <v>0.11615309649848672</v>
      </c>
      <c r="AM99" s="27">
        <f t="shared" si="66"/>
        <v>0.49470429102848601</v>
      </c>
      <c r="AO99">
        <v>871</v>
      </c>
      <c r="AP99" s="28">
        <f>AM882</f>
        <v>9.094050654019397E-3</v>
      </c>
    </row>
    <row r="100" spans="1:42" ht="15" customHeight="1" x14ac:dyDescent="0.2">
      <c r="A100" s="24">
        <v>89</v>
      </c>
      <c r="B100" s="29">
        <f t="shared" si="67"/>
        <v>0.6982450784347044</v>
      </c>
      <c r="C100" s="29">
        <f t="shared" si="68"/>
        <v>-1.1886281411102657</v>
      </c>
      <c r="D100" s="29">
        <f t="shared" si="69"/>
        <v>-0.77195345750762379</v>
      </c>
      <c r="E100" s="29">
        <f t="shared" si="70"/>
        <v>-0.4938088889724106</v>
      </c>
      <c r="F100" s="29">
        <f t="shared" si="71"/>
        <v>0.51190942876102619</v>
      </c>
      <c r="G100" s="29">
        <f t="shared" si="72"/>
        <v>0.51562072388067626</v>
      </c>
      <c r="H100" s="29">
        <f t="shared" si="73"/>
        <v>0.91542492214093174</v>
      </c>
      <c r="I100" s="29">
        <f t="shared" si="74"/>
        <v>-0.5568683965370449</v>
      </c>
      <c r="J100" s="29">
        <f t="shared" si="75"/>
        <v>7.663461448742763E-2</v>
      </c>
      <c r="K100" s="26">
        <f t="shared" si="38"/>
        <v>-0.77195345750762379</v>
      </c>
      <c r="L100" s="26">
        <f t="shared" si="39"/>
        <v>0.31605668574850421</v>
      </c>
      <c r="M100" s="26">
        <f t="shared" si="40"/>
        <v>0.51562072388067626</v>
      </c>
      <c r="N100" s="26">
        <f t="shared" si="41"/>
        <v>0.6261231762194801</v>
      </c>
      <c r="O100" s="26">
        <f t="shared" si="42"/>
        <v>1.7292572254849523E-2</v>
      </c>
      <c r="P100" s="26">
        <f t="shared" si="43"/>
        <v>0.50432303533671063</v>
      </c>
      <c r="Q100" s="26">
        <f t="shared" si="44"/>
        <v>0.12717086198561653</v>
      </c>
      <c r="R100" s="26">
        <f t="shared" si="45"/>
        <v>-1.9605815986178894</v>
      </c>
      <c r="S100" s="26">
        <f t="shared" si="46"/>
        <v>0.12340411903793681</v>
      </c>
      <c r="T100" s="26">
        <f t="shared" si="47"/>
        <v>1.0275301526417024</v>
      </c>
      <c r="U100" s="26">
        <f t="shared" si="48"/>
        <v>0.73643678429950232</v>
      </c>
      <c r="V100" s="26">
        <f t="shared" si="49"/>
        <v>-0.22049655067416024</v>
      </c>
      <c r="W100" s="26">
        <f t="shared" si="50"/>
        <v>0.44509812059445636</v>
      </c>
      <c r="X100" s="26">
        <f t="shared" si="51"/>
        <v>0.15395804788390222</v>
      </c>
      <c r="Y100" s="26">
        <f t="shared" si="52"/>
        <v>-7.3708379072919383E-2</v>
      </c>
      <c r="Z100" s="26">
        <f t="shared" si="53"/>
        <v>0.48158124345391623</v>
      </c>
      <c r="AA100" s="26">
        <f t="shared" si="54"/>
        <v>2.1811834908265659E-2</v>
      </c>
      <c r="AB100" s="26">
        <f t="shared" si="55"/>
        <v>0.50545274254746742</v>
      </c>
      <c r="AC100" s="26">
        <f t="shared" si="56"/>
        <v>0.23601542851310209</v>
      </c>
      <c r="AD100" s="26">
        <f t="shared" si="57"/>
        <v>0.55873148187048671</v>
      </c>
      <c r="AE100" s="26">
        <f t="shared" si="58"/>
        <v>9.7358952546108296E-2</v>
      </c>
      <c r="AF100" s="26">
        <f t="shared" si="59"/>
        <v>-1.2623365201831851</v>
      </c>
      <c r="AG100" s="26">
        <f t="shared" si="60"/>
        <v>0.22057193552091034</v>
      </c>
      <c r="AH100" s="26">
        <f t="shared" si="61"/>
        <v>0.53372126366929185</v>
      </c>
      <c r="AI100" s="26">
        <f t="shared" si="62"/>
        <v>0.6303506186372192</v>
      </c>
      <c r="AJ100" s="26">
        <f t="shared" si="63"/>
        <v>-7.2470676868510928E-2</v>
      </c>
      <c r="AK100" s="26">
        <f t="shared" si="64"/>
        <v>0.48189025611890557</v>
      </c>
      <c r="AL100" s="26">
        <f t="shared" si="65"/>
        <v>0.1161091094711722</v>
      </c>
      <c r="AM100" s="27">
        <f t="shared" si="66"/>
        <v>0.49459697188679924</v>
      </c>
      <c r="AO100">
        <v>881</v>
      </c>
      <c r="AP100" s="28">
        <f>AM892</f>
        <v>8.8233257227515738E-3</v>
      </c>
    </row>
    <row r="101" spans="1:42" ht="15" customHeight="1" x14ac:dyDescent="0.2">
      <c r="A101" s="24">
        <v>90</v>
      </c>
      <c r="B101" s="29">
        <f t="shared" si="67"/>
        <v>0.70417463326626362</v>
      </c>
      <c r="C101" s="29">
        <f t="shared" si="68"/>
        <v>-1.1939913395076813</v>
      </c>
      <c r="D101" s="29">
        <f t="shared" si="69"/>
        <v>-0.77739935970048379</v>
      </c>
      <c r="E101" s="29">
        <f t="shared" si="70"/>
        <v>-0.49334178156750308</v>
      </c>
      <c r="F101" s="29">
        <f t="shared" si="71"/>
        <v>0.51270724945823565</v>
      </c>
      <c r="G101" s="29">
        <f t="shared" si="72"/>
        <v>0.51770874658484978</v>
      </c>
      <c r="H101" s="29">
        <f t="shared" si="73"/>
        <v>0.91834775940135716</v>
      </c>
      <c r="I101" s="29">
        <f t="shared" si="74"/>
        <v>-0.55572339175970609</v>
      </c>
      <c r="J101" s="29">
        <f t="shared" si="75"/>
        <v>7.6096658007320073E-2</v>
      </c>
      <c r="K101" s="26">
        <f t="shared" si="38"/>
        <v>-0.77739935970048379</v>
      </c>
      <c r="L101" s="26">
        <f t="shared" si="39"/>
        <v>0.31488065406032684</v>
      </c>
      <c r="M101" s="26">
        <f t="shared" si="40"/>
        <v>0.51770874658484978</v>
      </c>
      <c r="N101" s="26">
        <f t="shared" si="41"/>
        <v>0.6266118387364521</v>
      </c>
      <c r="O101" s="26">
        <f t="shared" si="42"/>
        <v>1.7043744803047933E-2</v>
      </c>
      <c r="P101" s="26">
        <f t="shared" si="43"/>
        <v>0.50426083305741609</v>
      </c>
      <c r="Q101" s="26">
        <f t="shared" si="44"/>
        <v>0.12713949387787962</v>
      </c>
      <c r="R101" s="26">
        <f t="shared" si="45"/>
        <v>-1.9713906992081651</v>
      </c>
      <c r="S101" s="26">
        <f t="shared" si="46"/>
        <v>0.12223959045966476</v>
      </c>
      <c r="T101" s="26">
        <f t="shared" si="47"/>
        <v>1.0304159960430854</v>
      </c>
      <c r="U101" s="26">
        <f t="shared" si="48"/>
        <v>0.73699653739446458</v>
      </c>
      <c r="V101" s="26">
        <f t="shared" si="49"/>
        <v>-0.22121110345991818</v>
      </c>
      <c r="W101" s="26">
        <f t="shared" si="50"/>
        <v>0.44492164314548593</v>
      </c>
      <c r="X101" s="26">
        <f t="shared" si="51"/>
        <v>0.15405599112415366</v>
      </c>
      <c r="Y101" s="26">
        <f t="shared" si="52"/>
        <v>-7.3224726434220178E-2</v>
      </c>
      <c r="Z101" s="26">
        <f t="shared" si="53"/>
        <v>0.48170199360746907</v>
      </c>
      <c r="AA101" s="26">
        <f t="shared" si="54"/>
        <v>2.4366965017346698E-2</v>
      </c>
      <c r="AB101" s="26">
        <f t="shared" si="55"/>
        <v>0.50609143985846683</v>
      </c>
      <c r="AC101" s="26">
        <f t="shared" si="56"/>
        <v>0.23721975303720566</v>
      </c>
      <c r="AD101" s="26">
        <f t="shared" si="57"/>
        <v>0.55902838778363539</v>
      </c>
      <c r="AE101" s="26">
        <f t="shared" si="58"/>
        <v>9.7227981390349924E-2</v>
      </c>
      <c r="AF101" s="26">
        <f t="shared" si="59"/>
        <v>-1.2672160659419016</v>
      </c>
      <c r="AG101" s="26">
        <f t="shared" si="60"/>
        <v>0.21973418814068202</v>
      </c>
      <c r="AH101" s="26">
        <f t="shared" si="61"/>
        <v>0.53707421447558235</v>
      </c>
      <c r="AI101" s="26">
        <f t="shared" si="62"/>
        <v>0.63113154335818722</v>
      </c>
      <c r="AJ101" s="26">
        <f t="shared" si="63"/>
        <v>-7.2845504571358105E-2</v>
      </c>
      <c r="AK101" s="26">
        <f t="shared" si="64"/>
        <v>0.48179667275908816</v>
      </c>
      <c r="AL101" s="26">
        <f t="shared" si="65"/>
        <v>0.11606401694086395</v>
      </c>
      <c r="AM101" s="27">
        <f t="shared" si="66"/>
        <v>0.49448748333324716</v>
      </c>
      <c r="AO101">
        <v>891</v>
      </c>
      <c r="AP101" s="28">
        <f>AM902</f>
        <v>8.5674954497734282E-3</v>
      </c>
    </row>
    <row r="102" spans="1:42" ht="15" customHeight="1" x14ac:dyDescent="0.2">
      <c r="A102" s="24">
        <v>91</v>
      </c>
      <c r="B102" s="29">
        <f t="shared" si="67"/>
        <v>0.71015898830139013</v>
      </c>
      <c r="C102" s="29">
        <f t="shared" si="68"/>
        <v>-1.1994232509508285</v>
      </c>
      <c r="D102" s="29">
        <f t="shared" si="69"/>
        <v>-0.78288083684501208</v>
      </c>
      <c r="E102" s="29">
        <f t="shared" si="70"/>
        <v>-0.49287976623939128</v>
      </c>
      <c r="F102" s="29">
        <f t="shared" si="71"/>
        <v>0.51350319117166165</v>
      </c>
      <c r="G102" s="29">
        <f t="shared" si="72"/>
        <v>0.51979435408849917</v>
      </c>
      <c r="H102" s="29">
        <f t="shared" si="73"/>
        <v>0.92134481665018075</v>
      </c>
      <c r="I102" s="29">
        <f t="shared" si="74"/>
        <v>-0.55458305873200842</v>
      </c>
      <c r="J102" s="29">
        <f t="shared" si="75"/>
        <v>7.5543177725812885E-2</v>
      </c>
      <c r="K102" s="26">
        <f t="shared" si="38"/>
        <v>-0.78288083684501208</v>
      </c>
      <c r="L102" s="26">
        <f t="shared" si="39"/>
        <v>0.31369933213628626</v>
      </c>
      <c r="M102" s="26">
        <f t="shared" si="40"/>
        <v>0.51979435408849917</v>
      </c>
      <c r="N102" s="26">
        <f t="shared" si="41"/>
        <v>0.62709967816394041</v>
      </c>
      <c r="O102" s="26">
        <f t="shared" si="42"/>
        <v>1.6789573730187593E-2</v>
      </c>
      <c r="P102" s="26">
        <f t="shared" si="43"/>
        <v>0.50419729483513154</v>
      </c>
      <c r="Q102" s="26">
        <f t="shared" si="44"/>
        <v>0.12710745605953228</v>
      </c>
      <c r="R102" s="26">
        <f t="shared" si="45"/>
        <v>-1.9823040877958404</v>
      </c>
      <c r="S102" s="26">
        <f t="shared" si="46"/>
        <v>0.12107343502833041</v>
      </c>
      <c r="T102" s="26">
        <f t="shared" si="47"/>
        <v>1.0332975452601607</v>
      </c>
      <c r="U102" s="26">
        <f t="shared" si="48"/>
        <v>0.73755469412909958</v>
      </c>
      <c r="V102" s="26">
        <f t="shared" si="49"/>
        <v>-0.22194177872906939</v>
      </c>
      <c r="W102" s="26">
        <f t="shared" si="50"/>
        <v>0.44474119819317492</v>
      </c>
      <c r="X102" s="26">
        <f t="shared" si="51"/>
        <v>0.15415616849197553</v>
      </c>
      <c r="Y102" s="26">
        <f t="shared" si="52"/>
        <v>-7.2721848543621959E-2</v>
      </c>
      <c r="Z102" s="26">
        <f t="shared" si="53"/>
        <v>0.48182754586067655</v>
      </c>
      <c r="AA102" s="26">
        <f t="shared" si="54"/>
        <v>2.6914587849107885E-2</v>
      </c>
      <c r="AB102" s="26">
        <f t="shared" si="55"/>
        <v>0.50672824080849188</v>
      </c>
      <c r="AC102" s="26">
        <f t="shared" si="56"/>
        <v>0.2384495918903613</v>
      </c>
      <c r="AD102" s="26">
        <f t="shared" si="57"/>
        <v>0.55933154026153553</v>
      </c>
      <c r="AE102" s="26">
        <f t="shared" si="58"/>
        <v>9.7094345704135346E-2</v>
      </c>
      <c r="AF102" s="26">
        <f t="shared" si="59"/>
        <v>-1.2721450994944505</v>
      </c>
      <c r="AG102" s="26">
        <f t="shared" si="60"/>
        <v>0.218890267574745</v>
      </c>
      <c r="AH102" s="26">
        <f t="shared" si="61"/>
        <v>0.5404177790207696</v>
      </c>
      <c r="AI102" s="26">
        <f t="shared" si="62"/>
        <v>0.63190959843106542</v>
      </c>
      <c r="AJ102" s="26">
        <f t="shared" si="63"/>
        <v>-7.3229766769040069E-2</v>
      </c>
      <c r="AK102" s="26">
        <f t="shared" si="64"/>
        <v>0.48170073521147017</v>
      </c>
      <c r="AL102" s="26">
        <f t="shared" si="65"/>
        <v>0.11601779915163545</v>
      </c>
      <c r="AM102" s="27">
        <f t="shared" si="66"/>
        <v>0.49437576940727856</v>
      </c>
      <c r="AO102">
        <v>901</v>
      </c>
      <c r="AP102" s="28">
        <f>AM912</f>
        <v>8.3253914740295809E-3</v>
      </c>
    </row>
    <row r="103" spans="1:42" ht="15" customHeight="1" x14ac:dyDescent="0.2">
      <c r="A103" s="24">
        <v>92</v>
      </c>
      <c r="B103" s="29">
        <f t="shared" si="67"/>
        <v>0.71619904867867812</v>
      </c>
      <c r="C103" s="29">
        <f t="shared" si="68"/>
        <v>-1.2049245115437111</v>
      </c>
      <c r="D103" s="29">
        <f t="shared" si="69"/>
        <v>-0.78839813849817664</v>
      </c>
      <c r="E103" s="29">
        <f t="shared" si="70"/>
        <v>-0.49242261600276782</v>
      </c>
      <c r="F103" s="29">
        <f t="shared" si="71"/>
        <v>0.51429707923255108</v>
      </c>
      <c r="G103" s="29">
        <f t="shared" si="72"/>
        <v>0.52187762758437406</v>
      </c>
      <c r="H103" s="29">
        <f t="shared" si="73"/>
        <v>0.92441702710581097</v>
      </c>
      <c r="I103" s="29">
        <f t="shared" si="74"/>
        <v>-0.55344724705692805</v>
      </c>
      <c r="J103" s="29">
        <f t="shared" si="75"/>
        <v>7.4973914633319774E-2</v>
      </c>
      <c r="K103" s="26">
        <f t="shared" si="38"/>
        <v>-0.78839813849817664</v>
      </c>
      <c r="L103" s="26">
        <f t="shared" si="39"/>
        <v>0.31251272358907384</v>
      </c>
      <c r="M103" s="26">
        <f t="shared" si="40"/>
        <v>0.52187762758437406</v>
      </c>
      <c r="N103" s="26">
        <f t="shared" si="41"/>
        <v>0.6275867135191302</v>
      </c>
      <c r="O103" s="26">
        <f t="shared" si="42"/>
        <v>1.652985861960389E-2</v>
      </c>
      <c r="P103" s="26">
        <f t="shared" si="43"/>
        <v>0.50413237056255134</v>
      </c>
      <c r="Q103" s="26">
        <f t="shared" si="44"/>
        <v>0.1270747235245088</v>
      </c>
      <c r="R103" s="26">
        <f t="shared" si="45"/>
        <v>-1.9933226500418877</v>
      </c>
      <c r="S103" s="26">
        <f t="shared" si="46"/>
        <v>0.11990578550543755</v>
      </c>
      <c r="T103" s="26">
        <f t="shared" si="47"/>
        <v>1.0361747068169251</v>
      </c>
      <c r="U103" s="26">
        <f t="shared" si="48"/>
        <v>0.73811123909471721</v>
      </c>
      <c r="V103" s="26">
        <f t="shared" si="49"/>
        <v>-0.22268876889570582</v>
      </c>
      <c r="W103" s="26">
        <f t="shared" si="50"/>
        <v>0.44455673923490041</v>
      </c>
      <c r="X103" s="26">
        <f t="shared" si="51"/>
        <v>0.15425860796468324</v>
      </c>
      <c r="Y103" s="26">
        <f t="shared" si="52"/>
        <v>-7.2199089819498519E-2</v>
      </c>
      <c r="Z103" s="26">
        <f t="shared" si="53"/>
        <v>0.48195806414379161</v>
      </c>
      <c r="AA103" s="26">
        <f t="shared" si="54"/>
        <v>2.9455011581606239E-2</v>
      </c>
      <c r="AB103" s="26">
        <f t="shared" si="55"/>
        <v>0.50736322054366079</v>
      </c>
      <c r="AC103" s="26">
        <f t="shared" si="56"/>
        <v>0.23970537781096923</v>
      </c>
      <c r="AD103" s="26">
        <f t="shared" si="57"/>
        <v>0.55964104298330553</v>
      </c>
      <c r="AE103" s="26">
        <f t="shared" si="58"/>
        <v>9.6958005512415485E-2</v>
      </c>
      <c r="AF103" s="26">
        <f t="shared" si="59"/>
        <v>-1.2771236013632095</v>
      </c>
      <c r="AG103" s="26">
        <f t="shared" si="60"/>
        <v>0.21804024803844282</v>
      </c>
      <c r="AH103" s="26">
        <f t="shared" si="61"/>
        <v>0.54375209081415732</v>
      </c>
      <c r="AI103" s="26">
        <f t="shared" si="62"/>
        <v>0.63268481719928027</v>
      </c>
      <c r="AJ103" s="26">
        <f t="shared" si="63"/>
        <v>-7.3623637819226692E-2</v>
      </c>
      <c r="AK103" s="26">
        <f t="shared" si="64"/>
        <v>0.48160240005182808</v>
      </c>
      <c r="AL103" s="26">
        <f t="shared" si="65"/>
        <v>0.11597043586784053</v>
      </c>
      <c r="AM103" s="27">
        <f t="shared" si="66"/>
        <v>0.49426177286944806</v>
      </c>
      <c r="AO103">
        <v>911</v>
      </c>
      <c r="AP103" s="28">
        <f>AM922</f>
        <v>8.0959628045213766E-3</v>
      </c>
    </row>
    <row r="104" spans="1:42" ht="15" customHeight="1" x14ac:dyDescent="0.2">
      <c r="A104" s="24">
        <v>93</v>
      </c>
      <c r="B104" s="29">
        <f t="shared" si="67"/>
        <v>0.722295728062329</v>
      </c>
      <c r="C104" s="29">
        <f t="shared" si="68"/>
        <v>-1.2104957647609549</v>
      </c>
      <c r="D104" s="29">
        <f t="shared" si="69"/>
        <v>-0.79395151341115022</v>
      </c>
      <c r="E104" s="29">
        <f t="shared" si="70"/>
        <v>-0.4919701021392226</v>
      </c>
      <c r="F104" s="29">
        <f t="shared" si="71"/>
        <v>0.51508873756272766</v>
      </c>
      <c r="G104" s="29">
        <f t="shared" si="72"/>
        <v>0.52395864753600618</v>
      </c>
      <c r="H104" s="29">
        <f t="shared" si="73"/>
        <v>0.92756533312494793</v>
      </c>
      <c r="I104" s="29">
        <f t="shared" si="74"/>
        <v>-0.5523158048012714</v>
      </c>
      <c r="J104" s="29">
        <f t="shared" si="75"/>
        <v>7.4388605737108593E-2</v>
      </c>
      <c r="K104" s="26">
        <f t="shared" si="38"/>
        <v>-0.79395151341115022</v>
      </c>
      <c r="L104" s="26">
        <f t="shared" si="39"/>
        <v>0.31132083324548981</v>
      </c>
      <c r="M104" s="26">
        <f t="shared" si="40"/>
        <v>0.52395864753600618</v>
      </c>
      <c r="N104" s="26">
        <f t="shared" si="41"/>
        <v>0.62807296361541232</v>
      </c>
      <c r="O104" s="26">
        <f t="shared" si="42"/>
        <v>1.6264393762031648E-2</v>
      </c>
      <c r="P104" s="26">
        <f t="shared" si="43"/>
        <v>0.50406600880895636</v>
      </c>
      <c r="Q104" s="26">
        <f t="shared" si="44"/>
        <v>0.12704127061829543</v>
      </c>
      <c r="R104" s="26">
        <f t="shared" si="45"/>
        <v>-2.0044472781721052</v>
      </c>
      <c r="S104" s="26">
        <f t="shared" si="46"/>
        <v>0.11873677653213484</v>
      </c>
      <c r="T104" s="26">
        <f t="shared" si="47"/>
        <v>1.0390473850987338</v>
      </c>
      <c r="U104" s="26">
        <f t="shared" si="48"/>
        <v>0.73866615657866563</v>
      </c>
      <c r="V104" s="26">
        <f t="shared" si="49"/>
        <v>-0.22345226933488693</v>
      </c>
      <c r="W104" s="26">
        <f t="shared" si="50"/>
        <v>0.44436821908061902</v>
      </c>
      <c r="X104" s="26">
        <f t="shared" si="51"/>
        <v>0.15436333798382146</v>
      </c>
      <c r="Y104" s="26">
        <f t="shared" si="52"/>
        <v>-7.1655785348821222E-2</v>
      </c>
      <c r="Z104" s="26">
        <f t="shared" si="53"/>
        <v>0.48209371473598134</v>
      </c>
      <c r="AA104" s="26">
        <f t="shared" si="54"/>
        <v>3.1988545396783585E-2</v>
      </c>
      <c r="AB104" s="26">
        <f t="shared" si="55"/>
        <v>0.50799645448513431</v>
      </c>
      <c r="AC104" s="26">
        <f t="shared" si="56"/>
        <v>0.24098755224848334</v>
      </c>
      <c r="AD104" s="26">
        <f t="shared" si="57"/>
        <v>0.55995700162424944</v>
      </c>
      <c r="AE104" s="26">
        <f t="shared" si="58"/>
        <v>9.6818920209760406E-2</v>
      </c>
      <c r="AF104" s="26">
        <f t="shared" si="59"/>
        <v>-1.2821515501097762</v>
      </c>
      <c r="AG104" s="26">
        <f t="shared" si="60"/>
        <v>0.21718420472037267</v>
      </c>
      <c r="AH104" s="26">
        <f t="shared" si="61"/>
        <v>0.54707728295951119</v>
      </c>
      <c r="AI104" s="26">
        <f t="shared" si="62"/>
        <v>0.63345723285753253</v>
      </c>
      <c r="AJ104" s="26">
        <f t="shared" si="63"/>
        <v>-7.4027296434856504E-2</v>
      </c>
      <c r="AK104" s="26">
        <f t="shared" si="64"/>
        <v>0.48150162277470759</v>
      </c>
      <c r="AL104" s="26">
        <f t="shared" si="65"/>
        <v>0.1159219063673384</v>
      </c>
      <c r="AM104" s="27">
        <f t="shared" si="66"/>
        <v>0.49414543517921572</v>
      </c>
      <c r="AO104">
        <v>921</v>
      </c>
      <c r="AP104" s="28">
        <f>AM932</f>
        <v>7.8782615889457785E-3</v>
      </c>
    </row>
    <row r="105" spans="1:42" ht="15" customHeight="1" x14ac:dyDescent="0.2">
      <c r="A105" s="24">
        <v>94</v>
      </c>
      <c r="B105" s="29">
        <f t="shared" si="67"/>
        <v>0.72844994855371004</v>
      </c>
      <c r="C105" s="29">
        <f t="shared" si="68"/>
        <v>-1.2161376612811741</v>
      </c>
      <c r="D105" s="29">
        <f t="shared" si="69"/>
        <v>-0.79954120936059314</v>
      </c>
      <c r="E105" s="29">
        <f t="shared" si="70"/>
        <v>-0.49152199413822656</v>
      </c>
      <c r="F105" s="29">
        <f t="shared" si="71"/>
        <v>0.5158779886196343</v>
      </c>
      <c r="G105" s="29">
        <f t="shared" si="72"/>
        <v>0.52603749368712938</v>
      </c>
      <c r="H105" s="29">
        <f t="shared" si="73"/>
        <v>0.93079068598981196</v>
      </c>
      <c r="I105" s="29">
        <f t="shared" si="74"/>
        <v>-0.55118857844549729</v>
      </c>
      <c r="J105" s="29">
        <f t="shared" si="75"/>
        <v>7.3786984001759232E-2</v>
      </c>
      <c r="K105" s="26">
        <f t="shared" si="38"/>
        <v>-0.79954120936059314</v>
      </c>
      <c r="L105" s="26">
        <f t="shared" si="39"/>
        <v>0.31012366719156947</v>
      </c>
      <c r="M105" s="26">
        <f t="shared" si="40"/>
        <v>0.52603749368712938</v>
      </c>
      <c r="N105" s="26">
        <f t="shared" si="41"/>
        <v>0.62855844706478425</v>
      </c>
      <c r="O105" s="26">
        <f t="shared" si="42"/>
        <v>1.5992968021128512E-2</v>
      </c>
      <c r="P105" s="26">
        <f t="shared" si="43"/>
        <v>0.50399815678659066</v>
      </c>
      <c r="Q105" s="26">
        <f t="shared" si="44"/>
        <v>0.1270070710221404</v>
      </c>
      <c r="R105" s="26">
        <f t="shared" si="45"/>
        <v>-2.015678870641767</v>
      </c>
      <c r="S105" s="26">
        <f t="shared" si="46"/>
        <v>0.11756654463937287</v>
      </c>
      <c r="T105" s="26">
        <f t="shared" si="47"/>
        <v>1.0419154823067638</v>
      </c>
      <c r="U105" s="26">
        <f t="shared" si="48"/>
        <v>0.73921943055807249</v>
      </c>
      <c r="V105" s="26">
        <f t="shared" si="49"/>
        <v>-0.22423247835250101</v>
      </c>
      <c r="W105" s="26">
        <f t="shared" si="50"/>
        <v>0.44417558986197114</v>
      </c>
      <c r="X105" s="26">
        <f t="shared" si="51"/>
        <v>0.15447038745264385</v>
      </c>
      <c r="Y105" s="26">
        <f t="shared" si="52"/>
        <v>-7.1091260806883105E-2</v>
      </c>
      <c r="Z105" s="26">
        <f t="shared" si="53"/>
        <v>0.48223466628618084</v>
      </c>
      <c r="AA105" s="26">
        <f t="shared" si="54"/>
        <v>3.4515499548902817E-2</v>
      </c>
      <c r="AB105" s="26">
        <f t="shared" si="55"/>
        <v>0.50862801834354054</v>
      </c>
      <c r="AC105" s="26">
        <f t="shared" si="56"/>
        <v>0.24229656545401509</v>
      </c>
      <c r="AD105" s="26">
        <f t="shared" si="57"/>
        <v>0.56027952387087188</v>
      </c>
      <c r="AE105" s="26">
        <f t="shared" si="58"/>
        <v>9.6677048563613574E-2</v>
      </c>
      <c r="AF105" s="26">
        <f t="shared" si="59"/>
        <v>-1.2872289220880573</v>
      </c>
      <c r="AG105" s="26">
        <f t="shared" si="60"/>
        <v>0.21632221381344341</v>
      </c>
      <c r="AH105" s="26">
        <f t="shared" si="61"/>
        <v>0.55039348816853706</v>
      </c>
      <c r="AI105" s="26">
        <f t="shared" si="62"/>
        <v>0.63422687845402037</v>
      </c>
      <c r="AJ105" s="26">
        <f t="shared" si="63"/>
        <v>-7.4440925754987702E-2</v>
      </c>
      <c r="AK105" s="26">
        <f t="shared" si="64"/>
        <v>0.4813983577760767</v>
      </c>
      <c r="AL105" s="26">
        <f t="shared" si="65"/>
        <v>0.11587218943475178</v>
      </c>
      <c r="AM105" s="27">
        <f t="shared" si="66"/>
        <v>0.49402669647314956</v>
      </c>
      <c r="AO105">
        <v>931</v>
      </c>
      <c r="AP105" s="28">
        <f>AM942</f>
        <v>7.6714308881837929E-3</v>
      </c>
    </row>
    <row r="106" spans="1:42" ht="15" customHeight="1" x14ac:dyDescent="0.2">
      <c r="A106" s="24">
        <v>95</v>
      </c>
      <c r="B106" s="29">
        <f t="shared" si="67"/>
        <v>0.73466264058544939</v>
      </c>
      <c r="C106" s="29">
        <f t="shared" si="68"/>
        <v>-1.2218508588077877</v>
      </c>
      <c r="D106" s="29">
        <f t="shared" si="69"/>
        <v>-0.80516747297608926</v>
      </c>
      <c r="E106" s="29">
        <f t="shared" si="70"/>
        <v>-0.49107805963855755</v>
      </c>
      <c r="F106" s="29">
        <f t="shared" si="71"/>
        <v>0.51666465334208356</v>
      </c>
      <c r="G106" s="29">
        <f t="shared" si="72"/>
        <v>0.52811424507032179</v>
      </c>
      <c r="H106" s="29">
        <f t="shared" si="73"/>
        <v>0.9340940456791863</v>
      </c>
      <c r="I106" s="29">
        <f t="shared" si="74"/>
        <v>-0.55006541283398902</v>
      </c>
      <c r="J106" s="29">
        <f t="shared" si="75"/>
        <v>7.3168778290531339E-2</v>
      </c>
      <c r="K106" s="26">
        <f t="shared" si="38"/>
        <v>-0.80516747297608926</v>
      </c>
      <c r="L106" s="26">
        <f t="shared" si="39"/>
        <v>0.30892123281795175</v>
      </c>
      <c r="M106" s="26">
        <f t="shared" si="40"/>
        <v>0.52811424507032179</v>
      </c>
      <c r="N106" s="26">
        <f t="shared" si="41"/>
        <v>0.62904318228006317</v>
      </c>
      <c r="O106" s="26">
        <f t="shared" si="42"/>
        <v>1.571536469836457E-2</v>
      </c>
      <c r="P106" s="26">
        <f t="shared" si="43"/>
        <v>0.50392876031688272</v>
      </c>
      <c r="Q106" s="26">
        <f t="shared" si="44"/>
        <v>0.12697209773725512</v>
      </c>
      <c r="R106" s="26">
        <f t="shared" si="45"/>
        <v>-2.0270183317838768</v>
      </c>
      <c r="S106" s="26">
        <f t="shared" si="46"/>
        <v>0.11639522825587312</v>
      </c>
      <c r="T106" s="26">
        <f t="shared" si="47"/>
        <v>1.0447788984124053</v>
      </c>
      <c r="U106" s="26">
        <f t="shared" si="48"/>
        <v>0.73977104469362542</v>
      </c>
      <c r="V106" s="26">
        <f t="shared" si="49"/>
        <v>-0.22502959715221818</v>
      </c>
      <c r="W106" s="26">
        <f t="shared" si="50"/>
        <v>0.44397880304215953</v>
      </c>
      <c r="X106" s="26">
        <f t="shared" si="51"/>
        <v>0.15457978573321482</v>
      </c>
      <c r="Y106" s="26">
        <f t="shared" si="52"/>
        <v>-7.0504832390639871E-2</v>
      </c>
      <c r="Z106" s="26">
        <f t="shared" si="53"/>
        <v>0.48238108983053873</v>
      </c>
      <c r="AA106" s="26">
        <f t="shared" si="54"/>
        <v>3.7036185431764235E-2</v>
      </c>
      <c r="AB106" s="26">
        <f t="shared" si="55"/>
        <v>0.50925798813311707</v>
      </c>
      <c r="AC106" s="26">
        <f t="shared" si="56"/>
        <v>0.24363287656802454</v>
      </c>
      <c r="AD106" s="26">
        <f t="shared" si="57"/>
        <v>0.56060871943483637</v>
      </c>
      <c r="AE106" s="26">
        <f t="shared" si="58"/>
        <v>9.6532348718347177E-2</v>
      </c>
      <c r="AF106" s="26">
        <f t="shared" si="59"/>
        <v>-1.2923556911984275</v>
      </c>
      <c r="AG106" s="26">
        <f t="shared" si="60"/>
        <v>0.21545435254466552</v>
      </c>
      <c r="AH106" s="26">
        <f t="shared" si="61"/>
        <v>0.55370083877384779</v>
      </c>
      <c r="AI106" s="26">
        <f t="shared" si="62"/>
        <v>0.63499378689255281</v>
      </c>
      <c r="AJ106" s="26">
        <f t="shared" si="63"/>
        <v>-7.4864713415902479E-2</v>
      </c>
      <c r="AK106" s="26">
        <f t="shared" si="64"/>
        <v>0.48129255833593376</v>
      </c>
      <c r="AL106" s="26">
        <f t="shared" si="65"/>
        <v>0.11582126335477411</v>
      </c>
      <c r="AM106" s="27">
        <f t="shared" si="66"/>
        <v>0.49390549554359126</v>
      </c>
      <c r="AO106">
        <v>941</v>
      </c>
      <c r="AP106" s="28">
        <f>AM952</f>
        <v>7.4746941364502838E-3</v>
      </c>
    </row>
    <row r="107" spans="1:42" ht="15" customHeight="1" x14ac:dyDescent="0.2">
      <c r="A107" s="24">
        <v>96</v>
      </c>
      <c r="B107" s="29">
        <f t="shared" si="67"/>
        <v>0.74093474279722626</v>
      </c>
      <c r="C107" s="29">
        <f t="shared" si="68"/>
        <v>-1.2276360218767535</v>
      </c>
      <c r="D107" s="29">
        <f t="shared" si="69"/>
        <v>-0.81083054956385126</v>
      </c>
      <c r="E107" s="29">
        <f t="shared" si="70"/>
        <v>-0.49063806437022534</v>
      </c>
      <c r="F107" s="29">
        <f t="shared" si="71"/>
        <v>0.51744855109674814</v>
      </c>
      <c r="G107" s="29">
        <f t="shared" si="72"/>
        <v>0.53018898001484915</v>
      </c>
      <c r="H107" s="29">
        <f t="shared" si="73"/>
        <v>0.93747638062255267</v>
      </c>
      <c r="I107" s="29">
        <f t="shared" si="74"/>
        <v>-0.54894615112577771</v>
      </c>
      <c r="J107" s="29">
        <f t="shared" si="75"/>
        <v>7.2533713307801034E-2</v>
      </c>
      <c r="K107" s="26">
        <f t="shared" si="38"/>
        <v>-0.81083054956385126</v>
      </c>
      <c r="L107" s="26">
        <f t="shared" si="39"/>
        <v>0.30771353886542913</v>
      </c>
      <c r="M107" s="26">
        <f t="shared" si="40"/>
        <v>0.53018898001484915</v>
      </c>
      <c r="N107" s="26">
        <f t="shared" si="41"/>
        <v>0.62952718747691139</v>
      </c>
      <c r="O107" s="26">
        <f t="shared" si="42"/>
        <v>1.5431361397434312E-2</v>
      </c>
      <c r="P107" s="26">
        <f t="shared" si="43"/>
        <v>0.50385776379654656</v>
      </c>
      <c r="Q107" s="26">
        <f t="shared" si="44"/>
        <v>0.12693632306902825</v>
      </c>
      <c r="R107" s="26">
        <f t="shared" si="45"/>
        <v>-2.0384665714406047</v>
      </c>
      <c r="S107" s="26">
        <f t="shared" si="46"/>
        <v>0.11522296771379742</v>
      </c>
      <c r="T107" s="26">
        <f t="shared" si="47"/>
        <v>1.0476375311115973</v>
      </c>
      <c r="U107" s="26">
        <f t="shared" si="48"/>
        <v>0.7403209823233895</v>
      </c>
      <c r="V107" s="26">
        <f t="shared" si="49"/>
        <v>-0.22584382979935849</v>
      </c>
      <c r="W107" s="26">
        <f t="shared" si="50"/>
        <v>0.44377780942664341</v>
      </c>
      <c r="X107" s="26">
        <f t="shared" si="51"/>
        <v>0.15469156264311174</v>
      </c>
      <c r="Y107" s="26">
        <f t="shared" si="52"/>
        <v>-6.989580676662499E-2</v>
      </c>
      <c r="Z107" s="26">
        <f t="shared" si="53"/>
        <v>0.48253315880621239</v>
      </c>
      <c r="AA107" s="26">
        <f t="shared" si="54"/>
        <v>3.9550915644623819E-2</v>
      </c>
      <c r="AB107" s="26">
        <f t="shared" si="55"/>
        <v>0.50988644018554485</v>
      </c>
      <c r="AC107" s="26">
        <f t="shared" si="56"/>
        <v>0.24499695370473754</v>
      </c>
      <c r="AD107" s="26">
        <f t="shared" si="57"/>
        <v>0.5609447000657618</v>
      </c>
      <c r="AE107" s="26">
        <f t="shared" si="58"/>
        <v>9.6384778200171925E-2</v>
      </c>
      <c r="AF107" s="26">
        <f t="shared" si="59"/>
        <v>-1.2975318286433786</v>
      </c>
      <c r="AG107" s="26">
        <f t="shared" si="60"/>
        <v>0.21458069920358089</v>
      </c>
      <c r="AH107" s="26">
        <f t="shared" si="61"/>
        <v>0.55699946674137202</v>
      </c>
      <c r="AI107" s="26">
        <f t="shared" si="62"/>
        <v>0.63575799093454766</v>
      </c>
      <c r="AJ107" s="26">
        <f t="shared" si="63"/>
        <v>-7.5298851622346286E-2</v>
      </c>
      <c r="AK107" s="26">
        <f t="shared" si="64"/>
        <v>0.48118417660090196</v>
      </c>
      <c r="AL107" s="26">
        <f t="shared" si="65"/>
        <v>0.115769105905544</v>
      </c>
      <c r="AM107" s="27">
        <f t="shared" si="66"/>
        <v>0.49378176981785593</v>
      </c>
      <c r="AO107">
        <v>951</v>
      </c>
      <c r="AP107" s="28">
        <f>AM962</f>
        <v>7.2873460237093141E-3</v>
      </c>
    </row>
    <row r="108" spans="1:42" ht="15" customHeight="1" x14ac:dyDescent="0.2">
      <c r="A108" s="24">
        <v>97</v>
      </c>
      <c r="B108" s="29">
        <f t="shared" si="67"/>
        <v>0.74726720189238893</v>
      </c>
      <c r="C108" s="29">
        <f t="shared" si="68"/>
        <v>-1.2334938216506728</v>
      </c>
      <c r="D108" s="29">
        <f t="shared" si="69"/>
        <v>-0.81653068292682429</v>
      </c>
      <c r="E108" s="29">
        <f t="shared" si="70"/>
        <v>-0.49020177209695615</v>
      </c>
      <c r="F108" s="29">
        <f t="shared" si="71"/>
        <v>0.51822949962542297</v>
      </c>
      <c r="G108" s="29">
        <f t="shared" si="72"/>
        <v>0.53226177615368642</v>
      </c>
      <c r="H108" s="29">
        <f t="shared" si="73"/>
        <v>0.94093866743658472</v>
      </c>
      <c r="I108" s="29">
        <f t="shared" si="74"/>
        <v>-0.54783063474571636</v>
      </c>
      <c r="J108" s="29">
        <f t="shared" si="75"/>
        <v>7.1881509542743166E-2</v>
      </c>
      <c r="K108" s="26">
        <f t="shared" si="38"/>
        <v>-0.81653068292682429</v>
      </c>
      <c r="L108" s="26">
        <f t="shared" si="39"/>
        <v>0.30650059547061326</v>
      </c>
      <c r="M108" s="26">
        <f t="shared" si="40"/>
        <v>0.53226177615368642</v>
      </c>
      <c r="N108" s="26">
        <f t="shared" si="41"/>
        <v>0.63001048067566423</v>
      </c>
      <c r="O108" s="26">
        <f t="shared" si="42"/>
        <v>1.5140729888378696E-2</v>
      </c>
      <c r="P108" s="26">
        <f t="shared" si="43"/>
        <v>0.50378511016361305</v>
      </c>
      <c r="Q108" s="26">
        <f t="shared" si="44"/>
        <v>0.12689971861128188</v>
      </c>
      <c r="R108" s="26">
        <f t="shared" si="45"/>
        <v>-2.0500245045774972</v>
      </c>
      <c r="S108" s="26">
        <f t="shared" si="46"/>
        <v>0.11404990525200505</v>
      </c>
      <c r="T108" s="26">
        <f t="shared" si="47"/>
        <v>1.0504912757791094</v>
      </c>
      <c r="U108" s="26">
        <f t="shared" si="48"/>
        <v>0.74086922645666742</v>
      </c>
      <c r="V108" s="26">
        <f t="shared" si="49"/>
        <v>-0.22667538318149047</v>
      </c>
      <c r="W108" s="26">
        <f t="shared" si="50"/>
        <v>0.44357255917469773</v>
      </c>
      <c r="X108" s="26">
        <f t="shared" si="51"/>
        <v>0.15480574845169762</v>
      </c>
      <c r="Y108" s="26">
        <f t="shared" si="52"/>
        <v>-6.9263481034435359E-2</v>
      </c>
      <c r="Z108" s="26">
        <f t="shared" si="53"/>
        <v>0.48269104906125482</v>
      </c>
      <c r="AA108" s="26">
        <f t="shared" si="54"/>
        <v>4.2060004056730271E-2</v>
      </c>
      <c r="AB108" s="26">
        <f t="shared" si="55"/>
        <v>0.51051345116345437</v>
      </c>
      <c r="AC108" s="26">
        <f t="shared" si="56"/>
        <v>0.24638927403290592</v>
      </c>
      <c r="AD108" s="26">
        <f t="shared" si="57"/>
        <v>0.56128757956274755</v>
      </c>
      <c r="AE108" s="26">
        <f t="shared" si="58"/>
        <v>9.6234293922956279E-2</v>
      </c>
      <c r="AF108" s="26">
        <f t="shared" si="59"/>
        <v>-1.3027573026851083</v>
      </c>
      <c r="AG108" s="26">
        <f t="shared" si="60"/>
        <v>0.21370133316923512</v>
      </c>
      <c r="AH108" s="26">
        <f t="shared" si="61"/>
        <v>0.56028950368215324</v>
      </c>
      <c r="AI108" s="26">
        <f t="shared" si="62"/>
        <v>0.63651952320089766</v>
      </c>
      <c r="AJ108" s="26">
        <f t="shared" si="63"/>
        <v>-7.574353721876359E-2</v>
      </c>
      <c r="AK108" s="26">
        <f t="shared" si="64"/>
        <v>0.48107316356684549</v>
      </c>
      <c r="AL108" s="26">
        <f t="shared" si="65"/>
        <v>0.11571569435210644</v>
      </c>
      <c r="AM108" s="27">
        <f t="shared" si="66"/>
        <v>0.49365545533804223</v>
      </c>
      <c r="AO108">
        <v>961</v>
      </c>
      <c r="AP108" s="28">
        <f>AM972</f>
        <v>7.1087445827188924E-3</v>
      </c>
    </row>
    <row r="109" spans="1:42" ht="15" customHeight="1" x14ac:dyDescent="0.2">
      <c r="A109" s="24">
        <v>98</v>
      </c>
      <c r="B109" s="29">
        <f t="shared" si="67"/>
        <v>0.75366097247450714</v>
      </c>
      <c r="C109" s="29">
        <f t="shared" si="68"/>
        <v>-1.2394249356987193</v>
      </c>
      <c r="D109" s="29">
        <f t="shared" si="69"/>
        <v>-0.82226811518133736</v>
      </c>
      <c r="E109" s="29">
        <f t="shared" si="70"/>
        <v>-0.48976894455930353</v>
      </c>
      <c r="F109" s="29">
        <f t="shared" si="71"/>
        <v>0.51900731499309483</v>
      </c>
      <c r="G109" s="29">
        <f t="shared" si="72"/>
        <v>0.53433271042969044</v>
      </c>
      <c r="H109" s="29">
        <f t="shared" si="73"/>
        <v>0.94448189064324761</v>
      </c>
      <c r="I109" s="29">
        <f t="shared" si="74"/>
        <v>-0.54671870333610517</v>
      </c>
      <c r="J109" s="29">
        <f t="shared" si="75"/>
        <v>7.1211883214443161E-2</v>
      </c>
      <c r="K109" s="26">
        <f t="shared" si="38"/>
        <v>-0.82226811518133736</v>
      </c>
      <c r="L109" s="26">
        <f t="shared" si="39"/>
        <v>0.30528241421164592</v>
      </c>
      <c r="M109" s="26">
        <f t="shared" si="40"/>
        <v>0.53433271042969044</v>
      </c>
      <c r="N109" s="26">
        <f t="shared" si="41"/>
        <v>0.63049307970296065</v>
      </c>
      <c r="O109" s="26">
        <f t="shared" si="42"/>
        <v>1.4843235971603252E-2</v>
      </c>
      <c r="P109" s="26">
        <f t="shared" si="43"/>
        <v>0.50371074086343715</v>
      </c>
      <c r="Q109" s="26">
        <f t="shared" si="44"/>
        <v>0.12686225523059635</v>
      </c>
      <c r="R109" s="26">
        <f t="shared" si="45"/>
        <v>-2.0616930508800566</v>
      </c>
      <c r="S109" s="26">
        <f t="shared" si="46"/>
        <v>0.11287618501678322</v>
      </c>
      <c r="T109" s="26">
        <f t="shared" si="47"/>
        <v>1.0533400254227852</v>
      </c>
      <c r="U109" s="26">
        <f t="shared" si="48"/>
        <v>0.74141575976789764</v>
      </c>
      <c r="V109" s="26">
        <f t="shared" si="49"/>
        <v>-0.22752446696556666</v>
      </c>
      <c r="W109" s="26">
        <f t="shared" si="50"/>
        <v>0.44336300181188593</v>
      </c>
      <c r="X109" s="26">
        <f t="shared" si="51"/>
        <v>0.15492237387593724</v>
      </c>
      <c r="Y109" s="26">
        <f t="shared" si="52"/>
        <v>-6.8607142706830215E-2</v>
      </c>
      <c r="Z109" s="26">
        <f t="shared" si="53"/>
        <v>0.4828549388603271</v>
      </c>
      <c r="AA109" s="26">
        <f t="shared" si="54"/>
        <v>4.4563765870386907E-2</v>
      </c>
      <c r="AB109" s="26">
        <f t="shared" si="55"/>
        <v>0.51113909807357305</v>
      </c>
      <c r="AC109" s="26">
        <f t="shared" si="56"/>
        <v>0.24781032385250445</v>
      </c>
      <c r="AD109" s="26">
        <f t="shared" si="57"/>
        <v>0.56163747378451401</v>
      </c>
      <c r="AE109" s="26">
        <f t="shared" si="58"/>
        <v>9.6080852195011321E-2</v>
      </c>
      <c r="AF109" s="26">
        <f t="shared" si="59"/>
        <v>-1.3080320784055495</v>
      </c>
      <c r="AG109" s="26">
        <f t="shared" si="60"/>
        <v>0.21281633493559191</v>
      </c>
      <c r="AH109" s="26">
        <f t="shared" si="61"/>
        <v>0.56357108086348173</v>
      </c>
      <c r="AI109" s="26">
        <f t="shared" si="62"/>
        <v>0.63727841617369363</v>
      </c>
      <c r="AJ109" s="26">
        <f t="shared" si="63"/>
        <v>-7.6198971760390921E-2</v>
      </c>
      <c r="AK109" s="26">
        <f t="shared" si="64"/>
        <v>0.48095946906154441</v>
      </c>
      <c r="AL109" s="26">
        <f t="shared" si="65"/>
        <v>0.11566100543998134</v>
      </c>
      <c r="AM109" s="27">
        <f t="shared" si="66"/>
        <v>0.49352648674152622</v>
      </c>
      <c r="AO109">
        <v>971</v>
      </c>
      <c r="AP109" s="28">
        <f>AM982</f>
        <v>6.9383043001185543E-3</v>
      </c>
    </row>
    <row r="110" spans="1:42" ht="15" customHeight="1" x14ac:dyDescent="0.2">
      <c r="A110" s="24">
        <v>99</v>
      </c>
      <c r="B110" s="29">
        <f t="shared" si="67"/>
        <v>0.76011701686294386</v>
      </c>
      <c r="C110" s="29">
        <f t="shared" si="68"/>
        <v>-1.2454300477618283</v>
      </c>
      <c r="D110" s="29">
        <f t="shared" si="69"/>
        <v>-0.82804308657046899</v>
      </c>
      <c r="E110" s="29">
        <f t="shared" si="70"/>
        <v>-0.48933934141845659</v>
      </c>
      <c r="F110" s="29">
        <f t="shared" si="71"/>
        <v>0.51978181153685854</v>
      </c>
      <c r="G110" s="29">
        <f t="shared" si="72"/>
        <v>0.53640185910089755</v>
      </c>
      <c r="H110" s="29">
        <f t="shared" si="73"/>
        <v>0.94810704236873722</v>
      </c>
      <c r="I110" s="29">
        <f t="shared" si="74"/>
        <v>-0.54561019470876704</v>
      </c>
      <c r="J110" s="29">
        <f t="shared" si="75"/>
        <v>7.0524546218640238E-2</v>
      </c>
      <c r="K110" s="26">
        <f t="shared" si="38"/>
        <v>-0.82804308657046899</v>
      </c>
      <c r="L110" s="26">
        <f t="shared" si="39"/>
        <v>0.30405900815388093</v>
      </c>
      <c r="M110" s="26">
        <f t="shared" si="40"/>
        <v>0.53640185910089755</v>
      </c>
      <c r="N110" s="26">
        <f t="shared" si="41"/>
        <v>0.63097500219316549</v>
      </c>
      <c r="O110" s="26">
        <f t="shared" si="42"/>
        <v>1.4538639342010273E-2</v>
      </c>
      <c r="P110" s="26">
        <f t="shared" si="43"/>
        <v>0.50363459581473558</v>
      </c>
      <c r="Q110" s="26">
        <f t="shared" si="44"/>
        <v>0.12682390305073604</v>
      </c>
      <c r="R110" s="26">
        <f t="shared" si="45"/>
        <v>-2.0734731343322972</v>
      </c>
      <c r="S110" s="26">
        <f t="shared" si="46"/>
        <v>0.11170195305993566</v>
      </c>
      <c r="T110" s="26">
        <f t="shared" si="47"/>
        <v>1.0561836706377561</v>
      </c>
      <c r="U110" s="26">
        <f t="shared" si="48"/>
        <v>0.74196056459059734</v>
      </c>
      <c r="V110" s="26">
        <f t="shared" si="49"/>
        <v>-0.2283912935513952</v>
      </c>
      <c r="W110" s="26">
        <f t="shared" si="50"/>
        <v>0.44314908624349425</v>
      </c>
      <c r="X110" s="26">
        <f t="shared" si="51"/>
        <v>0.15504147007572769</v>
      </c>
      <c r="Y110" s="26">
        <f t="shared" si="52"/>
        <v>-6.7926069707525127E-2</v>
      </c>
      <c r="Z110" s="26">
        <f t="shared" si="53"/>
        <v>0.48302500888595939</v>
      </c>
      <c r="AA110" s="26">
        <f t="shared" si="54"/>
        <v>4.7062517682440963E-2</v>
      </c>
      <c r="AB110" s="26">
        <f t="shared" si="55"/>
        <v>0.51176345827949044</v>
      </c>
      <c r="AC110" s="26">
        <f t="shared" si="56"/>
        <v>0.24926059866693551</v>
      </c>
      <c r="AD110" s="26">
        <f t="shared" si="57"/>
        <v>0.56199450065803414</v>
      </c>
      <c r="AE110" s="26">
        <f t="shared" si="58"/>
        <v>9.592440872690243E-2</v>
      </c>
      <c r="AF110" s="26">
        <f t="shared" si="59"/>
        <v>-1.3133561174693535</v>
      </c>
      <c r="AG110" s="26">
        <f t="shared" si="60"/>
        <v>0.21192578613528684</v>
      </c>
      <c r="AH110" s="26">
        <f t="shared" si="61"/>
        <v>0.5668443292192995</v>
      </c>
      <c r="AI110" s="26">
        <f t="shared" si="62"/>
        <v>0.63803470219779113</v>
      </c>
      <c r="AJ110" s="26">
        <f t="shared" si="63"/>
        <v>-7.6665361584050434E-2</v>
      </c>
      <c r="AK110" s="26">
        <f t="shared" si="64"/>
        <v>0.4808430417274655</v>
      </c>
      <c r="AL110" s="26">
        <f t="shared" si="65"/>
        <v>0.11560501538886056</v>
      </c>
      <c r="AM110" s="27">
        <f t="shared" si="66"/>
        <v>0.49339479724222679</v>
      </c>
      <c r="AO110">
        <v>981</v>
      </c>
      <c r="AP110" s="28">
        <f>AM992</f>
        <v>6.7754901011075385E-3</v>
      </c>
    </row>
    <row r="111" spans="1:42" ht="15" customHeight="1" x14ac:dyDescent="0.2">
      <c r="A111" s="24">
        <v>100</v>
      </c>
      <c r="B111" s="29">
        <f t="shared" si="67"/>
        <v>0.76663630488650547</v>
      </c>
      <c r="C111" s="29">
        <f t="shared" si="68"/>
        <v>-1.2515098475025852</v>
      </c>
      <c r="D111" s="29">
        <f t="shared" si="69"/>
        <v>-0.83385583527431295</v>
      </c>
      <c r="E111" s="29">
        <f t="shared" si="70"/>
        <v>-0.48891272020082216</v>
      </c>
      <c r="F111" s="29">
        <f t="shared" si="71"/>
        <v>0.52055280181572272</v>
      </c>
      <c r="G111" s="29">
        <f t="shared" si="72"/>
        <v>0.53846929774491525</v>
      </c>
      <c r="H111" s="29">
        <f t="shared" si="73"/>
        <v>0.95181512202247887</v>
      </c>
      <c r="I111" s="29">
        <f t="shared" si="74"/>
        <v>-0.54450494479756917</v>
      </c>
      <c r="J111" s="29">
        <f t="shared" si="75"/>
        <v>6.9819206076315657E-2</v>
      </c>
      <c r="K111" s="26">
        <f t="shared" si="38"/>
        <v>-0.83385583527431295</v>
      </c>
      <c r="L111" s="26">
        <f t="shared" si="39"/>
        <v>0.30283039189545952</v>
      </c>
      <c r="M111" s="26">
        <f t="shared" si="40"/>
        <v>0.53846929774491525</v>
      </c>
      <c r="N111" s="26">
        <f t="shared" si="41"/>
        <v>0.63145626558958023</v>
      </c>
      <c r="O111" s="26">
        <f t="shared" si="42"/>
        <v>1.4226693453474007E-2</v>
      </c>
      <c r="P111" s="26">
        <f t="shared" si="43"/>
        <v>0.50355661337571234</v>
      </c>
      <c r="Q111" s="26">
        <f t="shared" si="44"/>
        <v>0.12678463143720831</v>
      </c>
      <c r="R111" s="26">
        <f t="shared" si="45"/>
        <v>-2.085365682776898</v>
      </c>
      <c r="S111" s="26">
        <f t="shared" si="46"/>
        <v>0.11052735733411341</v>
      </c>
      <c r="T111" s="26">
        <f t="shared" si="47"/>
        <v>1.0590220995606381</v>
      </c>
      <c r="U111" s="26">
        <f t="shared" si="48"/>
        <v>0.7425036229113452</v>
      </c>
      <c r="V111" s="26">
        <f t="shared" si="49"/>
        <v>-0.22927607802123023</v>
      </c>
      <c r="W111" s="26">
        <f t="shared" si="50"/>
        <v>0.44293076076898602</v>
      </c>
      <c r="X111" s="26">
        <f t="shared" si="51"/>
        <v>0.15516306864871032</v>
      </c>
      <c r="Y111" s="26">
        <f t="shared" si="52"/>
        <v>-6.721953038780748E-2</v>
      </c>
      <c r="Z111" s="26">
        <f t="shared" si="53"/>
        <v>0.48320144223506889</v>
      </c>
      <c r="AA111" s="26">
        <f t="shared" si="54"/>
        <v>4.9556577544093094E-2</v>
      </c>
      <c r="AB111" s="26">
        <f t="shared" si="55"/>
        <v>0.51238660951400916</v>
      </c>
      <c r="AC111" s="26">
        <f t="shared" si="56"/>
        <v>0.2507406032502863</v>
      </c>
      <c r="AD111" s="26">
        <f t="shared" si="57"/>
        <v>0.56235878018552943</v>
      </c>
      <c r="AE111" s="26">
        <f t="shared" si="58"/>
        <v>9.5764918640348876E-2</v>
      </c>
      <c r="AF111" s="26">
        <f t="shared" si="59"/>
        <v>-1.3187293778903926</v>
      </c>
      <c r="AG111" s="26">
        <f t="shared" si="60"/>
        <v>0.21102976956161432</v>
      </c>
      <c r="AH111" s="26">
        <f t="shared" si="61"/>
        <v>0.57010937935981576</v>
      </c>
      <c r="AI111" s="26">
        <f t="shared" si="62"/>
        <v>0.63878841348220472</v>
      </c>
      <c r="AJ111" s="26">
        <f t="shared" si="63"/>
        <v>-7.7142917878475478E-2</v>
      </c>
      <c r="AK111" s="26">
        <f t="shared" si="64"/>
        <v>0.48072382900467658</v>
      </c>
      <c r="AL111" s="26">
        <f t="shared" si="65"/>
        <v>0.11554769988645877</v>
      </c>
      <c r="AM111" s="27">
        <f t="shared" si="66"/>
        <v>0.49326031861272623</v>
      </c>
      <c r="AO111">
        <v>991</v>
      </c>
      <c r="AP111" s="28">
        <f>AM1002</f>
        <v>6.619812081879407E-3</v>
      </c>
    </row>
    <row r="112" spans="1:42" ht="15" customHeight="1" x14ac:dyDescent="0.2">
      <c r="A112" s="24">
        <v>101</v>
      </c>
      <c r="B112" s="29">
        <f t="shared" si="67"/>
        <v>0.77321981365420811</v>
      </c>
      <c r="C112" s="29">
        <f t="shared" si="68"/>
        <v>-1.2576650302392351</v>
      </c>
      <c r="D112" s="29">
        <f t="shared" si="69"/>
        <v>-0.83970659721734897</v>
      </c>
      <c r="E112" s="29">
        <f t="shared" si="70"/>
        <v>-0.48848883624346373</v>
      </c>
      <c r="F112" s="29">
        <f t="shared" si="71"/>
        <v>0.52132009656134926</v>
      </c>
      <c r="G112" s="29">
        <f t="shared" si="72"/>
        <v>0.54053510126237514</v>
      </c>
      <c r="H112" s="29">
        <f t="shared" si="73"/>
        <v>0.95560713595539237</v>
      </c>
      <c r="I112" s="29">
        <f t="shared" si="74"/>
        <v>-0.54340278761139027</v>
      </c>
      <c r="J112" s="29">
        <f t="shared" si="75"/>
        <v>6.9095565884355323E-2</v>
      </c>
      <c r="K112" s="26">
        <f t="shared" si="38"/>
        <v>-0.83970659721734897</v>
      </c>
      <c r="L112" s="26">
        <f t="shared" si="39"/>
        <v>0.30159658161269481</v>
      </c>
      <c r="M112" s="26">
        <f t="shared" si="40"/>
        <v>0.54053510126237514</v>
      </c>
      <c r="N112" s="26">
        <f t="shared" si="41"/>
        <v>0.63193688714543506</v>
      </c>
      <c r="O112" s="26">
        <f t="shared" si="42"/>
        <v>1.3907145383905403E-2</v>
      </c>
      <c r="P112" s="26">
        <f t="shared" si="43"/>
        <v>0.50347673031033491</v>
      </c>
      <c r="Q112" s="26">
        <f t="shared" si="44"/>
        <v>0.12674440898199285</v>
      </c>
      <c r="R112" s="26">
        <f t="shared" si="45"/>
        <v>-2.0973716274565843</v>
      </c>
      <c r="S112" s="26">
        <f t="shared" si="46"/>
        <v>0.10935254768527122</v>
      </c>
      <c r="T112" s="26">
        <f t="shared" si="47"/>
        <v>1.0618551978237245</v>
      </c>
      <c r="U112" s="26">
        <f t="shared" si="48"/>
        <v>0.74304491636381054</v>
      </c>
      <c r="V112" s="26">
        <f t="shared" si="49"/>
        <v>-0.23017903808526413</v>
      </c>
      <c r="W112" s="26">
        <f t="shared" si="50"/>
        <v>0.44270797309752719</v>
      </c>
      <c r="X112" s="26">
        <f t="shared" si="51"/>
        <v>0.15528720162453324</v>
      </c>
      <c r="Y112" s="26">
        <f t="shared" si="52"/>
        <v>-6.6486783563140861E-2</v>
      </c>
      <c r="Z112" s="26">
        <f t="shared" si="53"/>
        <v>0.48338442441043533</v>
      </c>
      <c r="AA112" s="26">
        <f t="shared" si="54"/>
        <v>5.2046265018911408E-2</v>
      </c>
      <c r="AB112" s="26">
        <f t="shared" si="55"/>
        <v>0.51300862989105145</v>
      </c>
      <c r="AC112" s="26">
        <f t="shared" si="56"/>
        <v>0.25225085170915995</v>
      </c>
      <c r="AD112" s="26">
        <f t="shared" si="57"/>
        <v>0.56273043444969451</v>
      </c>
      <c r="AE112" s="26">
        <f t="shared" si="58"/>
        <v>9.5602336478276456E-2</v>
      </c>
      <c r="AF112" s="26">
        <f t="shared" si="59"/>
        <v>-1.324151813802376</v>
      </c>
      <c r="AG112" s="26">
        <f t="shared" si="60"/>
        <v>0.21012836918863914</v>
      </c>
      <c r="AH112" s="26">
        <f t="shared" si="61"/>
        <v>0.57336636158026066</v>
      </c>
      <c r="AI112" s="26">
        <f t="shared" si="62"/>
        <v>0.63953958210131601</v>
      </c>
      <c r="AJ112" s="26">
        <f t="shared" si="63"/>
        <v>-7.7631856753990661E-2</v>
      </c>
      <c r="AK112" s="26">
        <f t="shared" si="64"/>
        <v>0.48060177711394597</v>
      </c>
      <c r="AL112" s="26">
        <f t="shared" si="65"/>
        <v>0.11548903408254151</v>
      </c>
      <c r="AM112" s="27">
        <f t="shared" si="66"/>
        <v>0.4931229811673441</v>
      </c>
    </row>
    <row r="113" spans="1:39" ht="15" customHeight="1" x14ac:dyDescent="0.2">
      <c r="A113" s="24">
        <v>102</v>
      </c>
      <c r="B113" s="29">
        <f t="shared" si="67"/>
        <v>0.77986852730217782</v>
      </c>
      <c r="C113" s="29">
        <f t="shared" si="68"/>
        <v>-1.2638962966632392</v>
      </c>
      <c r="D113" s="29">
        <f t="shared" si="69"/>
        <v>-0.84559560587314253</v>
      </c>
      <c r="E113" s="29">
        <f t="shared" si="70"/>
        <v>-0.48806744264048513</v>
      </c>
      <c r="F113" s="29">
        <f t="shared" si="71"/>
        <v>0.52208350462977693</v>
      </c>
      <c r="G113" s="29">
        <f t="shared" si="72"/>
        <v>0.54259934387941322</v>
      </c>
      <c r="H113" s="29">
        <f t="shared" si="73"/>
        <v>0.95948409709661708</v>
      </c>
      <c r="I113" s="29">
        <f t="shared" si="74"/>
        <v>-0.54230355518752582</v>
      </c>
      <c r="J113" s="29">
        <f t="shared" si="75"/>
        <v>6.8353324268531926E-2</v>
      </c>
      <c r="K113" s="26">
        <f t="shared" si="38"/>
        <v>-0.84559560587314253</v>
      </c>
      <c r="L113" s="26">
        <f t="shared" si="39"/>
        <v>0.30035759510517984</v>
      </c>
      <c r="M113" s="26">
        <f t="shared" si="40"/>
        <v>0.54259934387941322</v>
      </c>
      <c r="N113" s="26">
        <f t="shared" si="41"/>
        <v>0.63241688392465412</v>
      </c>
      <c r="O113" s="26">
        <f t="shared" si="42"/>
        <v>1.3579735701179943E-2</v>
      </c>
      <c r="P113" s="26">
        <f t="shared" si="43"/>
        <v>0.50339488175483016</v>
      </c>
      <c r="Q113" s="26">
        <f t="shared" si="44"/>
        <v>0.12670320348847972</v>
      </c>
      <c r="R113" s="26">
        <f t="shared" si="45"/>
        <v>-2.1094919025363819</v>
      </c>
      <c r="S113" s="26">
        <f t="shared" si="46"/>
        <v>0.10817767584213359</v>
      </c>
      <c r="T113" s="26">
        <f t="shared" si="47"/>
        <v>1.0646828485091901</v>
      </c>
      <c r="U113" s="26">
        <f t="shared" si="48"/>
        <v>0.74358442622282628</v>
      </c>
      <c r="V113" s="26">
        <f t="shared" si="49"/>
        <v>-0.23110039402278321</v>
      </c>
      <c r="W113" s="26">
        <f t="shared" si="50"/>
        <v>0.44248067036464467</v>
      </c>
      <c r="X113" s="26">
        <f t="shared" si="51"/>
        <v>0.15541390145852799</v>
      </c>
      <c r="Y113" s="26">
        <f t="shared" si="52"/>
        <v>-6.5727078570964714E-2</v>
      </c>
      <c r="Z113" s="26">
        <f t="shared" si="53"/>
        <v>0.48357414330682147</v>
      </c>
      <c r="AA113" s="26">
        <f t="shared" si="54"/>
        <v>5.4531901238928093E-2</v>
      </c>
      <c r="AB113" s="26">
        <f t="shared" si="55"/>
        <v>0.51362959791708596</v>
      </c>
      <c r="AC113" s="26">
        <f t="shared" si="56"/>
        <v>0.25379186753857252</v>
      </c>
      <c r="AD113" s="26">
        <f t="shared" si="57"/>
        <v>0.56310958761700891</v>
      </c>
      <c r="AE113" s="26">
        <f t="shared" si="58"/>
        <v>9.5436616216090009E-2</v>
      </c>
      <c r="AF113" s="26">
        <f t="shared" si="59"/>
        <v>-1.3296233752342039</v>
      </c>
      <c r="AG113" s="26">
        <f t="shared" si="60"/>
        <v>0.20922167018932306</v>
      </c>
      <c r="AH113" s="26">
        <f t="shared" si="61"/>
        <v>0.57661540586870497</v>
      </c>
      <c r="AI113" s="26">
        <f t="shared" si="62"/>
        <v>0.64028823999587814</v>
      </c>
      <c r="AJ113" s="26">
        <f t="shared" si="63"/>
        <v>-7.8132399311347703E-2</v>
      </c>
      <c r="AK113" s="26">
        <f t="shared" si="64"/>
        <v>0.48047683104008138</v>
      </c>
      <c r="AL113" s="26">
        <f t="shared" si="65"/>
        <v>0.11542899258315946</v>
      </c>
      <c r="AM113" s="27">
        <f t="shared" si="66"/>
        <v>0.49298271374625718</v>
      </c>
    </row>
    <row r="114" spans="1:39" ht="15" customHeight="1" x14ac:dyDescent="0.2">
      <c r="A114" s="24">
        <v>103</v>
      </c>
      <c r="B114" s="29">
        <f t="shared" si="67"/>
        <v>0.7865834367156791</v>
      </c>
      <c r="C114" s="29">
        <f t="shared" si="68"/>
        <v>-1.2702043525397912</v>
      </c>
      <c r="D114" s="29">
        <f t="shared" si="69"/>
        <v>-0.85152309206662002</v>
      </c>
      <c r="E114" s="29">
        <f t="shared" si="70"/>
        <v>-0.48764829019045325</v>
      </c>
      <c r="F114" s="29">
        <f t="shared" si="71"/>
        <v>0.52284283295418155</v>
      </c>
      <c r="G114" s="29">
        <f t="shared" si="72"/>
        <v>0.54466209914913932</v>
      </c>
      <c r="H114" s="29">
        <f t="shared" si="73"/>
        <v>0.96344702456788078</v>
      </c>
      <c r="I114" s="29">
        <f t="shared" si="74"/>
        <v>-0.5412070775455281</v>
      </c>
      <c r="J114" s="29">
        <f t="shared" si="75"/>
        <v>6.7592175339066404E-2</v>
      </c>
      <c r="K114" s="26">
        <f t="shared" si="38"/>
        <v>-0.85152309206662002</v>
      </c>
      <c r="L114" s="26">
        <f t="shared" si="39"/>
        <v>0.29911345184052712</v>
      </c>
      <c r="M114" s="26">
        <f t="shared" si="40"/>
        <v>0.54466209914913932</v>
      </c>
      <c r="N114" s="26">
        <f t="shared" si="41"/>
        <v>0.63289627280238636</v>
      </c>
      <c r="O114" s="26">
        <f t="shared" si="42"/>
        <v>1.324419833021355E-2</v>
      </c>
      <c r="P114" s="26">
        <f t="shared" si="43"/>
        <v>0.50331100118446914</v>
      </c>
      <c r="Q114" s="26">
        <f t="shared" si="44"/>
        <v>0.12666098195665634</v>
      </c>
      <c r="R114" s="26">
        <f t="shared" si="45"/>
        <v>-2.1217274446064112</v>
      </c>
      <c r="S114" s="26">
        <f t="shared" si="46"/>
        <v>0.10700289540255357</v>
      </c>
      <c r="T114" s="26">
        <f t="shared" si="47"/>
        <v>1.0675049321033208</v>
      </c>
      <c r="U114" s="26">
        <f t="shared" si="48"/>
        <v>0.74412213339850952</v>
      </c>
      <c r="V114" s="26">
        <f t="shared" si="49"/>
        <v>-0.23204036861874616</v>
      </c>
      <c r="W114" s="26">
        <f t="shared" si="50"/>
        <v>0.44224879915007603</v>
      </c>
      <c r="X114" s="26">
        <f t="shared" si="51"/>
        <v>0.15554320102476607</v>
      </c>
      <c r="Y114" s="26">
        <f t="shared" si="52"/>
        <v>-6.4939655350940928E-2</v>
      </c>
      <c r="Z114" s="26">
        <f t="shared" si="53"/>
        <v>0.48377078919141558</v>
      </c>
      <c r="AA114" s="26">
        <f t="shared" si="54"/>
        <v>5.7013808958686074E-2</v>
      </c>
      <c r="AB114" s="26">
        <f t="shared" si="55"/>
        <v>0.51424959250204205</v>
      </c>
      <c r="AC114" s="26">
        <f t="shared" si="56"/>
        <v>0.25536418367138236</v>
      </c>
      <c r="AD114" s="26">
        <f t="shared" si="57"/>
        <v>0.56349636593898644</v>
      </c>
      <c r="AE114" s="26">
        <f t="shared" si="58"/>
        <v>9.5267711274235611E-2</v>
      </c>
      <c r="AF114" s="26">
        <f t="shared" si="59"/>
        <v>-1.3351440078907322</v>
      </c>
      <c r="AG114" s="26">
        <f t="shared" si="60"/>
        <v>0.20830975895155168</v>
      </c>
      <c r="AH114" s="26">
        <f t="shared" si="61"/>
        <v>0.57985664191286768</v>
      </c>
      <c r="AI114" s="26">
        <f t="shared" si="62"/>
        <v>0.6410344189737982</v>
      </c>
      <c r="AJ114" s="26">
        <f t="shared" si="63"/>
        <v>-7.8644771709513631E-2</v>
      </c>
      <c r="AK114" s="26">
        <f t="shared" si="64"/>
        <v>0.48034893451555755</v>
      </c>
      <c r="AL114" s="26">
        <f t="shared" si="65"/>
        <v>0.11536754944511569</v>
      </c>
      <c r="AM114" s="27">
        <f t="shared" si="66"/>
        <v>0.49283944370077371</v>
      </c>
    </row>
    <row r="115" spans="1:39" ht="15" customHeight="1" x14ac:dyDescent="0.2">
      <c r="A115" s="24">
        <v>104</v>
      </c>
      <c r="B115" s="29">
        <f t="shared" si="67"/>
        <v>0.79336553922525088</v>
      </c>
      <c r="C115" s="29">
        <f t="shared" si="68"/>
        <v>-1.2765899083907075</v>
      </c>
      <c r="D115" s="29">
        <f t="shared" si="69"/>
        <v>-0.85748928377418276</v>
      </c>
      <c r="E115" s="29">
        <f t="shared" si="70"/>
        <v>-0.48723112734496099</v>
      </c>
      <c r="F115" s="29">
        <f t="shared" si="71"/>
        <v>0.5235978864987294</v>
      </c>
      <c r="G115" s="29">
        <f t="shared" si="72"/>
        <v>0.54672343995205619</v>
      </c>
      <c r="H115" s="29">
        <f t="shared" si="73"/>
        <v>0.96749694327468649</v>
      </c>
      <c r="I115" s="29">
        <f t="shared" si="74"/>
        <v>-0.54011318264147123</v>
      </c>
      <c r="J115" s="29">
        <f t="shared" si="75"/>
        <v>6.6811808649048274E-2</v>
      </c>
      <c r="K115" s="26">
        <f t="shared" si="38"/>
        <v>-0.85748928377418276</v>
      </c>
      <c r="L115" s="26">
        <f t="shared" si="39"/>
        <v>0.29786417299864509</v>
      </c>
      <c r="M115" s="26">
        <f t="shared" si="40"/>
        <v>0.54672343995205619</v>
      </c>
      <c r="N115" s="26">
        <f t="shared" si="41"/>
        <v>0.63337507046529373</v>
      </c>
      <c r="O115" s="26">
        <f t="shared" si="42"/>
        <v>1.2900260421503926E-2</v>
      </c>
      <c r="P115" s="26">
        <f t="shared" si="43"/>
        <v>0.50322502038072414</v>
      </c>
      <c r="Q115" s="26">
        <f t="shared" si="44"/>
        <v>0.12661771056859011</v>
      </c>
      <c r="R115" s="26">
        <f t="shared" si="45"/>
        <v>-2.1340791921648901</v>
      </c>
      <c r="S115" s="26">
        <f t="shared" si="46"/>
        <v>0.10582836181665065</v>
      </c>
      <c r="T115" s="26">
        <f t="shared" si="47"/>
        <v>1.0703213264507856</v>
      </c>
      <c r="U115" s="26">
        <f t="shared" si="48"/>
        <v>0.74465801843043022</v>
      </c>
      <c r="V115" s="26">
        <f t="shared" si="49"/>
        <v>-0.23299918709552569</v>
      </c>
      <c r="W115" s="26">
        <f t="shared" si="50"/>
        <v>0.44201230549687687</v>
      </c>
      <c r="X115" s="26">
        <f t="shared" si="51"/>
        <v>0.15567513360845533</v>
      </c>
      <c r="Y115" s="26">
        <f t="shared" si="52"/>
        <v>-6.4123744548931882E-2</v>
      </c>
      <c r="Z115" s="26">
        <f t="shared" si="53"/>
        <v>0.48397455467826278</v>
      </c>
      <c r="AA115" s="26">
        <f t="shared" si="54"/>
        <v>5.9492312607095199E-2</v>
      </c>
      <c r="AB115" s="26">
        <f t="shared" si="55"/>
        <v>0.51486869296967042</v>
      </c>
      <c r="AC115" s="26">
        <f t="shared" si="56"/>
        <v>0.25696834252069195</v>
      </c>
      <c r="AD115" s="26">
        <f t="shared" si="57"/>
        <v>0.56389089775120538</v>
      </c>
      <c r="AE115" s="26">
        <f t="shared" si="58"/>
        <v>9.5095574532124805E-2</v>
      </c>
      <c r="AF115" s="26">
        <f t="shared" si="59"/>
        <v>-1.3407136529396393</v>
      </c>
      <c r="AG115" s="26">
        <f t="shared" si="60"/>
        <v>0.2073927230919495</v>
      </c>
      <c r="AH115" s="26">
        <f t="shared" si="61"/>
        <v>0.5830901991058246</v>
      </c>
      <c r="AI115" s="26">
        <f t="shared" si="62"/>
        <v>0.64177815071068067</v>
      </c>
      <c r="AJ115" s="26">
        <f t="shared" si="63"/>
        <v>-7.9169205232180642E-2</v>
      </c>
      <c r="AK115" s="26">
        <f t="shared" si="64"/>
        <v>0.48021803000449409</v>
      </c>
      <c r="AL115" s="26">
        <f t="shared" si="65"/>
        <v>0.11530467817069859</v>
      </c>
      <c r="AM115" s="27">
        <f t="shared" si="66"/>
        <v>0.49269309687986884</v>
      </c>
    </row>
    <row r="116" spans="1:39" ht="15" customHeight="1" x14ac:dyDescent="0.2">
      <c r="A116" s="24">
        <v>105</v>
      </c>
      <c r="B116" s="29">
        <f t="shared" si="67"/>
        <v>0.80021583827591047</v>
      </c>
      <c r="C116" s="29">
        <f t="shared" si="68"/>
        <v>-1.2830536791590976</v>
      </c>
      <c r="D116" s="29">
        <f t="shared" si="69"/>
        <v>-0.86349440592194693</v>
      </c>
      <c r="E116" s="29">
        <f t="shared" si="70"/>
        <v>-0.48681570015843739</v>
      </c>
      <c r="F116" s="29">
        <f t="shared" si="71"/>
        <v>0.52434846821358505</v>
      </c>
      <c r="G116" s="29">
        <f t="shared" si="72"/>
        <v>0.54878343849538525</v>
      </c>
      <c r="H116" s="29">
        <f t="shared" si="73"/>
        <v>0.97163488347348159</v>
      </c>
      <c r="I116" s="29">
        <f t="shared" si="74"/>
        <v>-0.53902169632263441</v>
      </c>
      <c r="J116" s="29">
        <f t="shared" si="75"/>
        <v>6.6011909156008158E-2</v>
      </c>
      <c r="K116" s="26">
        <f t="shared" si="38"/>
        <v>-0.86349440592194693</v>
      </c>
      <c r="L116" s="26">
        <f t="shared" si="39"/>
        <v>0.29660978151545231</v>
      </c>
      <c r="M116" s="26">
        <f t="shared" si="40"/>
        <v>0.54878343849538525</v>
      </c>
      <c r="N116" s="26">
        <f t="shared" si="41"/>
        <v>0.63385329341158803</v>
      </c>
      <c r="O116" s="26">
        <f t="shared" si="42"/>
        <v>1.2547642221466787E-2</v>
      </c>
      <c r="P116" s="26">
        <f t="shared" si="43"/>
        <v>0.50313686939887892</v>
      </c>
      <c r="Q116" s="26">
        <f t="shared" si="44"/>
        <v>0.12657335467425226</v>
      </c>
      <c r="R116" s="26">
        <f t="shared" si="45"/>
        <v>-2.1465480850810446</v>
      </c>
      <c r="S116" s="26">
        <f t="shared" si="46"/>
        <v>0.10465423236661268</v>
      </c>
      <c r="T116" s="26">
        <f t="shared" si="47"/>
        <v>1.0731319067089702</v>
      </c>
      <c r="U116" s="26">
        <f t="shared" si="48"/>
        <v>0.74519206148182959</v>
      </c>
      <c r="V116" s="26">
        <f t="shared" si="49"/>
        <v>-0.23397707703954809</v>
      </c>
      <c r="W116" s="26">
        <f t="shared" si="50"/>
        <v>0.44177113493185044</v>
      </c>
      <c r="X116" s="26">
        <f t="shared" si="51"/>
        <v>0.15580973289763714</v>
      </c>
      <c r="Y116" s="26">
        <f t="shared" si="52"/>
        <v>-6.3278567646036454E-2</v>
      </c>
      <c r="Z116" s="26">
        <f t="shared" si="53"/>
        <v>0.48418563469634052</v>
      </c>
      <c r="AA116" s="26">
        <f t="shared" si="54"/>
        <v>6.1967738336947853E-2</v>
      </c>
      <c r="AB116" s="26">
        <f t="shared" si="55"/>
        <v>0.51548697906731256</v>
      </c>
      <c r="AC116" s="26">
        <f t="shared" si="56"/>
        <v>0.25860489601462755</v>
      </c>
      <c r="AD116" s="26">
        <f t="shared" si="57"/>
        <v>0.56429331346995659</v>
      </c>
      <c r="AE116" s="26">
        <f t="shared" si="58"/>
        <v>9.4920158343494751E-2</v>
      </c>
      <c r="AF116" s="26">
        <f t="shared" si="59"/>
        <v>-1.346332246805134</v>
      </c>
      <c r="AG116" s="26">
        <f t="shared" si="60"/>
        <v>0.20647065146736637</v>
      </c>
      <c r="AH116" s="26">
        <f t="shared" si="61"/>
        <v>0.58631620655053296</v>
      </c>
      <c r="AI116" s="26">
        <f t="shared" si="62"/>
        <v>0.64251946675011218</v>
      </c>
      <c r="AJ116" s="26">
        <f t="shared" si="63"/>
        <v>-7.970593635276349E-2</v>
      </c>
      <c r="AK116" s="26">
        <f t="shared" si="64"/>
        <v>0.48008405868704163</v>
      </c>
      <c r="AL116" s="26">
        <f t="shared" si="65"/>
        <v>0.11524035170271141</v>
      </c>
      <c r="AM116" s="27">
        <f t="shared" si="66"/>
        <v>0.49254359761809557</v>
      </c>
    </row>
    <row r="117" spans="1:39" ht="15" customHeight="1" x14ac:dyDescent="0.2">
      <c r="A117" s="24">
        <v>106</v>
      </c>
      <c r="B117" s="29">
        <f t="shared" si="67"/>
        <v>0.80713534306837165</v>
      </c>
      <c r="C117" s="29">
        <f t="shared" si="68"/>
        <v>-1.2895963838552218</v>
      </c>
      <c r="D117" s="29">
        <f t="shared" si="69"/>
        <v>-0.86953868018241498</v>
      </c>
      <c r="E117" s="29">
        <f t="shared" si="70"/>
        <v>-0.48640175223931942</v>
      </c>
      <c r="F117" s="29">
        <f t="shared" si="71"/>
        <v>0.52509437899113731</v>
      </c>
      <c r="G117" s="29">
        <f t="shared" si="72"/>
        <v>0.55084216631125393</v>
      </c>
      <c r="H117" s="29">
        <f t="shared" si="73"/>
        <v>0.9758618803139687</v>
      </c>
      <c r="I117" s="29">
        <f t="shared" si="74"/>
        <v>-0.53793244228259207</v>
      </c>
      <c r="J117" s="29">
        <f t="shared" si="75"/>
        <v>6.5192157186957422E-2</v>
      </c>
      <c r="K117" s="26">
        <f t="shared" si="38"/>
        <v>-0.86953868018241498</v>
      </c>
      <c r="L117" s="26">
        <f t="shared" si="39"/>
        <v>0.29535030212592561</v>
      </c>
      <c r="M117" s="26">
        <f t="shared" si="40"/>
        <v>0.55084216631125393</v>
      </c>
      <c r="N117" s="26">
        <f t="shared" si="41"/>
        <v>0.63433095795080663</v>
      </c>
      <c r="O117" s="26">
        <f t="shared" si="42"/>
        <v>1.2186056944928358E-2</v>
      </c>
      <c r="P117" s="26">
        <f t="shared" si="43"/>
        <v>0.5030464765361824</v>
      </c>
      <c r="Q117" s="26">
        <f t="shared" si="44"/>
        <v>0.12652787877773394</v>
      </c>
      <c r="R117" s="26">
        <f t="shared" si="45"/>
        <v>-2.1591350640376366</v>
      </c>
      <c r="S117" s="26">
        <f t="shared" si="46"/>
        <v>0.1034806661430509</v>
      </c>
      <c r="T117" s="26">
        <f t="shared" si="47"/>
        <v>1.0759365453023912</v>
      </c>
      <c r="U117" s="26">
        <f t="shared" si="48"/>
        <v>0.74572424233389178</v>
      </c>
      <c r="V117" s="26">
        <f t="shared" si="49"/>
        <v>-0.23497426832254886</v>
      </c>
      <c r="W117" s="26">
        <f t="shared" si="50"/>
        <v>0.44152523248736963</v>
      </c>
      <c r="X117" s="26">
        <f t="shared" si="51"/>
        <v>0.15594703297414328</v>
      </c>
      <c r="Y117" s="26">
        <f t="shared" si="52"/>
        <v>-6.2403337114043334E-2</v>
      </c>
      <c r="Z117" s="26">
        <f t="shared" si="53"/>
        <v>0.48440422645092446</v>
      </c>
      <c r="AA117" s="26">
        <f t="shared" si="54"/>
        <v>6.4440414071934515E-2</v>
      </c>
      <c r="AB117" s="26">
        <f t="shared" si="55"/>
        <v>0.51610453097503428</v>
      </c>
      <c r="AC117" s="26">
        <f t="shared" si="56"/>
        <v>0.26027440562287818</v>
      </c>
      <c r="AD117" s="26">
        <f t="shared" si="57"/>
        <v>0.56470374558633585</v>
      </c>
      <c r="AE117" s="26">
        <f t="shared" si="58"/>
        <v>9.4741414553282707E-2</v>
      </c>
      <c r="AF117" s="26">
        <f t="shared" si="59"/>
        <v>-1.3519997209692651</v>
      </c>
      <c r="AG117" s="26">
        <f t="shared" si="60"/>
        <v>0.20554363418392066</v>
      </c>
      <c r="AH117" s="26">
        <f t="shared" si="61"/>
        <v>0.58953479306307188</v>
      </c>
      <c r="AI117" s="26">
        <f t="shared" si="62"/>
        <v>0.64325839850366517</v>
      </c>
      <c r="AJ117" s="26">
        <f t="shared" si="63"/>
        <v>-8.0255206797620715E-2</v>
      </c>
      <c r="AK117" s="26">
        <f t="shared" si="64"/>
        <v>0.47994696044424534</v>
      </c>
      <c r="AL117" s="26">
        <f t="shared" si="65"/>
        <v>0.115174542419835</v>
      </c>
      <c r="AM117" s="27">
        <f t="shared" si="66"/>
        <v>0.49239086872499493</v>
      </c>
    </row>
    <row r="118" spans="1:39" ht="15" customHeight="1" x14ac:dyDescent="0.2">
      <c r="A118" s="24">
        <v>107</v>
      </c>
      <c r="B118" s="29">
        <f t="shared" si="67"/>
        <v>0.81412506817121044</v>
      </c>
      <c r="C118" s="29">
        <f t="shared" si="68"/>
        <v>-1.296218745182941</v>
      </c>
      <c r="D118" s="29">
        <f t="shared" si="69"/>
        <v>-0.87562232476990598</v>
      </c>
      <c r="E118" s="29">
        <f t="shared" si="70"/>
        <v>-0.48598902470270677</v>
      </c>
      <c r="F118" s="29">
        <f t="shared" si="71"/>
        <v>0.52583541762351382</v>
      </c>
      <c r="G118" s="29">
        <f t="shared" si="72"/>
        <v>0.55289969425369634</v>
      </c>
      <c r="H118" s="29">
        <f t="shared" si="73"/>
        <v>0.98017897335571225</v>
      </c>
      <c r="I118" s="29">
        <f t="shared" si="74"/>
        <v>-0.53684524201669848</v>
      </c>
      <c r="J118" s="29">
        <f t="shared" si="75"/>
        <v>6.4352228407226583E-2</v>
      </c>
      <c r="K118" s="26">
        <f t="shared" si="38"/>
        <v>-0.87562232476990598</v>
      </c>
      <c r="L118" s="26">
        <f t="shared" si="39"/>
        <v>0.29408576140637799</v>
      </c>
      <c r="M118" s="26">
        <f t="shared" si="40"/>
        <v>0.55289969425369634</v>
      </c>
      <c r="N118" s="26">
        <f t="shared" si="41"/>
        <v>0.63480808020331547</v>
      </c>
      <c r="O118" s="26">
        <f t="shared" si="42"/>
        <v>1.1815210650158434E-2</v>
      </c>
      <c r="P118" s="26">
        <f t="shared" si="43"/>
        <v>0.50295376830064453</v>
      </c>
      <c r="Q118" s="26">
        <f t="shared" si="44"/>
        <v>0.12648124652390921</v>
      </c>
      <c r="R118" s="26">
        <f t="shared" si="45"/>
        <v>-2.1718410699528468</v>
      </c>
      <c r="S118" s="26">
        <f t="shared" si="46"/>
        <v>0.10230782401779745</v>
      </c>
      <c r="T118" s="26">
        <f t="shared" si="47"/>
        <v>1.0787351118772102</v>
      </c>
      <c r="U118" s="26">
        <f t="shared" si="48"/>
        <v>0.74625454038006844</v>
      </c>
      <c r="V118" s="26">
        <f t="shared" si="49"/>
        <v>-0.23599099301714976</v>
      </c>
      <c r="W118" s="26">
        <f t="shared" si="50"/>
        <v>0.44127454272466604</v>
      </c>
      <c r="X118" s="26">
        <f t="shared" si="51"/>
        <v>0.15608706830376551</v>
      </c>
      <c r="Y118" s="26">
        <f t="shared" si="52"/>
        <v>-6.1497256598695538E-2</v>
      </c>
      <c r="Z118" s="26">
        <f t="shared" si="53"/>
        <v>0.4846305293778817</v>
      </c>
      <c r="AA118" s="26">
        <f t="shared" si="54"/>
        <v>6.6910669550989565E-2</v>
      </c>
      <c r="AB118" s="26">
        <f t="shared" si="55"/>
        <v>0.51672142931408127</v>
      </c>
      <c r="AC118" s="26">
        <f t="shared" si="56"/>
        <v>0.26197744237434173</v>
      </c>
      <c r="AD118" s="26">
        <f t="shared" si="57"/>
        <v>0.56512232865760337</v>
      </c>
      <c r="AE118" s="26">
        <f t="shared" si="58"/>
        <v>9.4559294516092768E-2</v>
      </c>
      <c r="AF118" s="26">
        <f t="shared" si="59"/>
        <v>-1.3577160017816365</v>
      </c>
      <c r="AG118" s="26">
        <f t="shared" si="60"/>
        <v>0.20461176260348193</v>
      </c>
      <c r="AH118" s="26">
        <f t="shared" si="61"/>
        <v>0.59274608717450339</v>
      </c>
      <c r="AI118" s="26">
        <f t="shared" si="62"/>
        <v>0.6439949772506014</v>
      </c>
      <c r="AJ118" s="26">
        <f t="shared" si="63"/>
        <v>-8.0817263607227144E-2</v>
      </c>
      <c r="AK118" s="26">
        <f t="shared" si="64"/>
        <v>0.47980667384345455</v>
      </c>
      <c r="AL118" s="26">
        <f t="shared" si="65"/>
        <v>0.11510722213235959</v>
      </c>
      <c r="AM118" s="27">
        <f t="shared" si="66"/>
        <v>0.49223483147612712</v>
      </c>
    </row>
    <row r="119" spans="1:39" ht="15" customHeight="1" x14ac:dyDescent="0.2">
      <c r="A119" s="24">
        <v>108</v>
      </c>
      <c r="B119" s="29">
        <f t="shared" si="67"/>
        <v>0.82118603310290172</v>
      </c>
      <c r="C119" s="29">
        <f t="shared" si="68"/>
        <v>-1.3029214891461627</v>
      </c>
      <c r="D119" s="29">
        <f t="shared" si="69"/>
        <v>-0.88174555423509293</v>
      </c>
      <c r="E119" s="29">
        <f t="shared" si="70"/>
        <v>-0.48557725612462838</v>
      </c>
      <c r="F119" s="29">
        <f t="shared" si="71"/>
        <v>0.52657138076145671</v>
      </c>
      <c r="G119" s="29">
        <f t="shared" si="72"/>
        <v>0.55495609249441635</v>
      </c>
      <c r="H119" s="29">
        <f t="shared" si="73"/>
        <v>0.98458720605819128</v>
      </c>
      <c r="I119" s="29">
        <f t="shared" si="74"/>
        <v>-0.53575991477795382</v>
      </c>
      <c r="J119" s="29">
        <f t="shared" si="75"/>
        <v>6.349179379345378E-2</v>
      </c>
      <c r="K119" s="26">
        <f t="shared" si="38"/>
        <v>-0.88174555423509293</v>
      </c>
      <c r="L119" s="26">
        <f t="shared" si="39"/>
        <v>0.29281618781585295</v>
      </c>
      <c r="M119" s="26">
        <f t="shared" si="40"/>
        <v>0.55495609249441635</v>
      </c>
      <c r="N119" s="26">
        <f t="shared" si="41"/>
        <v>0.6352846760995321</v>
      </c>
      <c r="O119" s="26">
        <f t="shared" si="42"/>
        <v>1.1434802116849677E-2</v>
      </c>
      <c r="P119" s="26">
        <f t="shared" si="43"/>
        <v>0.50285866938057566</v>
      </c>
      <c r="Q119" s="26">
        <f t="shared" si="44"/>
        <v>0.12643342068560154</v>
      </c>
      <c r="R119" s="26">
        <f t="shared" si="45"/>
        <v>-2.1846670433812556</v>
      </c>
      <c r="S119" s="26">
        <f t="shared" si="46"/>
        <v>0.10113586861303944</v>
      </c>
      <c r="T119" s="26">
        <f t="shared" si="47"/>
        <v>1.0815274732558731</v>
      </c>
      <c r="U119" s="26">
        <f t="shared" si="48"/>
        <v>0.74678293462046086</v>
      </c>
      <c r="V119" s="26">
        <f t="shared" si="49"/>
        <v>-0.23702748530645373</v>
      </c>
      <c r="W119" s="26">
        <f t="shared" si="50"/>
        <v>0.44101900975865715</v>
      </c>
      <c r="X119" s="26">
        <f t="shared" si="51"/>
        <v>0.1562298737255961</v>
      </c>
      <c r="Y119" s="26">
        <f t="shared" si="52"/>
        <v>-6.0559521132191207E-2</v>
      </c>
      <c r="Z119" s="26">
        <f t="shared" si="53"/>
        <v>0.48486474509051802</v>
      </c>
      <c r="AA119" s="26">
        <f t="shared" si="54"/>
        <v>6.9378836369787977E-2</v>
      </c>
      <c r="AB119" s="26">
        <f t="shared" si="55"/>
        <v>0.51733775515460512</v>
      </c>
      <c r="AC119" s="26">
        <f t="shared" si="56"/>
        <v>0.26371458686519483</v>
      </c>
      <c r="AD119" s="26">
        <f t="shared" si="57"/>
        <v>0.56554919929561986</v>
      </c>
      <c r="AE119" s="26">
        <f t="shared" si="58"/>
        <v>9.4373749116338515E-2</v>
      </c>
      <c r="AF119" s="26">
        <f t="shared" si="59"/>
        <v>-1.3634810102783539</v>
      </c>
      <c r="AG119" s="26">
        <f t="shared" si="60"/>
        <v>0.20367512934747709</v>
      </c>
      <c r="AH119" s="26">
        <f t="shared" si="61"/>
        <v>0.59595021713124474</v>
      </c>
      <c r="AI119" s="26">
        <f t="shared" si="62"/>
        <v>0.64472923413724958</v>
      </c>
      <c r="AJ119" s="26">
        <f t="shared" si="63"/>
        <v>-8.1392359195001304E-2</v>
      </c>
      <c r="AK119" s="26">
        <f t="shared" si="64"/>
        <v>0.47966313612435402</v>
      </c>
      <c r="AL119" s="26">
        <f t="shared" si="65"/>
        <v>0.11503836207832528</v>
      </c>
      <c r="AM119" s="27">
        <f t="shared" si="66"/>
        <v>0.49207540560586144</v>
      </c>
    </row>
    <row r="120" spans="1:39" ht="15" customHeight="1" x14ac:dyDescent="0.2">
      <c r="A120" s="24">
        <v>109</v>
      </c>
      <c r="B120" s="29">
        <f t="shared" si="67"/>
        <v>0.82831926188264193</v>
      </c>
      <c r="C120" s="29">
        <f t="shared" si="68"/>
        <v>-1.309705344634688</v>
      </c>
      <c r="D120" s="29">
        <f t="shared" si="69"/>
        <v>-0.88790857925901356</v>
      </c>
      <c r="E120" s="29">
        <f t="shared" si="70"/>
        <v>-0.48516618249805671</v>
      </c>
      <c r="F120" s="29">
        <f t="shared" si="71"/>
        <v>0.52730206287463788</v>
      </c>
      <c r="G120" s="29">
        <f t="shared" si="72"/>
        <v>0.55701143051725843</v>
      </c>
      <c r="H120" s="29">
        <f t="shared" si="73"/>
        <v>0.98908762524344906</v>
      </c>
      <c r="I120" s="29">
        <f t="shared" si="74"/>
        <v>-0.53467627753323521</v>
      </c>
      <c r="J120" s="29">
        <f t="shared" si="75"/>
        <v>6.2610519611096149E-2</v>
      </c>
      <c r="K120" s="26">
        <f t="shared" si="38"/>
        <v>-0.88790857925901356</v>
      </c>
      <c r="L120" s="26">
        <f t="shared" si="39"/>
        <v>0.29154161173652615</v>
      </c>
      <c r="M120" s="26">
        <f t="shared" si="40"/>
        <v>0.55701143051725843</v>
      </c>
      <c r="N120" s="26">
        <f t="shared" si="41"/>
        <v>0.63576076137885318</v>
      </c>
      <c r="O120" s="26">
        <f t="shared" si="42"/>
        <v>1.1044522727483796E-2</v>
      </c>
      <c r="P120" s="26">
        <f t="shared" si="43"/>
        <v>0.50276110261497886</v>
      </c>
      <c r="Q120" s="26">
        <f t="shared" si="44"/>
        <v>0.12638436315131465</v>
      </c>
      <c r="R120" s="26">
        <f t="shared" si="45"/>
        <v>-2.1976139238937016</v>
      </c>
      <c r="S120" s="26">
        <f t="shared" si="46"/>
        <v>9.9964964266686052E-2</v>
      </c>
      <c r="T120" s="26">
        <f t="shared" si="47"/>
        <v>1.0843134933918963</v>
      </c>
      <c r="U120" s="26">
        <f t="shared" si="48"/>
        <v>0.74730940365626009</v>
      </c>
      <c r="V120" s="26">
        <f t="shared" si="49"/>
        <v>-0.23808398138733211</v>
      </c>
      <c r="W120" s="26">
        <f t="shared" si="50"/>
        <v>0.44075857728439732</v>
      </c>
      <c r="X120" s="26">
        <f t="shared" si="51"/>
        <v>0.15637548444048566</v>
      </c>
      <c r="Y120" s="26">
        <f t="shared" si="52"/>
        <v>-5.9589317376371631E-2</v>
      </c>
      <c r="Z120" s="26">
        <f t="shared" si="53"/>
        <v>0.48510707731860014</v>
      </c>
      <c r="AA120" s="26">
        <f t="shared" si="54"/>
        <v>7.1845248019201724E-2</v>
      </c>
      <c r="AB120" s="26">
        <f t="shared" si="55"/>
        <v>0.51795359002261432</v>
      </c>
      <c r="AC120" s="26">
        <f t="shared" si="56"/>
        <v>0.26548642925667376</v>
      </c>
      <c r="AD120" s="26">
        <f t="shared" si="57"/>
        <v>0.56598449615216617</v>
      </c>
      <c r="AE120" s="26">
        <f t="shared" si="58"/>
        <v>9.4184728790144528E-2</v>
      </c>
      <c r="AF120" s="26">
        <f t="shared" si="59"/>
        <v>-1.3692946620110598</v>
      </c>
      <c r="AG120" s="26">
        <f t="shared" si="60"/>
        <v>0.2027338282979064</v>
      </c>
      <c r="AH120" s="26">
        <f t="shared" si="61"/>
        <v>0.59914731089383966</v>
      </c>
      <c r="AI120" s="26">
        <f t="shared" si="62"/>
        <v>0.64546120017603559</v>
      </c>
      <c r="AJ120" s="26">
        <f t="shared" si="63"/>
        <v>-8.1980751403471525E-2</v>
      </c>
      <c r="AK120" s="26">
        <f t="shared" si="64"/>
        <v>0.47951628318569883</v>
      </c>
      <c r="AL120" s="26">
        <f t="shared" si="65"/>
        <v>0.11496793292011366</v>
      </c>
      <c r="AM120" s="27">
        <f t="shared" si="66"/>
        <v>0.49191250930205843</v>
      </c>
    </row>
    <row r="121" spans="1:39" ht="15" customHeight="1" x14ac:dyDescent="0.2">
      <c r="A121" s="24">
        <v>110</v>
      </c>
      <c r="B121" s="29">
        <f t="shared" si="67"/>
        <v>0.83552578254886933</v>
      </c>
      <c r="C121" s="29">
        <f t="shared" si="68"/>
        <v>-1.3165710429888686</v>
      </c>
      <c r="D121" s="29">
        <f t="shared" si="69"/>
        <v>-0.89411160644694343</v>
      </c>
      <c r="E121" s="29">
        <f t="shared" si="70"/>
        <v>-0.48475553719081466</v>
      </c>
      <c r="F121" s="29">
        <f t="shared" si="71"/>
        <v>0.52802725621349744</v>
      </c>
      <c r="G121" s="29">
        <f t="shared" si="72"/>
        <v>0.55906577711133065</v>
      </c>
      <c r="H121" s="29">
        <f t="shared" si="73"/>
        <v>0.99368128053049098</v>
      </c>
      <c r="I121" s="29">
        <f t="shared" si="74"/>
        <v>-0.533594144919876</v>
      </c>
      <c r="J121" s="29">
        <f t="shared" si="75"/>
        <v>6.1708067396854999E-2</v>
      </c>
      <c r="K121" s="26">
        <f t="shared" si="38"/>
        <v>-0.89411160644694343</v>
      </c>
      <c r="L121" s="26">
        <f t="shared" si="39"/>
        <v>0.29026206551299505</v>
      </c>
      <c r="M121" s="26">
        <f t="shared" si="40"/>
        <v>0.55906577711133065</v>
      </c>
      <c r="N121" s="26">
        <f t="shared" si="41"/>
        <v>0.63623635158827774</v>
      </c>
      <c r="O121" s="26">
        <f t="shared" si="42"/>
        <v>1.0644056352544534E-2</v>
      </c>
      <c r="P121" s="26">
        <f t="shared" si="43"/>
        <v>0.50266098896491407</v>
      </c>
      <c r="Q121" s="26">
        <f t="shared" si="44"/>
        <v>0.12633403491359274</v>
      </c>
      <c r="R121" s="26">
        <f t="shared" si="45"/>
        <v>-2.2106826494358121</v>
      </c>
      <c r="S121" s="26">
        <f t="shared" si="46"/>
        <v>9.8795276993868641E-2</v>
      </c>
      <c r="T121" s="26">
        <f t="shared" si="47"/>
        <v>1.0870930333248281</v>
      </c>
      <c r="U121" s="26">
        <f t="shared" si="48"/>
        <v>0.74783392568425</v>
      </c>
      <c r="V121" s="26">
        <f t="shared" si="49"/>
        <v>-0.23916071936707453</v>
      </c>
      <c r="W121" s="26">
        <f t="shared" si="50"/>
        <v>0.4404931886052274</v>
      </c>
      <c r="X121" s="26">
        <f t="shared" si="51"/>
        <v>0.15652393599857278</v>
      </c>
      <c r="Y121" s="26">
        <f t="shared" si="52"/>
        <v>-5.8585823898074096E-2</v>
      </c>
      <c r="Z121" s="26">
        <f t="shared" si="53"/>
        <v>0.48535773183916342</v>
      </c>
      <c r="AA121" s="26">
        <f t="shared" si="54"/>
        <v>7.4310239920515997E-2</v>
      </c>
      <c r="AB121" s="26">
        <f t="shared" si="55"/>
        <v>0.51856901590609339</v>
      </c>
      <c r="AC121" s="26">
        <f t="shared" si="56"/>
        <v>0.26729356926181613</v>
      </c>
      <c r="AD121" s="26">
        <f t="shared" si="57"/>
        <v>0.56642835990094154</v>
      </c>
      <c r="AE121" s="26">
        <f t="shared" si="58"/>
        <v>9.3992183549093736E-2</v>
      </c>
      <c r="AF121" s="26">
        <f t="shared" si="59"/>
        <v>-1.3751568668869427</v>
      </c>
      <c r="AG121" s="26">
        <f t="shared" si="60"/>
        <v>0.20178795459545501</v>
      </c>
      <c r="AH121" s="26">
        <f t="shared" si="61"/>
        <v>0.60233749613401344</v>
      </c>
      <c r="AI121" s="26">
        <f t="shared" si="62"/>
        <v>0.64619090624413889</v>
      </c>
      <c r="AJ121" s="26">
        <f t="shared" si="63"/>
        <v>-8.2582703557445764E-2</v>
      </c>
      <c r="AK121" s="26">
        <f t="shared" si="64"/>
        <v>0.4793660495728374</v>
      </c>
      <c r="AL121" s="26">
        <f t="shared" si="65"/>
        <v>0.11489590474153401</v>
      </c>
      <c r="AM121" s="27">
        <f t="shared" si="66"/>
        <v>0.49174605920279324</v>
      </c>
    </row>
    <row r="122" spans="1:39" ht="15" customHeight="1" x14ac:dyDescent="0.2">
      <c r="A122" s="24">
        <v>111</v>
      </c>
      <c r="B122" s="29">
        <f t="shared" si="67"/>
        <v>0.84280662664439154</v>
      </c>
      <c r="C122" s="29">
        <f t="shared" si="68"/>
        <v>-1.3235193175424858</v>
      </c>
      <c r="D122" s="29">
        <f t="shared" si="69"/>
        <v>-0.90035483812253703</v>
      </c>
      <c r="E122" s="29">
        <f t="shared" si="70"/>
        <v>-0.48434505090552676</v>
      </c>
      <c r="F122" s="29">
        <f t="shared" si="71"/>
        <v>0.52874675077269218</v>
      </c>
      <c r="G122" s="29">
        <f t="shared" si="72"/>
        <v>0.56111920036271778</v>
      </c>
      <c r="H122" s="29">
        <f t="shared" si="73"/>
        <v>0.99836922374058645</v>
      </c>
      <c r="I122" s="29">
        <f t="shared" si="74"/>
        <v>-0.53251332920257377</v>
      </c>
      <c r="J122" s="29">
        <f t="shared" si="75"/>
        <v>6.0784093946429488E-2</v>
      </c>
      <c r="K122" s="26">
        <f t="shared" si="38"/>
        <v>-0.90035483812253703</v>
      </c>
      <c r="L122" s="26">
        <f t="shared" si="39"/>
        <v>0.28897758349034053</v>
      </c>
      <c r="M122" s="26">
        <f t="shared" si="40"/>
        <v>0.56111920036271778</v>
      </c>
      <c r="N122" s="26">
        <f t="shared" si="41"/>
        <v>0.63671146208071216</v>
      </c>
      <c r="O122" s="26">
        <f t="shared" si="42"/>
        <v>1.0233079240072954E-2</v>
      </c>
      <c r="P122" s="26">
        <f t="shared" si="43"/>
        <v>0.5025582474859559</v>
      </c>
      <c r="Q122" s="26">
        <f t="shared" si="44"/>
        <v>0.12628239605807765</v>
      </c>
      <c r="R122" s="26">
        <f t="shared" si="45"/>
        <v>-2.2238741556650226</v>
      </c>
      <c r="S122" s="26">
        <f t="shared" si="46"/>
        <v>9.7626974444480014E-2</v>
      </c>
      <c r="T122" s="26">
        <f t="shared" si="47"/>
        <v>1.0898659511354101</v>
      </c>
      <c r="U122" s="26">
        <f t="shared" si="48"/>
        <v>0.74835647849137454</v>
      </c>
      <c r="V122" s="26">
        <f t="shared" si="49"/>
        <v>-0.2402579391530491</v>
      </c>
      <c r="W122" s="26">
        <f t="shared" si="50"/>
        <v>0.44022278666271536</v>
      </c>
      <c r="X122" s="26">
        <f t="shared" si="51"/>
        <v>0.15667526428582798</v>
      </c>
      <c r="Y122" s="26">
        <f t="shared" si="52"/>
        <v>-5.7548211478145483E-2</v>
      </c>
      <c r="Z122" s="26">
        <f t="shared" si="53"/>
        <v>0.48561691639871246</v>
      </c>
      <c r="AA122" s="26">
        <f t="shared" si="54"/>
        <v>7.6774149457191021E-2</v>
      </c>
      <c r="AB122" s="26">
        <f t="shared" si="55"/>
        <v>0.51918411526023822</v>
      </c>
      <c r="AC122" s="26">
        <f t="shared" si="56"/>
        <v>0.26913661612038708</v>
      </c>
      <c r="AD122" s="26">
        <f t="shared" si="57"/>
        <v>0.56688093321602817</v>
      </c>
      <c r="AE122" s="26">
        <f t="shared" si="58"/>
        <v>9.3796063005909328E-2</v>
      </c>
      <c r="AF122" s="26">
        <f t="shared" si="59"/>
        <v>-1.3810675290206311</v>
      </c>
      <c r="AG122" s="26">
        <f t="shared" si="60"/>
        <v>0.2008376046345888</v>
      </c>
      <c r="AH122" s="26">
        <f t="shared" si="61"/>
        <v>0.60552090022988314</v>
      </c>
      <c r="AI122" s="26">
        <f t="shared" si="62"/>
        <v>0.64691838308174754</v>
      </c>
      <c r="AJ122" s="26">
        <f t="shared" si="63"/>
        <v>-8.3198484513824625E-2</v>
      </c>
      <c r="AK122" s="26">
        <f t="shared" si="64"/>
        <v>0.47921236846611481</v>
      </c>
      <c r="AL122" s="26">
        <f t="shared" si="65"/>
        <v>0.1148222470454517</v>
      </c>
      <c r="AM122" s="27">
        <f t="shared" si="66"/>
        <v>0.49157597039526663</v>
      </c>
    </row>
    <row r="123" spans="1:39" ht="15" customHeight="1" x14ac:dyDescent="0.2">
      <c r="A123" s="24">
        <v>112</v>
      </c>
      <c r="B123" s="29">
        <f t="shared" si="67"/>
        <v>0.85016282866703219</v>
      </c>
      <c r="C123" s="29">
        <f t="shared" si="68"/>
        <v>-1.3305509031432687</v>
      </c>
      <c r="D123" s="29">
        <f t="shared" si="69"/>
        <v>-0.90663847212266291</v>
      </c>
      <c r="E123" s="29">
        <f t="shared" si="70"/>
        <v>-0.4839344516417759</v>
      </c>
      <c r="F123" s="29">
        <f t="shared" si="71"/>
        <v>0.52946033425624761</v>
      </c>
      <c r="G123" s="29">
        <f t="shared" si="72"/>
        <v>0.56317176764472354</v>
      </c>
      <c r="H123" s="29">
        <f t="shared" si="73"/>
        <v>1.0031525082726387</v>
      </c>
      <c r="I123" s="29">
        <f t="shared" si="74"/>
        <v>-0.53143364023060535</v>
      </c>
      <c r="J123" s="29">
        <f t="shared" si="75"/>
        <v>5.9838251308032803E-2</v>
      </c>
      <c r="K123" s="26">
        <f t="shared" si="38"/>
        <v>-0.90663847212266291</v>
      </c>
      <c r="L123" s="26">
        <f t="shared" si="39"/>
        <v>0.28768820205083889</v>
      </c>
      <c r="M123" s="26">
        <f t="shared" si="40"/>
        <v>0.56317176764472354</v>
      </c>
      <c r="N123" s="26">
        <f t="shared" si="41"/>
        <v>0.63718610801294306</v>
      </c>
      <c r="O123" s="26">
        <f t="shared" si="42"/>
        <v>9.8112599100874942E-3</v>
      </c>
      <c r="P123" s="26">
        <f t="shared" si="43"/>
        <v>0.50245279530187936</v>
      </c>
      <c r="Q123" s="26">
        <f t="shared" si="44"/>
        <v>0.12622940575333613</v>
      </c>
      <c r="R123" s="26">
        <f t="shared" si="45"/>
        <v>-2.2371893752659315</v>
      </c>
      <c r="S123" s="26">
        <f t="shared" si="46"/>
        <v>9.6460225856662349E-2</v>
      </c>
      <c r="T123" s="26">
        <f t="shared" si="47"/>
        <v>1.0926321019009713</v>
      </c>
      <c r="U123" s="26">
        <f t="shared" si="48"/>
        <v>0.74887703944937223</v>
      </c>
      <c r="V123" s="26">
        <f t="shared" si="49"/>
        <v>-0.2413758823350097</v>
      </c>
      <c r="W123" s="26">
        <f t="shared" si="50"/>
        <v>0.43994731406847137</v>
      </c>
      <c r="X123" s="26">
        <f t="shared" si="51"/>
        <v>0.15682950550955976</v>
      </c>
      <c r="Y123" s="26">
        <f t="shared" si="52"/>
        <v>-5.647564345563072E-2</v>
      </c>
      <c r="Z123" s="26">
        <f t="shared" si="53"/>
        <v>0.48588484062641391</v>
      </c>
      <c r="AA123" s="26">
        <f t="shared" si="54"/>
        <v>7.9237316002947644E-2</v>
      </c>
      <c r="AB123" s="26">
        <f t="shared" si="55"/>
        <v>0.51979897101174621</v>
      </c>
      <c r="AC123" s="26">
        <f t="shared" si="56"/>
        <v>0.27101618856117604</v>
      </c>
      <c r="AD123" s="26">
        <f t="shared" si="57"/>
        <v>0.56734236074660238</v>
      </c>
      <c r="AE123" s="26">
        <f t="shared" si="58"/>
        <v>9.3596316402161581E-2</v>
      </c>
      <c r="AF123" s="26">
        <f t="shared" si="59"/>
        <v>-1.3870265465988996</v>
      </c>
      <c r="AG123" s="26">
        <f t="shared" si="60"/>
        <v>0.19988287605552643</v>
      </c>
      <c r="AH123" s="26">
        <f t="shared" si="61"/>
        <v>0.6086976502591952</v>
      </c>
      <c r="AI123" s="26">
        <f t="shared" si="62"/>
        <v>0.6476436612898876</v>
      </c>
      <c r="AJ123" s="26">
        <f t="shared" si="63"/>
        <v>-8.3828368707679041E-2</v>
      </c>
      <c r="AK123" s="26">
        <f t="shared" si="64"/>
        <v>0.47905517167025291</v>
      </c>
      <c r="AL123" s="26">
        <f t="shared" si="65"/>
        <v>0.11474692875200775</v>
      </c>
      <c r="AM123" s="27">
        <f t="shared" si="66"/>
        <v>0.49140215641706525</v>
      </c>
    </row>
    <row r="124" spans="1:39" ht="15" customHeight="1" x14ac:dyDescent="0.2">
      <c r="A124" s="24">
        <v>113</v>
      </c>
      <c r="B124" s="29">
        <f t="shared" si="67"/>
        <v>0.85759542548471557</v>
      </c>
      <c r="C124" s="29">
        <f t="shared" si="68"/>
        <v>-1.3376665356504764</v>
      </c>
      <c r="D124" s="29">
        <f t="shared" si="69"/>
        <v>-0.91296270159337412</v>
      </c>
      <c r="E124" s="29">
        <f t="shared" si="70"/>
        <v>-0.48352346466063434</v>
      </c>
      <c r="F124" s="29">
        <f t="shared" si="71"/>
        <v>0.53016779204451259</v>
      </c>
      <c r="G124" s="29">
        <f t="shared" si="72"/>
        <v>0.56522354560657395</v>
      </c>
      <c r="H124" s="29">
        <f t="shared" si="73"/>
        <v>1.0080321884477927</v>
      </c>
      <c r="I124" s="29">
        <f t="shared" si="74"/>
        <v>-0.53035488539532638</v>
      </c>
      <c r="J124" s="29">
        <f t="shared" si="75"/>
        <v>5.8870186782128742E-2</v>
      </c>
      <c r="K124" s="26">
        <f t="shared" si="38"/>
        <v>-0.91296270159337412</v>
      </c>
      <c r="L124" s="26">
        <f t="shared" si="39"/>
        <v>0.28639395964920161</v>
      </c>
      <c r="M124" s="26">
        <f t="shared" si="40"/>
        <v>0.56522354560657395</v>
      </c>
      <c r="N124" s="26">
        <f t="shared" si="41"/>
        <v>0.63766030434326515</v>
      </c>
      <c r="O124" s="26">
        <f t="shared" si="42"/>
        <v>9.3782590544209676E-3</v>
      </c>
      <c r="P124" s="26">
        <f t="shared" si="43"/>
        <v>0.50234454757970992</v>
      </c>
      <c r="Q124" s="26">
        <f t="shared" si="44"/>
        <v>0.12617502224153171</v>
      </c>
      <c r="R124" s="26">
        <f t="shared" si="45"/>
        <v>-2.2506292372438503</v>
      </c>
      <c r="S124" s="26">
        <f t="shared" si="46"/>
        <v>9.5295202006160901E-2</v>
      </c>
      <c r="T124" s="26">
        <f t="shared" si="47"/>
        <v>1.0953913376510864</v>
      </c>
      <c r="U124" s="26">
        <f t="shared" si="48"/>
        <v>0.74939558550948382</v>
      </c>
      <c r="V124" s="26">
        <f t="shared" si="49"/>
        <v>-0.24251479205967219</v>
      </c>
      <c r="W124" s="26">
        <f t="shared" si="50"/>
        <v>0.43966671313793432</v>
      </c>
      <c r="X124" s="26">
        <f t="shared" si="51"/>
        <v>0.15698669618282296</v>
      </c>
      <c r="Y124" s="26">
        <f t="shared" si="52"/>
        <v>-5.5367276108658547E-2</v>
      </c>
      <c r="Z124" s="26">
        <f t="shared" si="53"/>
        <v>0.48616171593787838</v>
      </c>
      <c r="AA124" s="26">
        <f t="shared" si="54"/>
        <v>8.1700080945939613E-2</v>
      </c>
      <c r="AB124" s="26">
        <f t="shared" si="55"/>
        <v>0.52041366656210253</v>
      </c>
      <c r="AC124" s="26">
        <f t="shared" si="56"/>
        <v>0.27293291475081694</v>
      </c>
      <c r="AD124" s="26">
        <f t="shared" si="57"/>
        <v>0.5678127890876643</v>
      </c>
      <c r="AE124" s="26">
        <f t="shared" si="58"/>
        <v>9.3392892638091862E-2</v>
      </c>
      <c r="AF124" s="26">
        <f t="shared" si="59"/>
        <v>-1.393033811759135</v>
      </c>
      <c r="AG124" s="26">
        <f t="shared" si="60"/>
        <v>0.1989238677329844</v>
      </c>
      <c r="AH124" s="26">
        <f t="shared" si="61"/>
        <v>0.6118678729904522</v>
      </c>
      <c r="AI124" s="26">
        <f t="shared" si="62"/>
        <v>0.64836677132779397</v>
      </c>
      <c r="AJ124" s="26">
        <f t="shared" si="63"/>
        <v>-8.4472636194181688E-2</v>
      </c>
      <c r="AK124" s="26">
        <f t="shared" si="64"/>
        <v>0.47889438960481295</v>
      </c>
      <c r="AL124" s="26">
        <f t="shared" si="65"/>
        <v>0.11466991819748319</v>
      </c>
      <c r="AM124" s="27">
        <f t="shared" si="66"/>
        <v>0.49122452925992971</v>
      </c>
    </row>
    <row r="125" spans="1:39" ht="15" customHeight="1" x14ac:dyDescent="0.2">
      <c r="A125" s="24">
        <v>114</v>
      </c>
      <c r="B125" s="29">
        <f t="shared" si="67"/>
        <v>0.86510545571391806</v>
      </c>
      <c r="C125" s="29">
        <f t="shared" si="68"/>
        <v>-1.3448669514089775</v>
      </c>
      <c r="D125" s="29">
        <f t="shared" si="69"/>
        <v>-0.91932771478747399</v>
      </c>
      <c r="E125" s="29">
        <f t="shared" si="70"/>
        <v>-0.48311181245174778</v>
      </c>
      <c r="F125" s="29">
        <f t="shared" si="71"/>
        <v>0.5308689071630196</v>
      </c>
      <c r="G125" s="29">
        <f t="shared" si="72"/>
        <v>0.56727460016051312</v>
      </c>
      <c r="H125" s="29">
        <f t="shared" si="73"/>
        <v>1.0130093188224707</v>
      </c>
      <c r="I125" s="29">
        <f t="shared" si="74"/>
        <v>-0.52927686958792997</v>
      </c>
      <c r="J125" s="29">
        <f t="shared" si="75"/>
        <v>5.7879542927868247E-2</v>
      </c>
      <c r="K125" s="26">
        <f t="shared" si="38"/>
        <v>-0.91932771478747399</v>
      </c>
      <c r="L125" s="26">
        <f t="shared" si="39"/>
        <v>0.2850948968462208</v>
      </c>
      <c r="M125" s="26">
        <f t="shared" si="40"/>
        <v>0.56727460016051312</v>
      </c>
      <c r="N125" s="26">
        <f t="shared" si="41"/>
        <v>0.63813406582875043</v>
      </c>
      <c r="O125" s="26">
        <f t="shared" si="42"/>
        <v>8.9337294425618358E-3</v>
      </c>
      <c r="P125" s="26">
        <f t="shared" si="43"/>
        <v>0.50223341750628936</v>
      </c>
      <c r="Q125" s="26">
        <f t="shared" si="44"/>
        <v>0.12611920283002337</v>
      </c>
      <c r="R125" s="26">
        <f t="shared" si="45"/>
        <v>-2.2641946661964516</v>
      </c>
      <c r="S125" s="26">
        <f t="shared" si="46"/>
        <v>9.4132075151465114E-2</v>
      </c>
      <c r="T125" s="26">
        <f t="shared" si="47"/>
        <v>1.0981435073235328</v>
      </c>
      <c r="U125" s="26">
        <f t="shared" si="48"/>
        <v>0.7499120931972344</v>
      </c>
      <c r="V125" s="26">
        <f t="shared" si="49"/>
        <v>-0.2436749128971647</v>
      </c>
      <c r="W125" s="26">
        <f t="shared" si="50"/>
        <v>0.43938092592622197</v>
      </c>
      <c r="X125" s="26">
        <f t="shared" si="51"/>
        <v>0.15714687310767009</v>
      </c>
      <c r="Y125" s="26">
        <f t="shared" si="52"/>
        <v>-5.4222259073555934E-2</v>
      </c>
      <c r="Z125" s="26">
        <f t="shared" si="53"/>
        <v>0.48644775542912549</v>
      </c>
      <c r="AA125" s="26">
        <f t="shared" si="54"/>
        <v>8.4162787708765341E-2</v>
      </c>
      <c r="AB125" s="26">
        <f t="shared" si="55"/>
        <v>0.52102828578979743</v>
      </c>
      <c r="AC125" s="26">
        <f t="shared" si="56"/>
        <v>0.27488743222825712</v>
      </c>
      <c r="AD125" s="26">
        <f t="shared" si="57"/>
        <v>0.56829236674655037</v>
      </c>
      <c r="AE125" s="26">
        <f t="shared" si="58"/>
        <v>9.3185740304647491E-2</v>
      </c>
      <c r="AF125" s="26">
        <f t="shared" si="59"/>
        <v>-1.3990892104825334</v>
      </c>
      <c r="AG125" s="26">
        <f t="shared" si="60"/>
        <v>0.19796067976159243</v>
      </c>
      <c r="AH125" s="26">
        <f t="shared" si="61"/>
        <v>0.61503169487178488</v>
      </c>
      <c r="AI125" s="26">
        <f t="shared" si="62"/>
        <v>0.64908774350979603</v>
      </c>
      <c r="AJ125" s="26">
        <f t="shared" si="63"/>
        <v>-8.5131572685965815E-2</v>
      </c>
      <c r="AK125" s="26">
        <f t="shared" si="64"/>
        <v>0.47872995129584772</v>
      </c>
      <c r="AL125" s="26">
        <f t="shared" si="65"/>
        <v>0.11459118313386236</v>
      </c>
      <c r="AM125" s="27">
        <f t="shared" si="66"/>
        <v>0.49104299937620333</v>
      </c>
    </row>
    <row r="126" spans="1:39" ht="15" customHeight="1" x14ac:dyDescent="0.2">
      <c r="A126" s="24">
        <v>115</v>
      </c>
      <c r="B126" s="29">
        <f t="shared" si="67"/>
        <v>0.8726939590604309</v>
      </c>
      <c r="C126" s="29">
        <f t="shared" si="68"/>
        <v>-1.3521528866992738</v>
      </c>
      <c r="D126" s="29">
        <f t="shared" si="69"/>
        <v>-0.92573369486415003</v>
      </c>
      <c r="E126" s="29">
        <f t="shared" si="70"/>
        <v>-0.48269921470315896</v>
      </c>
      <c r="F126" s="29">
        <f t="shared" si="71"/>
        <v>0.53156346025336021</v>
      </c>
      <c r="G126" s="29">
        <f t="shared" si="72"/>
        <v>0.56932499646721901</v>
      </c>
      <c r="H126" s="29">
        <f t="shared" si="73"/>
        <v>1.0180849534690326</v>
      </c>
      <c r="I126" s="29">
        <f t="shared" si="74"/>
        <v>-0.52819939515743863</v>
      </c>
      <c r="J126" s="29">
        <f t="shared" si="75"/>
        <v>5.6865957576727022E-2</v>
      </c>
      <c r="K126" s="26">
        <f t="shared" si="38"/>
        <v>-0.92573369486415003</v>
      </c>
      <c r="L126" s="26">
        <f t="shared" si="39"/>
        <v>0.28379105634069357</v>
      </c>
      <c r="M126" s="26">
        <f t="shared" si="40"/>
        <v>0.56932499646721901</v>
      </c>
      <c r="N126" s="26">
        <f t="shared" si="41"/>
        <v>0.63860740702214003</v>
      </c>
      <c r="O126" s="26">
        <f t="shared" si="42"/>
        <v>8.4773158341150401E-3</v>
      </c>
      <c r="P126" s="26">
        <f t="shared" si="43"/>
        <v>0.50211931626650919</v>
      </c>
      <c r="Q126" s="26">
        <f t="shared" si="44"/>
        <v>0.12606190388397334</v>
      </c>
      <c r="R126" s="26">
        <f t="shared" si="45"/>
        <v>-2.2778865815634237</v>
      </c>
      <c r="S126" s="26">
        <f t="shared" si="46"/>
        <v>9.2971018974667877E-2</v>
      </c>
      <c r="T126" s="26">
        <f t="shared" si="47"/>
        <v>1.1008884567205792</v>
      </c>
      <c r="U126" s="26">
        <f t="shared" si="48"/>
        <v>0.75042653860729436</v>
      </c>
      <c r="V126" s="26">
        <f t="shared" si="49"/>
        <v>-0.24485649069894283</v>
      </c>
      <c r="W126" s="26">
        <f t="shared" si="50"/>
        <v>0.43908989426614653</v>
      </c>
      <c r="X126" s="26">
        <f t="shared" si="51"/>
        <v>0.15731007335718133</v>
      </c>
      <c r="Y126" s="26">
        <f t="shared" si="52"/>
        <v>-5.3039735803719124E-2</v>
      </c>
      <c r="Z126" s="26">
        <f t="shared" si="53"/>
        <v>0.48674317376032278</v>
      </c>
      <c r="AA126" s="26">
        <f t="shared" si="54"/>
        <v>8.662578176406005E-2</v>
      </c>
      <c r="AB126" s="26">
        <f t="shared" si="55"/>
        <v>0.52164291305140709</v>
      </c>
      <c r="AC126" s="26">
        <f t="shared" si="56"/>
        <v>0.27688038782395691</v>
      </c>
      <c r="AD126" s="26">
        <f t="shared" si="57"/>
        <v>0.56878124410498165</v>
      </c>
      <c r="AE126" s="26">
        <f t="shared" si="58"/>
        <v>9.297480771782371E-2</v>
      </c>
      <c r="AF126" s="26">
        <f t="shared" si="59"/>
        <v>-1.4051926225029929</v>
      </c>
      <c r="AG126" s="26">
        <f t="shared" si="60"/>
        <v>0.19699341343788779</v>
      </c>
      <c r="AH126" s="26">
        <f t="shared" si="61"/>
        <v>0.6181892420174202</v>
      </c>
      <c r="AI126" s="26">
        <f t="shared" si="62"/>
        <v>0.64980660800168544</v>
      </c>
      <c r="AJ126" s="26">
        <f t="shared" si="63"/>
        <v>-8.5805469585452154E-2</v>
      </c>
      <c r="AK126" s="26">
        <f t="shared" si="64"/>
        <v>0.47856178436886165</v>
      </c>
      <c r="AL126" s="26">
        <f t="shared" si="65"/>
        <v>0.11451069072915442</v>
      </c>
      <c r="AM126" s="27">
        <f t="shared" si="66"/>
        <v>0.49085747568813287</v>
      </c>
    </row>
    <row r="127" spans="1:39" ht="15" customHeight="1" x14ac:dyDescent="0.2">
      <c r="A127" s="24">
        <v>116</v>
      </c>
      <c r="B127" s="29">
        <f t="shared" si="67"/>
        <v>0.88036197562139873</v>
      </c>
      <c r="C127" s="29">
        <f t="shared" si="68"/>
        <v>-1.3595250771629239</v>
      </c>
      <c r="D127" s="29">
        <f t="shared" si="69"/>
        <v>-0.9321808196911634</v>
      </c>
      <c r="E127" s="29">
        <f t="shared" si="70"/>
        <v>-0.48228538827406781</v>
      </c>
      <c r="F127" s="29">
        <f t="shared" si="71"/>
        <v>0.53225122954619231</v>
      </c>
      <c r="G127" s="29">
        <f t="shared" si="72"/>
        <v>0.57137479891946263</v>
      </c>
      <c r="H127" s="29">
        <f t="shared" si="73"/>
        <v>1.0232601452232897</v>
      </c>
      <c r="I127" s="29">
        <f t="shared" si="74"/>
        <v>-0.52712226186889977</v>
      </c>
      <c r="J127" s="29">
        <f t="shared" si="75"/>
        <v>5.5829063853871166E-2</v>
      </c>
      <c r="K127" s="26">
        <f t="shared" si="38"/>
        <v>-0.9321808196911634</v>
      </c>
      <c r="L127" s="26">
        <f t="shared" si="39"/>
        <v>0.28248248299950313</v>
      </c>
      <c r="M127" s="26">
        <f t="shared" si="40"/>
        <v>0.57137479891946263</v>
      </c>
      <c r="N127" s="26">
        <f t="shared" si="41"/>
        <v>0.6390803422683472</v>
      </c>
      <c r="O127" s="26">
        <f t="shared" si="42"/>
        <v>8.0086548985363742E-3</v>
      </c>
      <c r="P127" s="26">
        <f t="shared" si="43"/>
        <v>0.50200215302337903</v>
      </c>
      <c r="Q127" s="26">
        <f t="shared" si="44"/>
        <v>0.12600308082005401</v>
      </c>
      <c r="R127" s="26">
        <f t="shared" si="45"/>
        <v>-2.2917058968540873</v>
      </c>
      <c r="S127" s="26">
        <f t="shared" si="46"/>
        <v>9.1812208517979624E-2</v>
      </c>
      <c r="T127" s="26">
        <f t="shared" si="47"/>
        <v>1.1036260284656549</v>
      </c>
      <c r="U127" s="26">
        <f t="shared" si="48"/>
        <v>0.75093889739842623</v>
      </c>
      <c r="V127" s="26">
        <f t="shared" si="49"/>
        <v>-0.24605977244674609</v>
      </c>
      <c r="W127" s="26">
        <f t="shared" si="50"/>
        <v>0.43879355980849655</v>
      </c>
      <c r="X127" s="26">
        <f t="shared" si="51"/>
        <v>0.15747633425620977</v>
      </c>
      <c r="Y127" s="26">
        <f t="shared" si="52"/>
        <v>-5.1818844069764669E-2</v>
      </c>
      <c r="Z127" s="26">
        <f t="shared" si="53"/>
        <v>0.48704818702889413</v>
      </c>
      <c r="AA127" s="26">
        <f t="shared" si="54"/>
        <v>8.9089410645394829E-2</v>
      </c>
      <c r="AB127" s="26">
        <f t="shared" si="55"/>
        <v>0.52225763318146901</v>
      </c>
      <c r="AC127" s="26">
        <f t="shared" si="56"/>
        <v>0.27891243756288325</v>
      </c>
      <c r="AD127" s="26">
        <f t="shared" si="57"/>
        <v>0.56927957337640067</v>
      </c>
      <c r="AE127" s="26">
        <f t="shared" si="58"/>
        <v>9.2760042955407712E-2</v>
      </c>
      <c r="AF127" s="26">
        <f t="shared" si="59"/>
        <v>-1.4113439212326886</v>
      </c>
      <c r="AG127" s="26">
        <f t="shared" si="60"/>
        <v>0.19602217123879773</v>
      </c>
      <c r="AH127" s="26">
        <f t="shared" si="61"/>
        <v>0.62134064019158708</v>
      </c>
      <c r="AI127" s="26">
        <f t="shared" si="62"/>
        <v>0.65052339481653298</v>
      </c>
      <c r="AJ127" s="26">
        <f t="shared" si="63"/>
        <v>-8.6494624011658319E-2</v>
      </c>
      <c r="AK127" s="26">
        <f t="shared" si="64"/>
        <v>0.47838981504320105</v>
      </c>
      <c r="AL127" s="26">
        <f t="shared" si="65"/>
        <v>0.11442840756853405</v>
      </c>
      <c r="AM127" s="27">
        <f t="shared" si="66"/>
        <v>0.49066786560020553</v>
      </c>
    </row>
    <row r="128" spans="1:39" ht="15" customHeight="1" x14ac:dyDescent="0.2">
      <c r="A128" s="24">
        <v>117</v>
      </c>
      <c r="B128" s="29">
        <f t="shared" si="67"/>
        <v>0.88811054514762444</v>
      </c>
      <c r="C128" s="29">
        <f t="shared" si="68"/>
        <v>-1.3669842572028419</v>
      </c>
      <c r="D128" s="29">
        <f t="shared" si="69"/>
        <v>-0.93866926165009301</v>
      </c>
      <c r="E128" s="29">
        <f t="shared" si="70"/>
        <v>-0.48187004717073345</v>
      </c>
      <c r="F128" s="29">
        <f t="shared" si="71"/>
        <v>0.53293199083649934</v>
      </c>
      <c r="G128" s="29">
        <f t="shared" si="72"/>
        <v>0.5734240711239329</v>
      </c>
      <c r="H128" s="29">
        <f t="shared" si="73"/>
        <v>1.0285359448981131</v>
      </c>
      <c r="I128" s="29">
        <f t="shared" si="74"/>
        <v>-0.52604526686175657</v>
      </c>
      <c r="J128" s="29">
        <f t="shared" si="75"/>
        <v>5.4768490207797171E-2</v>
      </c>
      <c r="K128" s="26">
        <f t="shared" si="38"/>
        <v>-0.93866926165009301</v>
      </c>
      <c r="L128" s="26">
        <f t="shared" si="39"/>
        <v>0.28116922388573007</v>
      </c>
      <c r="M128" s="26">
        <f t="shared" si="40"/>
        <v>0.5734240711239329</v>
      </c>
      <c r="N128" s="26">
        <f t="shared" si="41"/>
        <v>0.63955288570055213</v>
      </c>
      <c r="O128" s="26">
        <f t="shared" si="42"/>
        <v>7.5273751428222013E-3</v>
      </c>
      <c r="P128" s="26">
        <f t="shared" si="43"/>
        <v>0.50188183490010096</v>
      </c>
      <c r="Q128" s="26">
        <f t="shared" si="44"/>
        <v>0.1259426881013461</v>
      </c>
      <c r="R128" s="26">
        <f t="shared" si="45"/>
        <v>-2.3056535188529348</v>
      </c>
      <c r="S128" s="26">
        <f t="shared" si="46"/>
        <v>9.065582011584386E-2</v>
      </c>
      <c r="T128" s="26">
        <f t="shared" si="47"/>
        <v>1.1063560619604322</v>
      </c>
      <c r="U128" s="26">
        <f t="shared" si="48"/>
        <v>0.75144914478851921</v>
      </c>
      <c r="V128" s="26">
        <f t="shared" si="49"/>
        <v>-0.24728500609215531</v>
      </c>
      <c r="W128" s="26">
        <f t="shared" si="50"/>
        <v>0.43849186406469298</v>
      </c>
      <c r="X128" s="26">
        <f t="shared" si="51"/>
        <v>0.15764569336077161</v>
      </c>
      <c r="Y128" s="26">
        <f t="shared" si="52"/>
        <v>-5.055871650246857E-2</v>
      </c>
      <c r="Z128" s="26">
        <f t="shared" si="53"/>
        <v>0.48736301263158904</v>
      </c>
      <c r="AA128" s="26">
        <f t="shared" si="54"/>
        <v>9.1554023953199448E-2</v>
      </c>
      <c r="AB128" s="26">
        <f t="shared" si="55"/>
        <v>0.52287253149107826</v>
      </c>
      <c r="AC128" s="26">
        <f t="shared" si="56"/>
        <v>0.28098424655031312</v>
      </c>
      <c r="AD128" s="26">
        <f t="shared" si="57"/>
        <v>0.56978750855833205</v>
      </c>
      <c r="AE128" s="26">
        <f t="shared" si="58"/>
        <v>9.2541393896223609E-2</v>
      </c>
      <c r="AF128" s="26">
        <f t="shared" si="59"/>
        <v>-1.4175429737053105</v>
      </c>
      <c r="AG128" s="26">
        <f t="shared" si="60"/>
        <v>0.19504705679653056</v>
      </c>
      <c r="AH128" s="26">
        <f t="shared" si="61"/>
        <v>0.62448601478969878</v>
      </c>
      <c r="AI128" s="26">
        <f t="shared" si="62"/>
        <v>0.65123813380992268</v>
      </c>
      <c r="AJ128" s="26">
        <f t="shared" si="63"/>
        <v>-8.7199338820980465E-2</v>
      </c>
      <c r="AK128" s="26">
        <f t="shared" si="64"/>
        <v>0.47821396812800582</v>
      </c>
      <c r="AL128" s="26">
        <f t="shared" si="65"/>
        <v>0.11434429965636668</v>
      </c>
      <c r="AM128" s="27">
        <f t="shared" si="66"/>
        <v>0.49047407501470802</v>
      </c>
    </row>
    <row r="129" spans="1:39" ht="15" customHeight="1" x14ac:dyDescent="0.2">
      <c r="A129" s="24">
        <v>118</v>
      </c>
      <c r="B129" s="29">
        <f t="shared" si="67"/>
        <v>0.89594070626516231</v>
      </c>
      <c r="C129" s="29">
        <f t="shared" si="68"/>
        <v>-1.3745311593579608</v>
      </c>
      <c r="D129" s="29">
        <f t="shared" si="69"/>
        <v>-0.94519918744514053</v>
      </c>
      <c r="E129" s="29">
        <f t="shared" si="70"/>
        <v>-0.48145290252573408</v>
      </c>
      <c r="F129" s="29">
        <f t="shared" si="71"/>
        <v>0.53360551746122997</v>
      </c>
      <c r="G129" s="29">
        <f t="shared" si="72"/>
        <v>0.57547287588114338</v>
      </c>
      <c r="H129" s="29">
        <f t="shared" si="73"/>
        <v>1.0339134004624164</v>
      </c>
      <c r="I129" s="29">
        <f t="shared" si="74"/>
        <v>-0.52496820460836191</v>
      </c>
      <c r="J129" s="29">
        <f t="shared" si="75"/>
        <v>5.3683860448819204E-2</v>
      </c>
      <c r="K129" s="26">
        <f t="shared" si="38"/>
        <v>-0.94519918744514053</v>
      </c>
      <c r="L129" s="26">
        <f t="shared" si="39"/>
        <v>0.27985132828467213</v>
      </c>
      <c r="M129" s="26">
        <f t="shared" si="40"/>
        <v>0.57547287588114338</v>
      </c>
      <c r="N129" s="26">
        <f t="shared" si="41"/>
        <v>0.64002505123587172</v>
      </c>
      <c r="O129" s="26">
        <f t="shared" si="42"/>
        <v>7.0330968478781453E-3</v>
      </c>
      <c r="P129" s="26">
        <f t="shared" si="43"/>
        <v>0.50175826696433301</v>
      </c>
      <c r="Q129" s="26">
        <f t="shared" si="44"/>
        <v>0.12588067923352544</v>
      </c>
      <c r="R129" s="26">
        <f t="shared" si="45"/>
        <v>-2.3197303468031012</v>
      </c>
      <c r="S129" s="26">
        <f t="shared" si="46"/>
        <v>8.9502031322608699E-2</v>
      </c>
      <c r="T129" s="26">
        <f t="shared" si="47"/>
        <v>1.1090783933423733</v>
      </c>
      <c r="U129" s="26">
        <f t="shared" si="48"/>
        <v>0.75195725554971804</v>
      </c>
      <c r="V129" s="26">
        <f t="shared" si="49"/>
        <v>-0.24853244038629543</v>
      </c>
      <c r="W129" s="26">
        <f t="shared" si="50"/>
        <v>0.43818474845192668</v>
      </c>
      <c r="X129" s="26">
        <f t="shared" si="51"/>
        <v>0.15781818843601245</v>
      </c>
      <c r="Y129" s="26">
        <f t="shared" si="52"/>
        <v>-4.925848117997822E-2</v>
      </c>
      <c r="Z129" s="26">
        <f t="shared" si="53"/>
        <v>0.4876878691151158</v>
      </c>
      <c r="AA129" s="26">
        <f t="shared" si="54"/>
        <v>9.4019973355409292E-2</v>
      </c>
      <c r="AB129" s="26">
        <f t="shared" si="55"/>
        <v>0.52348769376512871</v>
      </c>
      <c r="AC129" s="26">
        <f t="shared" si="56"/>
        <v>0.28309648883944682</v>
      </c>
      <c r="AD129" s="26">
        <f t="shared" si="57"/>
        <v>0.5703052053795058</v>
      </c>
      <c r="AE129" s="26">
        <f t="shared" si="58"/>
        <v>9.2318808261974347E-2</v>
      </c>
      <c r="AF129" s="26">
        <f t="shared" si="59"/>
        <v>-1.4237896405379389</v>
      </c>
      <c r="AG129" s="26">
        <f t="shared" si="60"/>
        <v>0.19406817486980157</v>
      </c>
      <c r="AH129" s="26">
        <f t="shared" si="61"/>
        <v>0.62762549081663921</v>
      </c>
      <c r="AI129" s="26">
        <f t="shared" si="62"/>
        <v>0.65195085467456693</v>
      </c>
      <c r="AJ129" s="26">
        <f t="shared" si="63"/>
        <v>-8.7919922621403856E-2</v>
      </c>
      <c r="AK129" s="26">
        <f t="shared" si="64"/>
        <v>0.47803416701985962</v>
      </c>
      <c r="AL129" s="26">
        <f t="shared" si="65"/>
        <v>0.11425833241918552</v>
      </c>
      <c r="AM129" s="27">
        <f t="shared" si="66"/>
        <v>0.49027600835069779</v>
      </c>
    </row>
    <row r="130" spans="1:39" ht="15" customHeight="1" x14ac:dyDescent="0.2">
      <c r="A130" s="24">
        <v>119</v>
      </c>
      <c r="B130" s="29">
        <f t="shared" si="67"/>
        <v>0.90385349565525919</v>
      </c>
      <c r="C130" s="29">
        <f t="shared" si="68"/>
        <v>-1.3821665136517742</v>
      </c>
      <c r="D130" s="29">
        <f t="shared" si="69"/>
        <v>-0.95177075791601373</v>
      </c>
      <c r="E130" s="29">
        <f t="shared" si="70"/>
        <v>-0.48103366258080926</v>
      </c>
      <c r="F130" s="29">
        <f t="shared" si="71"/>
        <v>0.53427158027945298</v>
      </c>
      <c r="G130" s="29">
        <f t="shared" si="72"/>
        <v>0.57752127516333751</v>
      </c>
      <c r="H130" s="29">
        <f t="shared" si="73"/>
        <v>1.0393935561848182</v>
      </c>
      <c r="I130" s="29">
        <f t="shared" si="74"/>
        <v>-0.52389086687260233</v>
      </c>
      <c r="J130" s="29">
        <f t="shared" si="75"/>
        <v>5.2574793796996838E-2</v>
      </c>
      <c r="K130" s="26">
        <f t="shared" si="38"/>
        <v>-0.95177075791601373</v>
      </c>
      <c r="L130" s="26">
        <f t="shared" si="39"/>
        <v>0.2785288477276493</v>
      </c>
      <c r="M130" s="26">
        <f t="shared" si="40"/>
        <v>0.57752127516333751</v>
      </c>
      <c r="N130" s="26">
        <f t="shared" si="41"/>
        <v>0.64049685257058897</v>
      </c>
      <c r="O130" s="26">
        <f t="shared" si="42"/>
        <v>6.5254320143187383E-3</v>
      </c>
      <c r="P130" s="26">
        <f t="shared" si="43"/>
        <v>0.50163135221483068</v>
      </c>
      <c r="Q130" s="26">
        <f t="shared" si="44"/>
        <v>0.12581700676243976</v>
      </c>
      <c r="R130" s="26">
        <f t="shared" si="45"/>
        <v>-2.333937271567788</v>
      </c>
      <c r="S130" s="26">
        <f t="shared" si="46"/>
        <v>8.8351020835719246E-2</v>
      </c>
      <c r="T130" s="26">
        <f t="shared" si="47"/>
        <v>1.1117928554427905</v>
      </c>
      <c r="U130" s="26">
        <f t="shared" si="48"/>
        <v>0.75246320400365341</v>
      </c>
      <c r="V130" s="26">
        <f t="shared" si="49"/>
        <v>-0.24980232469921579</v>
      </c>
      <c r="W130" s="26">
        <f t="shared" si="50"/>
        <v>0.4378721543408915</v>
      </c>
      <c r="X130" s="26">
        <f t="shared" si="51"/>
        <v>0.1579938574326753</v>
      </c>
      <c r="Y130" s="26">
        <f t="shared" si="52"/>
        <v>-4.7917262260754545E-2</v>
      </c>
      <c r="Z130" s="26">
        <f t="shared" si="53"/>
        <v>0.48802297601494171</v>
      </c>
      <c r="AA130" s="26">
        <f t="shared" si="54"/>
        <v>9.6487612582528248E-2</v>
      </c>
      <c r="AB130" s="26">
        <f t="shared" si="55"/>
        <v>0.52410320625811946</v>
      </c>
      <c r="AC130" s="26">
        <f t="shared" si="56"/>
        <v>0.28524984727978886</v>
      </c>
      <c r="AD130" s="26">
        <f t="shared" si="57"/>
        <v>0.57083282124146617</v>
      </c>
      <c r="AE130" s="26">
        <f t="shared" si="58"/>
        <v>9.2092233661779668E-2</v>
      </c>
      <c r="AF130" s="26">
        <f t="shared" si="59"/>
        <v>-1.4300837759125287</v>
      </c>
      <c r="AG130" s="26">
        <f t="shared" si="60"/>
        <v>0.19308563131133044</v>
      </c>
      <c r="AH130" s="26">
        <f t="shared" si="61"/>
        <v>0.63075919286198123</v>
      </c>
      <c r="AI130" s="26">
        <f t="shared" si="62"/>
        <v>0.65266158693426723</v>
      </c>
      <c r="AJ130" s="26">
        <f t="shared" si="63"/>
        <v>-8.8656689779570308E-2</v>
      </c>
      <c r="AK130" s="26">
        <f t="shared" si="64"/>
        <v>0.47785033370228447</v>
      </c>
      <c r="AL130" s="26">
        <f t="shared" si="65"/>
        <v>0.11417047070969231</v>
      </c>
      <c r="AM130" s="27">
        <f t="shared" si="66"/>
        <v>0.49007356856658701</v>
      </c>
    </row>
    <row r="131" spans="1:39" ht="15" customHeight="1" x14ac:dyDescent="0.2">
      <c r="A131" s="24">
        <v>120</v>
      </c>
      <c r="B131" s="29">
        <f t="shared" si="67"/>
        <v>0.91184994719174817</v>
      </c>
      <c r="C131" s="29">
        <f t="shared" si="68"/>
        <v>-1.3898910469142896</v>
      </c>
      <c r="D131" s="29">
        <f t="shared" si="69"/>
        <v>-0.95838412785540594</v>
      </c>
      <c r="E131" s="29">
        <f t="shared" si="70"/>
        <v>-0.4806120326735201</v>
      </c>
      <c r="F131" s="29">
        <f t="shared" si="71"/>
        <v>0.53492994765516644</v>
      </c>
      <c r="G131" s="29">
        <f t="shared" si="72"/>
        <v>0.5795693300903032</v>
      </c>
      <c r="H131" s="29">
        <f t="shared" si="73"/>
        <v>1.0449774517413326</v>
      </c>
      <c r="I131" s="29">
        <f t="shared" si="74"/>
        <v>-0.52281304266860107</v>
      </c>
      <c r="J131" s="29">
        <f t="shared" si="75"/>
        <v>5.1440904940120144E-2</v>
      </c>
      <c r="K131" s="26">
        <f t="shared" si="38"/>
        <v>-0.95838412785540594</v>
      </c>
      <c r="L131" s="26">
        <f t="shared" si="39"/>
        <v>0.27720183601347537</v>
      </c>
      <c r="M131" s="26">
        <f t="shared" si="40"/>
        <v>0.5795693300903032</v>
      </c>
      <c r="N131" s="26">
        <f t="shared" si="41"/>
        <v>0.64096830317491982</v>
      </c>
      <c r="O131" s="26">
        <f t="shared" si="42"/>
        <v>6.0039843184902381E-3</v>
      </c>
      <c r="P131" s="26">
        <f t="shared" si="43"/>
        <v>0.50150099157066808</v>
      </c>
      <c r="Q131" s="26">
        <f t="shared" si="44"/>
        <v>0.12575162227318165</v>
      </c>
      <c r="R131" s="26">
        <f t="shared" si="45"/>
        <v>-2.3482751747696957</v>
      </c>
      <c r="S131" s="26">
        <f t="shared" si="46"/>
        <v>8.720296841440589E-2</v>
      </c>
      <c r="T131" s="26">
        <f t="shared" si="47"/>
        <v>1.1144992777454696</v>
      </c>
      <c r="U131" s="26">
        <f t="shared" si="48"/>
        <v>0.75296696401677721</v>
      </c>
      <c r="V131" s="26">
        <f t="shared" si="49"/>
        <v>-0.25109490882846441</v>
      </c>
      <c r="W131" s="26">
        <f t="shared" si="50"/>
        <v>0.43755402310622754</v>
      </c>
      <c r="X131" s="26">
        <f t="shared" si="51"/>
        <v>0.15817273846199498</v>
      </c>
      <c r="Y131" s="26">
        <f t="shared" si="52"/>
        <v>-4.6534180663657776E-2</v>
      </c>
      <c r="Z131" s="26">
        <f t="shared" si="53"/>
        <v>0.48836855368187587</v>
      </c>
      <c r="AA131" s="26">
        <f t="shared" si="54"/>
        <v>9.8957297416783108E-2</v>
      </c>
      <c r="AB131" s="26">
        <f t="shared" si="55"/>
        <v>0.52471915568844552</v>
      </c>
      <c r="AC131" s="26">
        <f t="shared" si="56"/>
        <v>0.28744501334523148</v>
      </c>
      <c r="AD131" s="26">
        <f t="shared" si="57"/>
        <v>0.57137051515438853</v>
      </c>
      <c r="AE131" s="26">
        <f t="shared" si="58"/>
        <v>9.1861617639507134E-2</v>
      </c>
      <c r="AF131" s="26">
        <f t="shared" si="59"/>
        <v>-1.4364252275779474</v>
      </c>
      <c r="AG131" s="26">
        <f t="shared" si="60"/>
        <v>0.19209953303155733</v>
      </c>
      <c r="AH131" s="26">
        <f t="shared" si="61"/>
        <v>0.63388724507194949</v>
      </c>
      <c r="AI131" s="26">
        <f t="shared" si="62"/>
        <v>0.65337035993718473</v>
      </c>
      <c r="AJ131" s="26">
        <f t="shared" si="63"/>
        <v>-8.9409960420101756E-2</v>
      </c>
      <c r="AK131" s="26">
        <f t="shared" si="64"/>
        <v>0.47766238874723177</v>
      </c>
      <c r="AL131" s="26">
        <f t="shared" si="65"/>
        <v>0.11408067881185578</v>
      </c>
      <c r="AM131" s="27">
        <f t="shared" si="66"/>
        <v>0.48986665718653954</v>
      </c>
    </row>
    <row r="132" spans="1:39" ht="15" customHeight="1" x14ac:dyDescent="0.2">
      <c r="A132" s="24">
        <v>121</v>
      </c>
      <c r="B132" s="29">
        <f t="shared" si="67"/>
        <v>0.91993109103504966</v>
      </c>
      <c r="C132" s="29">
        <f t="shared" si="68"/>
        <v>-1.3977054820769523</v>
      </c>
      <c r="D132" s="29">
        <f t="shared" si="69"/>
        <v>-0.96503944583159396</v>
      </c>
      <c r="E132" s="29">
        <f t="shared" si="70"/>
        <v>-0.48018771522797221</v>
      </c>
      <c r="F132" s="29">
        <f t="shared" si="71"/>
        <v>0.53558038544291109</v>
      </c>
      <c r="G132" s="29">
        <f t="shared" si="72"/>
        <v>0.58161710090300556</v>
      </c>
      <c r="H132" s="29">
        <f t="shared" si="73"/>
        <v>1.0506661212864754</v>
      </c>
      <c r="I132" s="29">
        <f t="shared" si="74"/>
        <v>-0.52173451821946348</v>
      </c>
      <c r="J132" s="29">
        <f t="shared" si="75"/>
        <v>5.0281804102391581E-2</v>
      </c>
      <c r="K132" s="26">
        <f t="shared" si="38"/>
        <v>-0.96503944583159396</v>
      </c>
      <c r="L132" s="26">
        <f t="shared" si="39"/>
        <v>0.27587034922747988</v>
      </c>
      <c r="M132" s="26">
        <f t="shared" si="40"/>
        <v>0.58161710090300556</v>
      </c>
      <c r="N132" s="26">
        <f t="shared" si="41"/>
        <v>0.6414394162873025</v>
      </c>
      <c r="O132" s="26">
        <f t="shared" si="42"/>
        <v>5.4683490795436329E-3</v>
      </c>
      <c r="P132" s="26">
        <f t="shared" si="43"/>
        <v>0.50136708386324658</v>
      </c>
      <c r="Q132" s="26">
        <f t="shared" si="44"/>
        <v>0.12568447639076785</v>
      </c>
      <c r="R132" s="26">
        <f t="shared" si="45"/>
        <v>-2.3627449279085462</v>
      </c>
      <c r="S132" s="26">
        <f t="shared" si="46"/>
        <v>8.6058054793854852E-2</v>
      </c>
      <c r="T132" s="26">
        <f t="shared" si="47"/>
        <v>1.1171974863459166</v>
      </c>
      <c r="U132" s="26">
        <f t="shared" si="48"/>
        <v>0.75346850899581241</v>
      </c>
      <c r="V132" s="26">
        <f t="shared" si="49"/>
        <v>-0.25241044279635766</v>
      </c>
      <c r="W132" s="26">
        <f t="shared" si="50"/>
        <v>0.43723029617979292</v>
      </c>
      <c r="X132" s="26">
        <f t="shared" si="51"/>
        <v>0.15835486976894181</v>
      </c>
      <c r="Y132" s="26">
        <f t="shared" si="52"/>
        <v>-4.5108354796544292E-2</v>
      </c>
      <c r="Z132" s="26">
        <f t="shared" si="53"/>
        <v>0.48872482309606108</v>
      </c>
      <c r="AA132" s="26">
        <f t="shared" si="54"/>
        <v>0.10142938567503335</v>
      </c>
      <c r="AB132" s="26">
        <f t="shared" si="55"/>
        <v>0.52533562923108523</v>
      </c>
      <c r="AC132" s="26">
        <f t="shared" si="56"/>
        <v>0.28968268694074994</v>
      </c>
      <c r="AD132" s="26">
        <f t="shared" si="57"/>
        <v>0.57191844766681943</v>
      </c>
      <c r="AE132" s="26">
        <f t="shared" si="58"/>
        <v>9.1626907723992804E-2</v>
      </c>
      <c r="AF132" s="26">
        <f t="shared" si="59"/>
        <v>-1.4428138368734966</v>
      </c>
      <c r="AG132" s="26">
        <f t="shared" si="60"/>
        <v>0.19110998795853437</v>
      </c>
      <c r="AH132" s="26">
        <f t="shared" si="61"/>
        <v>0.63700977111794443</v>
      </c>
      <c r="AI132" s="26">
        <f t="shared" si="62"/>
        <v>0.65407720284837989</v>
      </c>
      <c r="AJ132" s="26">
        <f t="shared" si="63"/>
        <v>-9.0180060416543861E-2</v>
      </c>
      <c r="AK132" s="26">
        <f t="shared" si="64"/>
        <v>0.47747025131873227</v>
      </c>
      <c r="AL132" s="26">
        <f t="shared" si="65"/>
        <v>0.11398892044718668</v>
      </c>
      <c r="AM132" s="27">
        <f t="shared" si="66"/>
        <v>0.48965517433088912</v>
      </c>
    </row>
    <row r="133" spans="1:39" ht="15" customHeight="1" x14ac:dyDescent="0.2">
      <c r="A133" s="24">
        <v>122</v>
      </c>
      <c r="B133" s="29">
        <f t="shared" si="67"/>
        <v>0.92809795268199557</v>
      </c>
      <c r="C133" s="29">
        <f t="shared" si="68"/>
        <v>-1.4056105374401322</v>
      </c>
      <c r="D133" s="29">
        <f t="shared" si="69"/>
        <v>-0.97173685401667442</v>
      </c>
      <c r="E133" s="29">
        <f t="shared" si="70"/>
        <v>-0.47976040974985651</v>
      </c>
      <c r="F133" s="29">
        <f t="shared" si="71"/>
        <v>0.53622265697634031</v>
      </c>
      <c r="G133" s="29">
        <f t="shared" si="72"/>
        <v>0.58366464693494469</v>
      </c>
      <c r="H133" s="29">
        <f t="shared" si="73"/>
        <v>1.0564605924872246</v>
      </c>
      <c r="I133" s="29">
        <f t="shared" si="74"/>
        <v>-0.52065507691603241</v>
      </c>
      <c r="J133" s="29">
        <f t="shared" si="75"/>
        <v>4.9097097124465305E-2</v>
      </c>
      <c r="K133" s="26">
        <f t="shared" si="38"/>
        <v>-0.97173685401667442</v>
      </c>
      <c r="L133" s="26">
        <f t="shared" si="39"/>
        <v>0.27453444575796654</v>
      </c>
      <c r="M133" s="26">
        <f t="shared" si="40"/>
        <v>0.58366464693494469</v>
      </c>
      <c r="N133" s="26">
        <f t="shared" si="41"/>
        <v>0.64191020490818762</v>
      </c>
      <c r="O133" s="26">
        <f t="shared" si="42"/>
        <v>4.9181132384198967E-3</v>
      </c>
      <c r="P133" s="26">
        <f t="shared" si="43"/>
        <v>0.50122952583130831</v>
      </c>
      <c r="Q133" s="26">
        <f t="shared" si="44"/>
        <v>0.12561551878253907</v>
      </c>
      <c r="R133" s="26">
        <f t="shared" si="45"/>
        <v>-2.3773473914568068</v>
      </c>
      <c r="S133" s="26">
        <f t="shared" si="46"/>
        <v>8.4916461594857703E-2</v>
      </c>
      <c r="T133" s="26">
        <f t="shared" si="47"/>
        <v>1.1198873039112849</v>
      </c>
      <c r="U133" s="26">
        <f t="shared" si="48"/>
        <v>0.75396781188332385</v>
      </c>
      <c r="V133" s="26">
        <f t="shared" si="49"/>
        <v>-0.25374917663543728</v>
      </c>
      <c r="W133" s="26">
        <f t="shared" si="50"/>
        <v>0.43690091510688484</v>
      </c>
      <c r="X133" s="26">
        <f t="shared" si="51"/>
        <v>0.15854028970373188</v>
      </c>
      <c r="Y133" s="26">
        <f t="shared" si="52"/>
        <v>-4.3638901334678848E-2</v>
      </c>
      <c r="Z133" s="26">
        <f t="shared" si="53"/>
        <v>0.48909200566801297</v>
      </c>
      <c r="AA133" s="26">
        <f t="shared" si="54"/>
        <v>0.10390423718508818</v>
      </c>
      <c r="AB133" s="26">
        <f t="shared" si="55"/>
        <v>0.52595271450859837</v>
      </c>
      <c r="AC133" s="26">
        <f t="shared" si="56"/>
        <v>0.29196357618658902</v>
      </c>
      <c r="AD133" s="26">
        <f t="shared" si="57"/>
        <v>0.57247678078904884</v>
      </c>
      <c r="AE133" s="26">
        <f t="shared" si="58"/>
        <v>9.1388051482247504E-2</v>
      </c>
      <c r="AF133" s="26">
        <f t="shared" si="59"/>
        <v>-1.4492494387748112</v>
      </c>
      <c r="AG133" s="26">
        <f t="shared" si="60"/>
        <v>0.19011710499396392</v>
      </c>
      <c r="AH133" s="26">
        <f t="shared" si="61"/>
        <v>0.64012689416142843</v>
      </c>
      <c r="AI133" s="26">
        <f t="shared" si="62"/>
        <v>0.65478214464158635</v>
      </c>
      <c r="AJ133" s="26">
        <f t="shared" si="63"/>
        <v>-9.0967321373265464E-2</v>
      </c>
      <c r="AK133" s="26">
        <f t="shared" si="64"/>
        <v>0.47727383917887234</v>
      </c>
      <c r="AL133" s="26">
        <f t="shared" si="65"/>
        <v>0.11389515878227005</v>
      </c>
      <c r="AM133" s="27">
        <f t="shared" si="66"/>
        <v>0.48943901875078855</v>
      </c>
    </row>
    <row r="134" spans="1:39" ht="15" customHeight="1" x14ac:dyDescent="0.2">
      <c r="A134" s="24">
        <v>123</v>
      </c>
      <c r="B134" s="29">
        <f t="shared" si="67"/>
        <v>0.93635155197075748</v>
      </c>
      <c r="C134" s="29">
        <f t="shared" si="68"/>
        <v>-1.4136069259127919</v>
      </c>
      <c r="D134" s="29">
        <f t="shared" si="69"/>
        <v>-0.97847648802095366</v>
      </c>
      <c r="E134" s="29">
        <f t="shared" si="70"/>
        <v>-0.47932981282607245</v>
      </c>
      <c r="F134" s="29">
        <f t="shared" si="71"/>
        <v>0.53685652305990994</v>
      </c>
      <c r="G134" s="29">
        <f t="shared" si="72"/>
        <v>0.58571202658114163</v>
      </c>
      <c r="H134" s="29">
        <f t="shared" si="73"/>
        <v>1.0623618855193244</v>
      </c>
      <c r="I134" s="29">
        <f t="shared" si="74"/>
        <v>-0.51957449927561894</v>
      </c>
      <c r="J134" s="29">
        <f t="shared" si="75"/>
        <v>4.7886385555525365E-2</v>
      </c>
      <c r="K134" s="26">
        <f t="shared" si="38"/>
        <v>-0.97847648802095366</v>
      </c>
      <c r="L134" s="26">
        <f t="shared" si="39"/>
        <v>0.27319418631000209</v>
      </c>
      <c r="M134" s="26">
        <f t="shared" si="40"/>
        <v>0.58571202658114163</v>
      </c>
      <c r="N134" s="26">
        <f t="shared" si="41"/>
        <v>0.64238068179331065</v>
      </c>
      <c r="O134" s="26">
        <f t="shared" si="42"/>
        <v>4.3528553496466754E-3</v>
      </c>
      <c r="P134" s="26">
        <f t="shared" si="43"/>
        <v>0.50108821211918431</v>
      </c>
      <c r="Q134" s="26">
        <f t="shared" si="44"/>
        <v>0.12554469816240033</v>
      </c>
      <c r="R134" s="26">
        <f t="shared" si="45"/>
        <v>-2.3920834139337455</v>
      </c>
      <c r="S134" s="26">
        <f t="shared" si="46"/>
        <v>8.3778371228951418E-2</v>
      </c>
      <c r="T134" s="26">
        <f t="shared" si="47"/>
        <v>1.1225685496410516</v>
      </c>
      <c r="U134" s="26">
        <f t="shared" si="48"/>
        <v>0.75446484515341694</v>
      </c>
      <c r="V134" s="26">
        <f t="shared" si="49"/>
        <v>-0.25511136016159186</v>
      </c>
      <c r="W134" s="26">
        <f t="shared" si="50"/>
        <v>0.43656582160553375</v>
      </c>
      <c r="X134" s="26">
        <f t="shared" si="51"/>
        <v>0.15872903669152363</v>
      </c>
      <c r="Y134" s="26">
        <f t="shared" si="52"/>
        <v>-4.2124936050196182E-2</v>
      </c>
      <c r="Z134" s="26">
        <f t="shared" si="53"/>
        <v>0.48947032302636723</v>
      </c>
      <c r="AA134" s="26">
        <f t="shared" si="54"/>
        <v>0.10638221375506918</v>
      </c>
      <c r="AB134" s="26">
        <f t="shared" si="55"/>
        <v>0.52657049958034163</v>
      </c>
      <c r="AC134" s="26">
        <f t="shared" si="56"/>
        <v>0.29428839717880118</v>
      </c>
      <c r="AD134" s="26">
        <f t="shared" si="57"/>
        <v>0.57304567790982275</v>
      </c>
      <c r="AE134" s="26">
        <f t="shared" si="58"/>
        <v>9.1144996575741405E-2</v>
      </c>
      <c r="AF134" s="26">
        <f t="shared" si="59"/>
        <v>-1.4557318619629882</v>
      </c>
      <c r="AG134" s="26">
        <f t="shared" si="60"/>
        <v>0.18912099396536705</v>
      </c>
      <c r="AH134" s="26">
        <f t="shared" si="61"/>
        <v>0.64323873681497912</v>
      </c>
      <c r="AI134" s="26">
        <f t="shared" si="62"/>
        <v>0.65548521409017568</v>
      </c>
      <c r="AJ134" s="26">
        <f t="shared" si="63"/>
        <v>-9.1772080597613423E-2</v>
      </c>
      <c r="AK134" s="26">
        <f t="shared" si="64"/>
        <v>0.47707306869627486</v>
      </c>
      <c r="AL134" s="26">
        <f t="shared" si="65"/>
        <v>0.11379935643764029</v>
      </c>
      <c r="AM134" s="27">
        <f t="shared" si="66"/>
        <v>0.48921808786730558</v>
      </c>
    </row>
    <row r="135" spans="1:39" ht="15" customHeight="1" x14ac:dyDescent="0.2">
      <c r="A135" s="24">
        <v>124</v>
      </c>
      <c r="B135" s="29">
        <f t="shared" si="67"/>
        <v>0.94469290204023648</v>
      </c>
      <c r="C135" s="29">
        <f t="shared" si="68"/>
        <v>-1.4216953542239952</v>
      </c>
      <c r="D135" s="29">
        <f t="shared" si="69"/>
        <v>-0.9852584767339978</v>
      </c>
      <c r="E135" s="29">
        <f t="shared" si="70"/>
        <v>-0.47889561812920944</v>
      </c>
      <c r="F135" s="29">
        <f t="shared" si="71"/>
        <v>0.53748174196385579</v>
      </c>
      <c r="G135" s="29">
        <f t="shared" si="72"/>
        <v>0.58775929726465348</v>
      </c>
      <c r="H135" s="29">
        <f t="shared" si="73"/>
        <v>1.0683710120254866</v>
      </c>
      <c r="I135" s="29">
        <f t="shared" si="74"/>
        <v>-0.51849256290067558</v>
      </c>
      <c r="J135" s="29">
        <f t="shared" si="75"/>
        <v>4.6649266758104518E-2</v>
      </c>
      <c r="K135" s="26">
        <f t="shared" si="38"/>
        <v>-0.9852584767339978</v>
      </c>
      <c r="L135" s="26">
        <f t="shared" si="39"/>
        <v>0.27184963391643152</v>
      </c>
      <c r="M135" s="26">
        <f t="shared" si="40"/>
        <v>0.58775929726465348</v>
      </c>
      <c r="N135" s="26">
        <f t="shared" si="41"/>
        <v>0.64285085944642439</v>
      </c>
      <c r="O135" s="26">
        <f t="shared" si="42"/>
        <v>3.7721455868819087E-3</v>
      </c>
      <c r="P135" s="26">
        <f t="shared" si="43"/>
        <v>0.50094303527851014</v>
      </c>
      <c r="Q135" s="26">
        <f t="shared" si="44"/>
        <v>0.12547196229702332</v>
      </c>
      <c r="R135" s="26">
        <f t="shared" si="45"/>
        <v>-2.4069538309579928</v>
      </c>
      <c r="S135" s="26">
        <f t="shared" si="46"/>
        <v>8.2643966799069421E-2</v>
      </c>
      <c r="T135" s="26">
        <f t="shared" si="47"/>
        <v>1.1252410392285093</v>
      </c>
      <c r="U135" s="26">
        <f t="shared" si="48"/>
        <v>0.75495958080757586</v>
      </c>
      <c r="V135" s="26">
        <f t="shared" si="49"/>
        <v>-0.25649724273431262</v>
      </c>
      <c r="W135" s="26">
        <f t="shared" si="50"/>
        <v>0.43622495762899371</v>
      </c>
      <c r="X135" s="26">
        <f t="shared" si="51"/>
        <v>0.15892114920021497</v>
      </c>
      <c r="Y135" s="26">
        <f t="shared" si="52"/>
        <v>-4.0565574693761319E-2</v>
      </c>
      <c r="Z135" s="26">
        <f t="shared" si="53"/>
        <v>0.48985999679200848</v>
      </c>
      <c r="AA135" s="26">
        <f t="shared" si="54"/>
        <v>0.10886367913544404</v>
      </c>
      <c r="AB135" s="26">
        <f t="shared" si="55"/>
        <v>0.52718907292980821</v>
      </c>
      <c r="AC135" s="26">
        <f t="shared" si="56"/>
        <v>0.29665787372497687</v>
      </c>
      <c r="AD135" s="26">
        <f t="shared" si="57"/>
        <v>0.57362530370609555</v>
      </c>
      <c r="AE135" s="26">
        <f t="shared" si="58"/>
        <v>9.0897690819859628E-2</v>
      </c>
      <c r="AF135" s="26">
        <f t="shared" si="59"/>
        <v>-1.4622609289177566</v>
      </c>
      <c r="AG135" s="26">
        <f t="shared" si="60"/>
        <v>0.18812176557438096</v>
      </c>
      <c r="AH135" s="26">
        <f t="shared" si="61"/>
        <v>0.64634542109929982</v>
      </c>
      <c r="AI135" s="26">
        <f t="shared" si="62"/>
        <v>0.6561864397572742</v>
      </c>
      <c r="AJ135" s="26">
        <f t="shared" si="63"/>
        <v>-9.2594681061591633E-2</v>
      </c>
      <c r="AK135" s="26">
        <f t="shared" si="64"/>
        <v>0.47686785485727007</v>
      </c>
      <c r="AL135" s="26">
        <f t="shared" si="65"/>
        <v>0.11370147549808719</v>
      </c>
      <c r="AM135" s="27">
        <f t="shared" si="66"/>
        <v>0.48899227781518506</v>
      </c>
    </row>
    <row r="136" spans="1:39" ht="15" customHeight="1" x14ac:dyDescent="0.2">
      <c r="A136" s="24">
        <v>125</v>
      </c>
      <c r="B136" s="29">
        <f t="shared" si="67"/>
        <v>0.9531230082433545</v>
      </c>
      <c r="C136" s="29">
        <f t="shared" si="68"/>
        <v>-1.4298765221059495</v>
      </c>
      <c r="D136" s="29">
        <f t="shared" si="69"/>
        <v>-0.99208294217283821</v>
      </c>
      <c r="E136" s="29">
        <f t="shared" si="70"/>
        <v>-0.47845751642717077</v>
      </c>
      <c r="F136" s="29">
        <f t="shared" si="71"/>
        <v>0.53809806942263527</v>
      </c>
      <c r="G136" s="29">
        <f t="shared" si="72"/>
        <v>0.58980651540051732</v>
      </c>
      <c r="H136" s="29">
        <f t="shared" si="73"/>
        <v>1.0744889740351029</v>
      </c>
      <c r="I136" s="29">
        <f t="shared" si="74"/>
        <v>-0.51740904243737862</v>
      </c>
      <c r="J136" s="29">
        <f t="shared" si="75"/>
        <v>4.538533402636441E-2</v>
      </c>
      <c r="K136" s="26">
        <f t="shared" si="38"/>
        <v>-0.99208294217283821</v>
      </c>
      <c r="L136" s="26">
        <f t="shared" si="39"/>
        <v>0.27050085394602513</v>
      </c>
      <c r="M136" s="26">
        <f t="shared" si="40"/>
        <v>0.58980651540051732</v>
      </c>
      <c r="N136" s="26">
        <f t="shared" si="41"/>
        <v>0.64332075011147483</v>
      </c>
      <c r="O136" s="26">
        <f t="shared" si="42"/>
        <v>3.1755457631738593E-3</v>
      </c>
      <c r="P136" s="26">
        <f t="shared" si="43"/>
        <v>0.50079388577365891</v>
      </c>
      <c r="Q136" s="26">
        <f t="shared" si="44"/>
        <v>0.12539725801414026</v>
      </c>
      <c r="R136" s="26">
        <f t="shared" si="45"/>
        <v>-2.4219594642787876</v>
      </c>
      <c r="S136" s="26">
        <f t="shared" si="46"/>
        <v>8.151343199574132E-2</v>
      </c>
      <c r="T136" s="26">
        <f t="shared" si="47"/>
        <v>1.1279045848231526</v>
      </c>
      <c r="U136" s="26">
        <f t="shared" si="48"/>
        <v>0.75545199037064736</v>
      </c>
      <c r="V136" s="26">
        <f t="shared" si="49"/>
        <v>-0.25790707300353982</v>
      </c>
      <c r="W136" s="26">
        <f t="shared" si="50"/>
        <v>0.435878265431558</v>
      </c>
      <c r="X136" s="26">
        <f t="shared" si="51"/>
        <v>0.15911666570625382</v>
      </c>
      <c r="Y136" s="26">
        <f t="shared" si="52"/>
        <v>-3.8959933929483714E-2</v>
      </c>
      <c r="Z136" s="26">
        <f t="shared" si="53"/>
        <v>0.49026124833828505</v>
      </c>
      <c r="AA136" s="26">
        <f t="shared" si="54"/>
        <v>0.11134899897334655</v>
      </c>
      <c r="AB136" s="26">
        <f t="shared" si="55"/>
        <v>0.52780852344999485</v>
      </c>
      <c r="AC136" s="26">
        <f t="shared" si="56"/>
        <v>0.29907273705398862</v>
      </c>
      <c r="AD136" s="26">
        <f t="shared" si="57"/>
        <v>0.57421582404552651</v>
      </c>
      <c r="AE136" s="26">
        <f t="shared" si="58"/>
        <v>9.0646082246615023E-2</v>
      </c>
      <c r="AF136" s="26">
        <f t="shared" si="59"/>
        <v>-1.4688364560354332</v>
      </c>
      <c r="AG136" s="26">
        <f t="shared" si="60"/>
        <v>0.18711953134119916</v>
      </c>
      <c r="AH136" s="26">
        <f t="shared" si="61"/>
        <v>0.64944706839598187</v>
      </c>
      <c r="AI136" s="26">
        <f t="shared" si="62"/>
        <v>0.65688584998499089</v>
      </c>
      <c r="AJ136" s="26">
        <f t="shared" si="63"/>
        <v>-9.3435471352298932E-2</v>
      </c>
      <c r="AK136" s="26">
        <f t="shared" si="64"/>
        <v>0.47665811127994978</v>
      </c>
      <c r="AL136" s="26">
        <f t="shared" si="65"/>
        <v>0.11360147752448449</v>
      </c>
      <c r="AM136" s="27">
        <f t="shared" si="66"/>
        <v>0.48876148349149362</v>
      </c>
    </row>
    <row r="137" spans="1:39" ht="15" customHeight="1" x14ac:dyDescent="0.2">
      <c r="A137" s="24">
        <v>126</v>
      </c>
      <c r="B137" s="29">
        <f t="shared" si="67"/>
        <v>0.96164286701378221</v>
      </c>
      <c r="C137" s="29">
        <f t="shared" si="68"/>
        <v>-1.4381511214483236</v>
      </c>
      <c r="D137" s="29">
        <f t="shared" si="69"/>
        <v>-0.99894999933780992</v>
      </c>
      <c r="E137" s="29">
        <f t="shared" si="70"/>
        <v>-0.47801519559823497</v>
      </c>
      <c r="F137" s="29">
        <f t="shared" si="71"/>
        <v>0.53870525863701713</v>
      </c>
      <c r="G137" s="29">
        <f t="shared" si="72"/>
        <v>0.59185373635701877</v>
      </c>
      <c r="H137" s="29">
        <f t="shared" si="73"/>
        <v>1.0807167628451602</v>
      </c>
      <c r="I137" s="29">
        <f t="shared" si="74"/>
        <v>-0.51632370953409035</v>
      </c>
      <c r="J137" s="29">
        <f t="shared" si="75"/>
        <v>4.4094176718573797E-2</v>
      </c>
      <c r="K137" s="26">
        <f t="shared" si="38"/>
        <v>-0.99894999933780992</v>
      </c>
      <c r="L137" s="26">
        <f t="shared" si="39"/>
        <v>0.26914791410866784</v>
      </c>
      <c r="M137" s="26">
        <f t="shared" si="40"/>
        <v>0.59185373635701877</v>
      </c>
      <c r="N137" s="26">
        <f t="shared" si="41"/>
        <v>0.64379036576419424</v>
      </c>
      <c r="O137" s="26">
        <f t="shared" si="42"/>
        <v>2.562609366942914E-3</v>
      </c>
      <c r="P137" s="26">
        <f t="shared" si="43"/>
        <v>0.50064065199114072</v>
      </c>
      <c r="Q137" s="26">
        <f t="shared" si="44"/>
        <v>0.12532053121305722</v>
      </c>
      <c r="R137" s="26">
        <f t="shared" si="45"/>
        <v>-2.4371011207861333</v>
      </c>
      <c r="S137" s="26">
        <f t="shared" si="46"/>
        <v>8.0386950988890024E-2</v>
      </c>
      <c r="T137" s="26">
        <f t="shared" si="47"/>
        <v>1.1305589949940358</v>
      </c>
      <c r="U137" s="26">
        <f t="shared" si="48"/>
        <v>0.75594204488698358</v>
      </c>
      <c r="V137" s="26">
        <f t="shared" si="49"/>
        <v>-0.25934109864255361</v>
      </c>
      <c r="W137" s="26">
        <f t="shared" si="50"/>
        <v>0.43552568763782501</v>
      </c>
      <c r="X137" s="26">
        <f t="shared" si="51"/>
        <v>0.15931562465837512</v>
      </c>
      <c r="Y137" s="26">
        <f t="shared" si="52"/>
        <v>-3.7307132324027714E-2</v>
      </c>
      <c r="Z137" s="26">
        <f t="shared" si="53"/>
        <v>0.49067429853703642</v>
      </c>
      <c r="AA137" s="26">
        <f t="shared" si="54"/>
        <v>0.1138385407587838</v>
      </c>
      <c r="AB137" s="26">
        <f t="shared" si="55"/>
        <v>0.52842894042669475</v>
      </c>
      <c r="AC137" s="26">
        <f t="shared" si="56"/>
        <v>0.30153372549855967</v>
      </c>
      <c r="AD137" s="26">
        <f t="shared" si="57"/>
        <v>0.57481740588141639</v>
      </c>
      <c r="AE137" s="26">
        <f t="shared" si="58"/>
        <v>9.0390119170704109E-2</v>
      </c>
      <c r="AF137" s="26">
        <f t="shared" si="59"/>
        <v>-1.4754582537723513</v>
      </c>
      <c r="AG137" s="26">
        <f t="shared" si="60"/>
        <v>0.18611440354518646</v>
      </c>
      <c r="AH137" s="26">
        <f t="shared" si="61"/>
        <v>0.65254379939580098</v>
      </c>
      <c r="AI137" s="26">
        <f t="shared" si="62"/>
        <v>0.65758347288271446</v>
      </c>
      <c r="AJ137" s="26">
        <f t="shared" si="63"/>
        <v>-9.4294805610327548E-2</v>
      </c>
      <c r="AK137" s="26">
        <f t="shared" si="64"/>
        <v>0.47644375023130764</v>
      </c>
      <c r="AL137" s="26">
        <f t="shared" si="65"/>
        <v>0.11349932356723633</v>
      </c>
      <c r="AM137" s="27">
        <f t="shared" si="66"/>
        <v>0.48852559860937272</v>
      </c>
    </row>
    <row r="138" spans="1:39" ht="15" customHeight="1" x14ac:dyDescent="0.2">
      <c r="A138" s="24">
        <v>127</v>
      </c>
      <c r="B138" s="29">
        <f t="shared" si="67"/>
        <v>0.97025346468573992</v>
      </c>
      <c r="C138" s="29">
        <f t="shared" si="68"/>
        <v>-1.4465198354236237</v>
      </c>
      <c r="D138" s="29">
        <f t="shared" si="69"/>
        <v>-1.0058597560764799</v>
      </c>
      <c r="E138" s="29">
        <f t="shared" si="70"/>
        <v>-0.47756834065185905</v>
      </c>
      <c r="F138" s="29">
        <f t="shared" si="71"/>
        <v>0.53930306028001018</v>
      </c>
      <c r="G138" s="29">
        <f t="shared" si="72"/>
        <v>0.59390101441418208</v>
      </c>
      <c r="H138" s="29">
        <f t="shared" si="73"/>
        <v>1.0870553578621249</v>
      </c>
      <c r="I138" s="29">
        <f t="shared" si="74"/>
        <v>-0.51523633279967251</v>
      </c>
      <c r="J138" s="29">
        <f t="shared" si="75"/>
        <v>4.2775380404539612E-2</v>
      </c>
      <c r="K138" s="26">
        <f t="shared" si="38"/>
        <v>-1.0058597560764799</v>
      </c>
      <c r="L138" s="26">
        <f t="shared" si="39"/>
        <v>0.26779088445751137</v>
      </c>
      <c r="M138" s="26">
        <f t="shared" si="40"/>
        <v>0.59390101441418208</v>
      </c>
      <c r="N138" s="26">
        <f t="shared" si="41"/>
        <v>0.64425971810309579</v>
      </c>
      <c r="O138" s="26">
        <f t="shared" si="42"/>
        <v>1.9328816147247269E-3</v>
      </c>
      <c r="P138" s="26">
        <f t="shared" si="43"/>
        <v>0.50048322025323733</v>
      </c>
      <c r="Q138" s="26">
        <f t="shared" si="44"/>
        <v>0.12524172687752524</v>
      </c>
      <c r="R138" s="26">
        <f t="shared" si="45"/>
        <v>-2.4523795915001037</v>
      </c>
      <c r="S138" s="26">
        <f t="shared" si="46"/>
        <v>7.9264708315289964E-2</v>
      </c>
      <c r="T138" s="26">
        <f t="shared" si="47"/>
        <v>1.1332040746941923</v>
      </c>
      <c r="U138" s="26">
        <f t="shared" si="48"/>
        <v>0.75642971491675359</v>
      </c>
      <c r="V138" s="26">
        <f t="shared" si="49"/>
        <v>-0.26079956606635579</v>
      </c>
      <c r="W138" s="26">
        <f t="shared" si="50"/>
        <v>0.43516716731554383</v>
      </c>
      <c r="X138" s="26">
        <f t="shared" si="51"/>
        <v>0.15951806443917343</v>
      </c>
      <c r="Y138" s="26">
        <f t="shared" si="52"/>
        <v>-3.5606291390740008E-2</v>
      </c>
      <c r="Z138" s="26">
        <f t="shared" si="53"/>
        <v>0.49109936749019417</v>
      </c>
      <c r="AA138" s="26">
        <f t="shared" si="54"/>
        <v>0.11633267376232304</v>
      </c>
      <c r="AB138" s="26">
        <f t="shared" si="55"/>
        <v>0.52905041351961568</v>
      </c>
      <c r="AC138" s="26">
        <f t="shared" si="56"/>
        <v>0.30404158414945875</v>
      </c>
      <c r="AD138" s="26">
        <f t="shared" si="57"/>
        <v>0.57543021713978759</v>
      </c>
      <c r="AE138" s="26">
        <f t="shared" si="58"/>
        <v>9.0129750258983954E-2</v>
      </c>
      <c r="AF138" s="26">
        <f t="shared" si="59"/>
        <v>-1.4821261268143637</v>
      </c>
      <c r="AG138" s="26">
        <f t="shared" si="60"/>
        <v>0.18510649516171712</v>
      </c>
      <c r="AH138" s="26">
        <f t="shared" si="61"/>
        <v>0.65563573404233322</v>
      </c>
      <c r="AI138" s="26">
        <f t="shared" si="62"/>
        <v>0.65827933631443647</v>
      </c>
      <c r="AJ138" s="26">
        <f t="shared" si="63"/>
        <v>-9.5173043455288861E-2</v>
      </c>
      <c r="AK138" s="26">
        <f t="shared" si="64"/>
        <v>0.47622468264767637</v>
      </c>
      <c r="AL138" s="26">
        <f t="shared" si="65"/>
        <v>0.11339497418144004</v>
      </c>
      <c r="AM138" s="27">
        <f t="shared" si="66"/>
        <v>0.48828451575712273</v>
      </c>
    </row>
    <row r="139" spans="1:39" ht="15" customHeight="1" x14ac:dyDescent="0.2">
      <c r="A139" s="24">
        <v>128</v>
      </c>
      <c r="B139" s="29">
        <f t="shared" si="67"/>
        <v>0.978955776266621</v>
      </c>
      <c r="C139" s="29">
        <f t="shared" si="68"/>
        <v>-1.4549833375834667</v>
      </c>
      <c r="D139" s="29">
        <f t="shared" si="69"/>
        <v>-1.0128123129560982</v>
      </c>
      <c r="E139" s="29">
        <f t="shared" si="70"/>
        <v>-0.47711663375553731</v>
      </c>
      <c r="F139" s="29">
        <f t="shared" si="71"/>
        <v>0.53989122250683008</v>
      </c>
      <c r="G139" s="29">
        <f t="shared" si="72"/>
        <v>0.59594840271937422</v>
      </c>
      <c r="H139" s="29">
        <f t="shared" si="73"/>
        <v>1.0935057254046541</v>
      </c>
      <c r="I139" s="29">
        <f t="shared" si="74"/>
        <v>-0.5141466777616267</v>
      </c>
      <c r="J139" s="29">
        <f t="shared" si="75"/>
        <v>4.1428527028755935E-2</v>
      </c>
      <c r="K139" s="26">
        <f t="shared" si="38"/>
        <v>-1.0128123129560982</v>
      </c>
      <c r="L139" s="26">
        <f t="shared" si="39"/>
        <v>0.2664298373880179</v>
      </c>
      <c r="M139" s="26">
        <f t="shared" si="40"/>
        <v>0.59594840271937422</v>
      </c>
      <c r="N139" s="26">
        <f t="shared" si="41"/>
        <v>0.64472881853984398</v>
      </c>
      <c r="O139" s="26">
        <f t="shared" si="42"/>
        <v>1.2858995217450153E-3</v>
      </c>
      <c r="P139" s="26">
        <f t="shared" si="43"/>
        <v>0.50032147483613865</v>
      </c>
      <c r="Q139" s="26">
        <f t="shared" si="44"/>
        <v>0.12516078909110445</v>
      </c>
      <c r="R139" s="26">
        <f t="shared" si="45"/>
        <v>-2.4677956505395651</v>
      </c>
      <c r="S139" s="26">
        <f t="shared" si="46"/>
        <v>7.8146888761765523E-2</v>
      </c>
      <c r="T139" s="26">
        <f t="shared" si="47"/>
        <v>1.1358396252262044</v>
      </c>
      <c r="U139" s="26">
        <f t="shared" si="48"/>
        <v>0.7569149705324355</v>
      </c>
      <c r="V139" s="26">
        <f t="shared" si="49"/>
        <v>-0.2622827201349841</v>
      </c>
      <c r="W139" s="26">
        <f t="shared" si="50"/>
        <v>0.43480264805216706</v>
      </c>
      <c r="X139" s="26">
        <f t="shared" si="51"/>
        <v>0.15972402332442126</v>
      </c>
      <c r="Y139" s="26">
        <f t="shared" si="52"/>
        <v>-3.385653668947719E-2</v>
      </c>
      <c r="Z139" s="26">
        <f t="shared" si="53"/>
        <v>0.49153667424674841</v>
      </c>
      <c r="AA139" s="26">
        <f t="shared" si="54"/>
        <v>0.1188317689638369</v>
      </c>
      <c r="AB139" s="26">
        <f t="shared" si="55"/>
        <v>0.52967303274121813</v>
      </c>
      <c r="AC139" s="26">
        <f t="shared" si="56"/>
        <v>0.30659706448011509</v>
      </c>
      <c r="AD139" s="26">
        <f t="shared" si="57"/>
        <v>0.57605442659830386</v>
      </c>
      <c r="AE139" s="26">
        <f t="shared" si="58"/>
        <v>8.9864924603446458E-2</v>
      </c>
      <c r="AF139" s="26">
        <f t="shared" si="59"/>
        <v>-1.4888398742729438</v>
      </c>
      <c r="AG139" s="26">
        <f t="shared" si="60"/>
        <v>0.18409591979530462</v>
      </c>
      <c r="AH139" s="26">
        <f t="shared" si="61"/>
        <v>0.65872299147066693</v>
      </c>
      <c r="AI139" s="26">
        <f t="shared" si="62"/>
        <v>0.65897346788506039</v>
      </c>
      <c r="AJ139" s="26">
        <f t="shared" si="63"/>
        <v>-9.6070549897604274E-2</v>
      </c>
      <c r="AK139" s="26">
        <f t="shared" si="64"/>
        <v>0.47600081815867823</v>
      </c>
      <c r="AL139" s="26">
        <f t="shared" si="65"/>
        <v>0.11328838944386553</v>
      </c>
      <c r="AM139" s="27">
        <f t="shared" si="66"/>
        <v>0.48803812646283773</v>
      </c>
    </row>
    <row r="140" spans="1:39" ht="15" customHeight="1" x14ac:dyDescent="0.2">
      <c r="A140" s="24">
        <v>129</v>
      </c>
      <c r="B140" s="29">
        <f t="shared" si="67"/>
        <v>0.98775076416231034</v>
      </c>
      <c r="C140" s="29">
        <f t="shared" si="68"/>
        <v>-1.4635422909256399</v>
      </c>
      <c r="D140" s="29">
        <f t="shared" si="69"/>
        <v>-1.0198077631449713</v>
      </c>
      <c r="E140" s="29">
        <f t="shared" si="70"/>
        <v>-0.47665975426803864</v>
      </c>
      <c r="F140" s="29">
        <f t="shared" si="71"/>
        <v>0.54046949096911023</v>
      </c>
      <c r="G140" s="29">
        <f t="shared" si="72"/>
        <v>0.5979959532399175</v>
      </c>
      <c r="H140" s="29">
        <f t="shared" si="73"/>
        <v>1.1000688174670772</v>
      </c>
      <c r="I140" s="29">
        <f t="shared" si="74"/>
        <v>-0.51305450682404019</v>
      </c>
      <c r="J140" s="29">
        <f t="shared" si="75"/>
        <v>4.0053195090051702E-2</v>
      </c>
      <c r="K140" s="26">
        <f t="shared" ref="K140:K203" si="76">0*B140+0*C140+D140</f>
        <v>-1.0198077631449713</v>
      </c>
      <c r="L140" s="26">
        <f t="shared" ref="L140:L203" si="77">1/(1+EXP(-K140))</f>
        <v>0.26506484763383442</v>
      </c>
      <c r="M140" s="26">
        <f t="shared" ref="M140:M203" si="78">0*E140+0*F140+G140</f>
        <v>0.5979959532399175</v>
      </c>
      <c r="N140" s="26">
        <f t="shared" ref="N140:N203" si="79">1/(1+EXP(-M140))</f>
        <v>0.6451976781889821</v>
      </c>
      <c r="O140" s="26">
        <f t="shared" ref="O140:O203" si="80">L140*H140+N140*I140+J140</f>
        <v>6.2119199143093051E-4</v>
      </c>
      <c r="P140" s="26">
        <f t="shared" ref="P140:P203" si="81">1/(1+EXP(-O140))</f>
        <v>0.50015529799286385</v>
      </c>
      <c r="Q140" s="26">
        <f t="shared" ref="Q140:Q203" si="82">0.5*(0-P140)^2</f>
        <v>0.12507766105516521</v>
      </c>
      <c r="R140" s="26">
        <f t="shared" ref="R140:R203" si="83">0*B140+1*C140+D140</f>
        <v>-2.4833500540706113</v>
      </c>
      <c r="S140" s="26">
        <f t="shared" ref="S140:S203" si="84">1/(1+EXP(-R140))</f>
        <v>7.7033677244222387E-2</v>
      </c>
      <c r="T140" s="26">
        <f t="shared" ref="T140:T203" si="85">0*E140+1*F140+G140</f>
        <v>1.1384654442090278</v>
      </c>
      <c r="U140" s="26">
        <f t="shared" ref="U140:U203" si="86">1/(1+EXP(-T140))</f>
        <v>0.75739778131550339</v>
      </c>
      <c r="V140" s="26">
        <f t="shared" ref="V140:V203" si="87">S140*H140+U140*I140+J140</f>
        <v>-0.2637908038412039</v>
      </c>
      <c r="W140" s="26">
        <f t="shared" ref="W140:W203" si="88">1/(1+EXP(-V140))</f>
        <v>0.4344320740352372</v>
      </c>
      <c r="X140" s="26">
        <f t="shared" ref="X140:X203" si="89">0.5*(1-W140)^2</f>
        <v>0.15993353944004171</v>
      </c>
      <c r="Y140" s="26">
        <f t="shared" ref="Y140:Y203" si="90">1*B140+0*C140+D140</f>
        <v>-3.2056998982661011E-2</v>
      </c>
      <c r="Z140" s="26">
        <f t="shared" ref="Z140:Z203" si="91">1/(1+EXP(-Y140))</f>
        <v>0.49198643650491541</v>
      </c>
      <c r="AA140" s="26">
        <f t="shared" ref="AA140:AA203" si="92">1*E140+0*F140+G140</f>
        <v>0.12133619897187886</v>
      </c>
      <c r="AB140" s="26">
        <f t="shared" ref="AB140:AB203" si="93">1/(1+EXP(-AA140))</f>
        <v>0.53029688843316547</v>
      </c>
      <c r="AC140" s="26">
        <f t="shared" ref="AC140:AC203" si="94">Z140*H140+AB140*I140+J140</f>
        <v>0.3092009239404544</v>
      </c>
      <c r="AD140" s="26">
        <f t="shared" ref="AD140:AD203" si="95">1/(1+EXP(-AC140))</f>
        <v>0.57669020375673974</v>
      </c>
      <c r="AE140" s="26">
        <f t="shared" ref="AE140:AE203" si="96">0.5*(1-AD140)^2</f>
        <v>8.9595591797755253E-2</v>
      </c>
      <c r="AF140" s="26">
        <f t="shared" ref="AF140:AF203" si="97">1*B140+1*C140+D140</f>
        <v>-1.4955992899083008</v>
      </c>
      <c r="AG140" s="26">
        <f t="shared" ref="AG140:AG203" si="98">1/(1+EXP(-AF140))</f>
        <v>0.18308279160911187</v>
      </c>
      <c r="AH140" s="26">
        <f t="shared" ref="AH140:AH203" si="99">1*E140+1*F140+G140</f>
        <v>0.66180568994098909</v>
      </c>
      <c r="AI140" s="26">
        <f t="shared" ref="AI140:AI203" si="100">1/(1+EXP(-AH140))</f>
        <v>0.65966589492565186</v>
      </c>
      <c r="AJ140" s="26">
        <f t="shared" ref="AJ140:AJ203" si="101">AG140*H140+AI140*I140+J140</f>
        <v>-9.6987695235660726E-2</v>
      </c>
      <c r="AK140" s="26">
        <f t="shared" ref="AK140:AK203" si="102">1/(1+EXP(-AJ140))</f>
        <v>0.47577206511491971</v>
      </c>
      <c r="AL140" s="26">
        <f t="shared" ref="AL140:AL203" si="103">0.5*(0-AK140)^2</f>
        <v>0.11317952897185769</v>
      </c>
      <c r="AM140" s="27">
        <f t="shared" ref="AM140:AM203" si="104">Q140+X140+AE140+AL140</f>
        <v>0.4877863212648198</v>
      </c>
    </row>
    <row r="141" spans="1:39" ht="15" customHeight="1" x14ac:dyDescent="0.2">
      <c r="A141" s="24">
        <v>130</v>
      </c>
      <c r="B141" s="29">
        <f t="shared" ref="B141:B204" si="105">B140-$C$6*(((((P140)-0)*(P140)*(1-(P140)))*H140*(L140)*(1-(L140))*0)+((((W140)-1)*(W140)*(1-(W140)))*H140*(S140)*(1-(S140))*0)+((((AD140)-1)*(AD140)*(1-(AD140)))*H140*(Z140)*(1-(Z140))*1)+((((AK140)-0)*(AK140)*(1-(AK140)))*H140*(AG140)*(1-(AG140))*1))</f>
        <v>0.9966393768552041</v>
      </c>
      <c r="C141" s="29">
        <f t="shared" ref="C141:C204" si="106">C140-$C$6*(((((P140)-0)*(P140)*(1-(P140)))*H140*(L140)*(1-(L140))*0)+((((W140)-1)*(W140)*(1-(W140)))*H140*(S140)*(1-(S140))*1)+((((AD140)-1)*(AD140)*(1-(AD140)))*H140*(Z140)*(1-(Z140))*0)+((((AK140)-0)*(AK140)*(1-(AK140)))*H140*(AG140)*(1-(AG140))*1))</f>
        <v>-1.4721973469319032</v>
      </c>
      <c r="D141" s="29">
        <f t="shared" ref="D141:D204" si="107">D140-$C$6*(((((P140)-0)*(P140)*(1-(P140)))*H140*(L140)*(1-(L140)))+((((W140)-1)*(W140)*(1-(W140)))*H140*(S140)*(1-(S140)))+((((AD140)-1)*(AD140)*(1-(AD140)))*H140*(Z140)*(1-(Z140)))+((((AK140)-0)*(AK140)*(1-(AK140)))*H140*(AG140)*(1-(AG140))))</f>
        <v>-1.0268461923031251</v>
      </c>
      <c r="E141" s="29">
        <f t="shared" ref="E141:E204" si="108">E140-$C$6*(((((P140)-0)*(P140)*(1-(P140)))*I140*(N140)*(1-(N140))*0)+((((W140)-1)*(W140)*(1-(W140)))*I140*(U140)*(1-(U140))*0)+((((AD140)-1)*(AD140)*(1-(AD140)))*I140*(AB140)*(1-(AB140))*1)+((((AK140)-0)*(AK140)*(1-(AK140)))*I140*(AI140)*(1-(AI140))*1))</f>
        <v>-0.47619737877935325</v>
      </c>
      <c r="F141" s="29">
        <f t="shared" ref="F141:F204" si="109">F140-$C$6*(((((P140)-0)*(P140)*(1-(P140)))*I140*(N140)*(1-(N140))*0)+((((W140)-1)*(W140)*(1-(W140)))*I140*(U140)*(1-(U140))*1)+((((AD140)-1)*(AD140)*(1-(AD140)))*I140*(AB140)*(1-(AB140))*0)+((((AK140)-0)*(AK140)*(1-(AK140)))*I140*(AI140)*(1-(AI140))*1))</f>
        <v>0.54103760883357188</v>
      </c>
      <c r="G141" s="29">
        <f t="shared" ref="G141:G204" si="110">G140-$C$6*(((((P140)-0)*(P140)*(1-(P140)))*I140*(N140)*(1-(N140)))+((((W140)-1)*(W140)*(1-(W140)))*I140*(U140)*(1-(U140)))+((((AD140)-1)*(AD140)*(1-(AD140)))*I140*(AB140)*(1-(AB140)))+((((AK140)-0)*(AK140)*(1-(AK140)))*I140*(AI140)*(1-(AI140))))</f>
        <v>0.60004371671260259</v>
      </c>
      <c r="H141" s="29">
        <f t="shared" ref="H141:H204" si="111">H140-$C$6*((((P140)-0)*(P140)*(1-(P140))*L140)+(((W140)-1)*(W140)*(1-(W140))*S140)+(((AD140)-1)*(AD140)*(1-(AD140))*Z140)+(((AK140)-0)*(AK140)*(1-(AK140))*AG140))</f>
        <v>1.1067455704437019</v>
      </c>
      <c r="I141" s="29">
        <f t="shared" ref="I141:I204" si="112">I140-$C$6*((((P140)-0)*(P140)*(1-(P140))*N140)+(((W140)-1)*(W140)*(1-(W140))*U140)+(((AD140)-1)*(AD140)*(1-(AD140))*AB140)+(((AK140)-0)*(AK140)*(1-(AK140))*AI140))</f>
        <v>-0.5119595792253222</v>
      </c>
      <c r="J141" s="29">
        <f t="shared" ref="J141:J204" si="113">J140-$C$6*((((P140)-0)*(P140)*(1-(P140)))+(((W140)-1)*(W140)*(1-(W140)))+(((AD140)-1)*(AD140)*(1-(AD140)))+(((AK140)-0)*(AK140)*(1-(AK140))))</f>
        <v>3.8648959838522054E-2</v>
      </c>
      <c r="K141" s="26">
        <f t="shared" si="76"/>
        <v>-1.0268461923031251</v>
      </c>
      <c r="L141" s="26">
        <f t="shared" si="77"/>
        <v>0.26369599225944779</v>
      </c>
      <c r="M141" s="26">
        <f t="shared" si="78"/>
        <v>0.60004371671260259</v>
      </c>
      <c r="N141" s="26">
        <f t="shared" si="79"/>
        <v>0.64566630785699541</v>
      </c>
      <c r="O141" s="26">
        <f t="shared" si="80"/>
        <v>-6.1720075012108855E-5</v>
      </c>
      <c r="P141" s="26">
        <f t="shared" si="81"/>
        <v>0.49998456998125185</v>
      </c>
      <c r="Q141" s="26">
        <f t="shared" si="82"/>
        <v>0.12499228510966866</v>
      </c>
      <c r="R141" s="26">
        <f t="shared" si="83"/>
        <v>-2.4990435392350285</v>
      </c>
      <c r="S141" s="26">
        <f t="shared" si="84"/>
        <v>7.5925258682620497E-2</v>
      </c>
      <c r="T141" s="26">
        <f t="shared" si="85"/>
        <v>1.1410813255461745</v>
      </c>
      <c r="U141" s="26">
        <f t="shared" si="86"/>
        <v>0.75787811635332225</v>
      </c>
      <c r="V141" s="26">
        <f t="shared" si="87"/>
        <v>-0.26532405798202213</v>
      </c>
      <c r="W141" s="26">
        <f t="shared" si="88"/>
        <v>0.43405539013673289</v>
      </c>
      <c r="X141" s="26">
        <f t="shared" si="89"/>
        <v>0.1601466507166428</v>
      </c>
      <c r="Y141" s="26">
        <f t="shared" si="90"/>
        <v>-3.0206815447921032E-2</v>
      </c>
      <c r="Z141" s="26">
        <f t="shared" si="91"/>
        <v>0.49244887029938228</v>
      </c>
      <c r="AA141" s="26">
        <f t="shared" si="92"/>
        <v>0.12384633793324934</v>
      </c>
      <c r="AB141" s="26">
        <f t="shared" si="93"/>
        <v>0.53092207124027901</v>
      </c>
      <c r="AC141" s="26">
        <f t="shared" si="94"/>
        <v>0.31185392551875873</v>
      </c>
      <c r="AD141" s="26">
        <f t="shared" si="95"/>
        <v>0.5773377186987052</v>
      </c>
      <c r="AE141" s="26">
        <f t="shared" si="96"/>
        <v>8.9321702017407426E-2</v>
      </c>
      <c r="AF141" s="26">
        <f t="shared" si="97"/>
        <v>-1.5024041623798241</v>
      </c>
      <c r="AG141" s="26">
        <f t="shared" si="98"/>
        <v>0.18206722525095004</v>
      </c>
      <c r="AH141" s="26">
        <f t="shared" si="99"/>
        <v>0.66488394676682128</v>
      </c>
      <c r="AI141" s="26">
        <f t="shared" si="100"/>
        <v>0.66035664447758957</v>
      </c>
      <c r="AJ141" s="26">
        <f t="shared" si="101"/>
        <v>-9.79248549374057E-2</v>
      </c>
      <c r="AK141" s="26">
        <f t="shared" si="102"/>
        <v>0.47553833061966017</v>
      </c>
      <c r="AL141" s="26">
        <f t="shared" si="103"/>
        <v>0.11306835194426661</v>
      </c>
      <c r="AM141" s="27">
        <f t="shared" si="104"/>
        <v>0.48752898978798548</v>
      </c>
    </row>
    <row r="142" spans="1:39" ht="15" customHeight="1" x14ac:dyDescent="0.2">
      <c r="A142" s="24">
        <v>131</v>
      </c>
      <c r="B142" s="29">
        <f t="shared" si="105"/>
        <v>1.0056225475350806</v>
      </c>
      <c r="C142" s="29">
        <f t="shared" si="106"/>
        <v>-1.4809491445765466</v>
      </c>
      <c r="D142" s="29">
        <f t="shared" si="107"/>
        <v>-1.033927678482581</v>
      </c>
      <c r="E142" s="29">
        <f t="shared" si="108"/>
        <v>-0.47572918115768942</v>
      </c>
      <c r="F142" s="29">
        <f t="shared" si="109"/>
        <v>0.54159531680537387</v>
      </c>
      <c r="G142" s="29">
        <f t="shared" si="110"/>
        <v>0.6020917425899952</v>
      </c>
      <c r="H142" s="29">
        <f t="shared" si="111"/>
        <v>1.1135369038140974</v>
      </c>
      <c r="I142" s="29">
        <f t="shared" si="112"/>
        <v>-0.5108616509957209</v>
      </c>
      <c r="J142" s="29">
        <f t="shared" si="113"/>
        <v>3.7215393490538498E-2</v>
      </c>
      <c r="K142" s="26">
        <f t="shared" si="76"/>
        <v>-1.033927678482581</v>
      </c>
      <c r="L142" s="26">
        <f t="shared" si="77"/>
        <v>0.2623233506495839</v>
      </c>
      <c r="M142" s="26">
        <f t="shared" si="78"/>
        <v>0.6020917425899952</v>
      </c>
      <c r="N142" s="26">
        <f t="shared" si="79"/>
        <v>0.64613471803068645</v>
      </c>
      <c r="O142" s="26">
        <f t="shared" si="80"/>
        <v>-7.6332364779511941E-4</v>
      </c>
      <c r="P142" s="26">
        <f t="shared" si="81"/>
        <v>0.49980916909731715</v>
      </c>
      <c r="Q142" s="26">
        <f t="shared" si="82"/>
        <v>0.12490460275687529</v>
      </c>
      <c r="R142" s="26">
        <f t="shared" si="83"/>
        <v>-2.5148768230591276</v>
      </c>
      <c r="S142" s="26">
        <f t="shared" si="84"/>
        <v>7.4821817872013169E-2</v>
      </c>
      <c r="T142" s="26">
        <f t="shared" si="85"/>
        <v>1.143687059395369</v>
      </c>
      <c r="U142" s="26">
        <f t="shared" si="86"/>
        <v>0.75835594423626773</v>
      </c>
      <c r="V142" s="26">
        <f t="shared" si="87"/>
        <v>-0.26688272081347625</v>
      </c>
      <c r="W142" s="26">
        <f t="shared" si="88"/>
        <v>0.43367254200149707</v>
      </c>
      <c r="X142" s="26">
        <f t="shared" si="89"/>
        <v>0.16036339484152304</v>
      </c>
      <c r="Y142" s="26">
        <f t="shared" si="90"/>
        <v>-2.8305130947500423E-2</v>
      </c>
      <c r="Z142" s="26">
        <f t="shared" si="91"/>
        <v>0.49292418967355145</v>
      </c>
      <c r="AA142" s="26">
        <f t="shared" si="92"/>
        <v>0.12636256143230579</v>
      </c>
      <c r="AB142" s="26">
        <f t="shared" si="93"/>
        <v>0.53154867208188583</v>
      </c>
      <c r="AC142" s="26">
        <f t="shared" si="94"/>
        <v>0.3145568372703626</v>
      </c>
      <c r="AD142" s="26">
        <f t="shared" si="95"/>
        <v>0.57799714194434193</v>
      </c>
      <c r="AE142" s="26">
        <f t="shared" si="96"/>
        <v>8.9043206103571942E-2</v>
      </c>
      <c r="AF142" s="26">
        <f t="shared" si="97"/>
        <v>-1.509254275524047</v>
      </c>
      <c r="AG142" s="26">
        <f t="shared" si="98"/>
        <v>0.18104933577589877</v>
      </c>
      <c r="AH142" s="26">
        <f t="shared" si="99"/>
        <v>0.6679578782376796</v>
      </c>
      <c r="AI142" s="26">
        <f t="shared" si="100"/>
        <v>0.66104574327557442</v>
      </c>
      <c r="AJ142" s="26">
        <f t="shared" si="101"/>
        <v>-9.8882409505421695E-2</v>
      </c>
      <c r="AK142" s="26">
        <f t="shared" si="102"/>
        <v>0.47529952056469987</v>
      </c>
      <c r="AL142" s="26">
        <f t="shared" si="103"/>
        <v>0.11295481712451678</v>
      </c>
      <c r="AM142" s="27">
        <f t="shared" si="104"/>
        <v>0.48726602082648701</v>
      </c>
    </row>
    <row r="143" spans="1:39" ht="15" customHeight="1" x14ac:dyDescent="0.2">
      <c r="A143" s="24">
        <v>132</v>
      </c>
      <c r="B143" s="29">
        <f t="shared" si="105"/>
        <v>1.0147011926831295</v>
      </c>
      <c r="C143" s="29">
        <f t="shared" si="106"/>
        <v>-1.4897983093057925</v>
      </c>
      <c r="D143" s="29">
        <f t="shared" si="107"/>
        <v>-1.0410522920375258</v>
      </c>
      <c r="E143" s="29">
        <f t="shared" si="108"/>
        <v>-0.47525483260386658</v>
      </c>
      <c r="F143" s="29">
        <f t="shared" si="109"/>
        <v>0.54214235315637305</v>
      </c>
      <c r="G143" s="29">
        <f t="shared" si="110"/>
        <v>0.60414007898342947</v>
      </c>
      <c r="H143" s="29">
        <f t="shared" si="111"/>
        <v>1.1204437187896314</v>
      </c>
      <c r="I143" s="29">
        <f t="shared" si="112"/>
        <v>-0.5097604749146174</v>
      </c>
      <c r="J143" s="29">
        <f t="shared" si="113"/>
        <v>3.5752065462632626E-2</v>
      </c>
      <c r="K143" s="26">
        <f t="shared" si="76"/>
        <v>-1.0410522920375258</v>
      </c>
      <c r="L143" s="26">
        <f t="shared" si="77"/>
        <v>0.26094700449532482</v>
      </c>
      <c r="M143" s="26">
        <f t="shared" si="78"/>
        <v>0.60414007898342947</v>
      </c>
      <c r="N143" s="26">
        <f t="shared" si="79"/>
        <v>0.64660291886484589</v>
      </c>
      <c r="O143" s="26">
        <f t="shared" si="80"/>
        <v>-1.4841134153326385E-3</v>
      </c>
      <c r="P143" s="26">
        <f t="shared" si="81"/>
        <v>0.4996289717142689</v>
      </c>
      <c r="Q143" s="26">
        <f t="shared" si="82"/>
        <v>0.12481455468812885</v>
      </c>
      <c r="R143" s="26">
        <f t="shared" si="83"/>
        <v>-2.5308506013433183</v>
      </c>
      <c r="S143" s="26">
        <f t="shared" si="84"/>
        <v>7.3723539349791062E-2</v>
      </c>
      <c r="T143" s="26">
        <f t="shared" si="85"/>
        <v>1.1462824321398024</v>
      </c>
      <c r="U143" s="26">
        <f t="shared" si="86"/>
        <v>0.75883123305508515</v>
      </c>
      <c r="V143" s="26">
        <f t="shared" si="87"/>
        <v>-0.26846702768815867</v>
      </c>
      <c r="W143" s="26">
        <f t="shared" si="88"/>
        <v>0.43328347613986523</v>
      </c>
      <c r="X143" s="26">
        <f t="shared" si="89"/>
        <v>0.16058380920805737</v>
      </c>
      <c r="Y143" s="26">
        <f t="shared" si="90"/>
        <v>-2.6351099354396279E-2</v>
      </c>
      <c r="Z143" s="26">
        <f t="shared" si="91"/>
        <v>0.49341260633676398</v>
      </c>
      <c r="AA143" s="26">
        <f t="shared" si="92"/>
        <v>0.12888524637956289</v>
      </c>
      <c r="AB143" s="26">
        <f t="shared" si="93"/>
        <v>0.53217678212044806</v>
      </c>
      <c r="AC143" s="26">
        <f t="shared" si="94"/>
        <v>0.31731043181202845</v>
      </c>
      <c r="AD143" s="26">
        <f t="shared" si="95"/>
        <v>0.57866864429371834</v>
      </c>
      <c r="AE143" s="26">
        <f t="shared" si="96"/>
        <v>8.8760055650646624E-2</v>
      </c>
      <c r="AF143" s="26">
        <f t="shared" si="97"/>
        <v>-1.5161494086601888</v>
      </c>
      <c r="AG143" s="26">
        <f t="shared" si="98"/>
        <v>0.18002923856570105</v>
      </c>
      <c r="AH143" s="26">
        <f t="shared" si="99"/>
        <v>0.67102759953593594</v>
      </c>
      <c r="AI143" s="26">
        <f t="shared" si="100"/>
        <v>0.66173321772945526</v>
      </c>
      <c r="AJ143" s="26">
        <f t="shared" si="101"/>
        <v>-9.9860744324492573E-2</v>
      </c>
      <c r="AK143" s="26">
        <f t="shared" si="102"/>
        <v>0.47505553967073444</v>
      </c>
      <c r="AL143" s="26">
        <f t="shared" si="103"/>
        <v>0.11283888288592638</v>
      </c>
      <c r="AM143" s="27">
        <f t="shared" si="104"/>
        <v>0.48699730243275918</v>
      </c>
    </row>
    <row r="144" spans="1:39" ht="15" customHeight="1" x14ac:dyDescent="0.2">
      <c r="A144" s="24">
        <v>133</v>
      </c>
      <c r="B144" s="29">
        <f t="shared" si="105"/>
        <v>1.0238762106096106</v>
      </c>
      <c r="C144" s="29">
        <f t="shared" si="106"/>
        <v>-1.4987454519882031</v>
      </c>
      <c r="D144" s="29">
        <f t="shared" si="107"/>
        <v>-1.0482200955446004</v>
      </c>
      <c r="E144" s="29">
        <f t="shared" si="108"/>
        <v>-0.47477400171345985</v>
      </c>
      <c r="F144" s="29">
        <f t="shared" si="109"/>
        <v>0.54267845375853108</v>
      </c>
      <c r="G144" s="29">
        <f t="shared" si="110"/>
        <v>0.6061887726025823</v>
      </c>
      <c r="H144" s="29">
        <f t="shared" si="111"/>
        <v>1.1274668969216592</v>
      </c>
      <c r="I144" s="29">
        <f t="shared" si="112"/>
        <v>-0.50865580046760384</v>
      </c>
      <c r="J144" s="29">
        <f t="shared" si="113"/>
        <v>3.4258542625049015E-2</v>
      </c>
      <c r="K144" s="26">
        <f t="shared" si="76"/>
        <v>-1.0482200955446004</v>
      </c>
      <c r="L144" s="26">
        <f t="shared" si="77"/>
        <v>0.25956703777693502</v>
      </c>
      <c r="M144" s="26">
        <f t="shared" si="78"/>
        <v>0.6061887726025823</v>
      </c>
      <c r="N144" s="26">
        <f t="shared" si="79"/>
        <v>0.64707092016919388</v>
      </c>
      <c r="O144" s="26">
        <f t="shared" si="80"/>
        <v>-2.2245916074132843E-3</v>
      </c>
      <c r="P144" s="26">
        <f t="shared" si="81"/>
        <v>0.49944385232750232</v>
      </c>
      <c r="Q144" s="26">
        <f t="shared" si="82"/>
        <v>0.12472208081386797</v>
      </c>
      <c r="R144" s="26">
        <f t="shared" si="83"/>
        <v>-2.5469655475328032</v>
      </c>
      <c r="S144" s="26">
        <f t="shared" si="84"/>
        <v>7.2630607259287203E-2</v>
      </c>
      <c r="T144" s="26">
        <f t="shared" si="85"/>
        <v>1.1488672263611135</v>
      </c>
      <c r="U144" s="26">
        <f t="shared" si="86"/>
        <v>0.75930395039850795</v>
      </c>
      <c r="V144" s="26">
        <f t="shared" si="87"/>
        <v>-0.27007721067495355</v>
      </c>
      <c r="W144" s="26">
        <f t="shared" si="88"/>
        <v>0.43288814002461162</v>
      </c>
      <c r="X144" s="26">
        <f t="shared" si="89"/>
        <v>0.16080793086237224</v>
      </c>
      <c r="Y144" s="26">
        <f t="shared" si="90"/>
        <v>-2.4343884934989735E-2</v>
      </c>
      <c r="Z144" s="26">
        <f t="shared" si="91"/>
        <v>0.49391432930653206</v>
      </c>
      <c r="AA144" s="26">
        <f t="shared" si="92"/>
        <v>0.13141477088912246</v>
      </c>
      <c r="AB144" s="26">
        <f t="shared" si="93"/>
        <v>0.53280649272735991</v>
      </c>
      <c r="AC144" s="26">
        <f t="shared" si="94"/>
        <v>0.32011548578085541</v>
      </c>
      <c r="AD144" s="26">
        <f t="shared" si="95"/>
        <v>0.57935239666065574</v>
      </c>
      <c r="AE144" s="26">
        <f t="shared" si="96"/>
        <v>8.8472203097567148E-2</v>
      </c>
      <c r="AF144" s="26">
        <f t="shared" si="97"/>
        <v>-1.5230893369231928</v>
      </c>
      <c r="AG144" s="26">
        <f t="shared" si="98"/>
        <v>0.17900704924511043</v>
      </c>
      <c r="AH144" s="26">
        <f t="shared" si="99"/>
        <v>0.67409322464765353</v>
      </c>
      <c r="AI144" s="26">
        <f t="shared" si="100"/>
        <v>0.662419093904832</v>
      </c>
      <c r="AJ144" s="26">
        <f t="shared" si="101"/>
        <v>-0.10086024949065084</v>
      </c>
      <c r="AK144" s="26">
        <f t="shared" si="102"/>
        <v>0.47480629153243137</v>
      </c>
      <c r="AL144" s="26">
        <f t="shared" si="103"/>
        <v>0.1127205072393901</v>
      </c>
      <c r="AM144" s="27">
        <f t="shared" si="104"/>
        <v>0.48672272201319744</v>
      </c>
    </row>
    <row r="145" spans="1:39" ht="15" customHeight="1" x14ac:dyDescent="0.2">
      <c r="A145" s="24">
        <v>134</v>
      </c>
      <c r="B145" s="29">
        <f t="shared" si="105"/>
        <v>1.0331484799457948</v>
      </c>
      <c r="C145" s="29">
        <f t="shared" si="106"/>
        <v>-1.5077911678363374</v>
      </c>
      <c r="D145" s="29">
        <f t="shared" si="107"/>
        <v>-1.0554311437334805</v>
      </c>
      <c r="E145" s="29">
        <f t="shared" si="108"/>
        <v>-0.47428635454705609</v>
      </c>
      <c r="F145" s="29">
        <f t="shared" si="109"/>
        <v>0.5432033521227122</v>
      </c>
      <c r="G145" s="29">
        <f t="shared" si="110"/>
        <v>0.60823786869152652</v>
      </c>
      <c r="H145" s="29">
        <f t="shared" si="111"/>
        <v>1.1346072986718934</v>
      </c>
      <c r="I145" s="29">
        <f t="shared" si="112"/>
        <v>-0.5075473738033599</v>
      </c>
      <c r="J145" s="29">
        <f t="shared" si="113"/>
        <v>3.2734389575757222E-2</v>
      </c>
      <c r="K145" s="26">
        <f t="shared" si="76"/>
        <v>-1.0554311437334805</v>
      </c>
      <c r="L145" s="26">
        <f t="shared" si="77"/>
        <v>0.25818353674339822</v>
      </c>
      <c r="M145" s="26">
        <f t="shared" si="78"/>
        <v>0.60823786869152652</v>
      </c>
      <c r="N145" s="26">
        <f t="shared" si="79"/>
        <v>0.64753873139457596</v>
      </c>
      <c r="O145" s="26">
        <f t="shared" si="80"/>
        <v>-2.9852677935365002E-3</v>
      </c>
      <c r="P145" s="26">
        <f t="shared" si="81"/>
        <v>0.49925368360586908</v>
      </c>
      <c r="Q145" s="26">
        <f t="shared" si="82"/>
        <v>0.12462712029701462</v>
      </c>
      <c r="R145" s="26">
        <f t="shared" si="83"/>
        <v>-2.5632223115698176</v>
      </c>
      <c r="S145" s="26">
        <f t="shared" si="84"/>
        <v>7.154320520991328E-2</v>
      </c>
      <c r="T145" s="26">
        <f t="shared" si="85"/>
        <v>1.1514412208142386</v>
      </c>
      <c r="U145" s="26">
        <f t="shared" si="86"/>
        <v>0.75977406335115316</v>
      </c>
      <c r="V145" s="26">
        <f t="shared" si="87"/>
        <v>-0.27171349816047952</v>
      </c>
      <c r="W145" s="26">
        <f t="shared" si="88"/>
        <v>0.4324864821923175</v>
      </c>
      <c r="X145" s="26">
        <f t="shared" si="89"/>
        <v>0.16103579644722535</v>
      </c>
      <c r="Y145" s="26">
        <f t="shared" si="90"/>
        <v>-2.2282663787685619E-2</v>
      </c>
      <c r="Z145" s="26">
        <f t="shared" si="91"/>
        <v>0.49442956453587911</v>
      </c>
      <c r="AA145" s="26">
        <f t="shared" si="92"/>
        <v>0.13395151414447043</v>
      </c>
      <c r="AB145" s="26">
        <f t="shared" si="93"/>
        <v>0.53343789544580034</v>
      </c>
      <c r="AC145" s="26">
        <f t="shared" si="94"/>
        <v>0.32297277925662438</v>
      </c>
      <c r="AD145" s="26">
        <f t="shared" si="95"/>
        <v>0.58004856989673714</v>
      </c>
      <c r="AE145" s="26">
        <f t="shared" si="96"/>
        <v>8.8179601822887838E-2</v>
      </c>
      <c r="AF145" s="26">
        <f t="shared" si="97"/>
        <v>-1.530073831624023</v>
      </c>
      <c r="AG145" s="26">
        <f t="shared" si="98"/>
        <v>0.17798288359539327</v>
      </c>
      <c r="AH145" s="26">
        <f t="shared" si="99"/>
        <v>0.67715486626718269</v>
      </c>
      <c r="AI145" s="26">
        <f t="shared" si="100"/>
        <v>0.66310339750239466</v>
      </c>
      <c r="AJ145" s="26">
        <f t="shared" si="101"/>
        <v>-0.10188131962066546</v>
      </c>
      <c r="AK145" s="26">
        <f t="shared" si="102"/>
        <v>0.47455167866848996</v>
      </c>
      <c r="AL145" s="26">
        <f t="shared" si="103"/>
        <v>0.11259964786354087</v>
      </c>
      <c r="AM145" s="27">
        <f t="shared" si="104"/>
        <v>0.48644216643066868</v>
      </c>
    </row>
    <row r="146" spans="1:39" ht="15" customHeight="1" x14ac:dyDescent="0.2">
      <c r="A146" s="24">
        <v>135</v>
      </c>
      <c r="B146" s="29">
        <f t="shared" si="105"/>
        <v>1.0425188580910285</v>
      </c>
      <c r="C146" s="29">
        <f t="shared" si="106"/>
        <v>-1.5169360352999839</v>
      </c>
      <c r="D146" s="29">
        <f t="shared" si="107"/>
        <v>-1.0626854834278543</v>
      </c>
      <c r="E146" s="29">
        <f t="shared" si="108"/>
        <v>-0.47379155470898765</v>
      </c>
      <c r="F146" s="29">
        <f t="shared" si="109"/>
        <v>0.54371677944312358</v>
      </c>
      <c r="G146" s="29">
        <f t="shared" si="110"/>
        <v>0.61028741096115946</v>
      </c>
      <c r="H146" s="29">
        <f t="shared" si="111"/>
        <v>1.1418657619456292</v>
      </c>
      <c r="I146" s="29">
        <f t="shared" si="112"/>
        <v>-0.50643493769035297</v>
      </c>
      <c r="J146" s="29">
        <f t="shared" si="113"/>
        <v>3.1179168935704049E-2</v>
      </c>
      <c r="K146" s="26">
        <f t="shared" si="76"/>
        <v>-1.0626854834278543</v>
      </c>
      <c r="L146" s="26">
        <f t="shared" si="77"/>
        <v>0.25679658988868737</v>
      </c>
      <c r="M146" s="26">
        <f t="shared" si="78"/>
        <v>0.61028741096115946</v>
      </c>
      <c r="N146" s="26">
        <f t="shared" si="79"/>
        <v>0.6480063616183922</v>
      </c>
      <c r="O146" s="26">
        <f t="shared" si="80"/>
        <v>-3.7666586551735048E-3</v>
      </c>
      <c r="P146" s="26">
        <f t="shared" si="81"/>
        <v>0.49905833644954434</v>
      </c>
      <c r="Q146" s="26">
        <f t="shared" si="82"/>
        <v>0.1245296115898933</v>
      </c>
      <c r="R146" s="26">
        <f t="shared" si="83"/>
        <v>-2.579621518727838</v>
      </c>
      <c r="S146" s="26">
        <f t="shared" si="84"/>
        <v>7.046151613401419E-2</v>
      </c>
      <c r="T146" s="26">
        <f t="shared" si="85"/>
        <v>1.154004190404283</v>
      </c>
      <c r="U146" s="26">
        <f t="shared" si="86"/>
        <v>0.7602415384917155</v>
      </c>
      <c r="V146" s="26">
        <f t="shared" si="87"/>
        <v>-0.27337611443175563</v>
      </c>
      <c r="W146" s="26">
        <f t="shared" si="88"/>
        <v>0.43207845234926801</v>
      </c>
      <c r="X146" s="26">
        <f t="shared" si="89"/>
        <v>0.16126744214300132</v>
      </c>
      <c r="Y146" s="26">
        <f t="shared" si="90"/>
        <v>-2.0166625336825783E-2</v>
      </c>
      <c r="Z146" s="26">
        <f t="shared" si="91"/>
        <v>0.49495851452594625</v>
      </c>
      <c r="AA146" s="26">
        <f t="shared" si="92"/>
        <v>0.13649585625217181</v>
      </c>
      <c r="AB146" s="26">
        <f t="shared" si="93"/>
        <v>0.53407108195052511</v>
      </c>
      <c r="AC146" s="26">
        <f t="shared" si="94"/>
        <v>0.32588309514651687</v>
      </c>
      <c r="AD146" s="26">
        <f t="shared" si="95"/>
        <v>0.58075733460526258</v>
      </c>
      <c r="AE146" s="26">
        <f t="shared" si="96"/>
        <v>8.7882206243641889E-2</v>
      </c>
      <c r="AF146" s="26">
        <f t="shared" si="97"/>
        <v>-1.5371026606368097</v>
      </c>
      <c r="AG146" s="26">
        <f t="shared" si="98"/>
        <v>0.17695685746521231</v>
      </c>
      <c r="AH146" s="26">
        <f t="shared" si="99"/>
        <v>0.68021263569529533</v>
      </c>
      <c r="AI146" s="26">
        <f t="shared" si="100"/>
        <v>0.66378615383596362</v>
      </c>
      <c r="AJ146" s="26">
        <f t="shared" si="101"/>
        <v>-0.10292435364091246</v>
      </c>
      <c r="AK146" s="26">
        <f t="shared" si="102"/>
        <v>0.47429160257695158</v>
      </c>
      <c r="AL146" s="26">
        <f t="shared" si="103"/>
        <v>0.11247626213750649</v>
      </c>
      <c r="AM146" s="27">
        <f t="shared" si="104"/>
        <v>0.486155522114043</v>
      </c>
    </row>
    <row r="147" spans="1:39" ht="15" customHeight="1" x14ac:dyDescent="0.2">
      <c r="A147" s="24">
        <v>136</v>
      </c>
      <c r="B147" s="29">
        <f t="shared" si="105"/>
        <v>1.0519881796159625</v>
      </c>
      <c r="C147" s="29">
        <f t="shared" si="106"/>
        <v>-1.5261806149313912</v>
      </c>
      <c r="D147" s="29">
        <f t="shared" si="107"/>
        <v>-1.0699831534968383</v>
      </c>
      <c r="E147" s="29">
        <f t="shared" si="108"/>
        <v>-0.47328926343491406</v>
      </c>
      <c r="F147" s="29">
        <f t="shared" si="109"/>
        <v>0.54421846464765633</v>
      </c>
      <c r="G147" s="29">
        <f t="shared" si="110"/>
        <v>0.61233744151791225</v>
      </c>
      <c r="H147" s="29">
        <f t="shared" si="111"/>
        <v>1.149243100588645</v>
      </c>
      <c r="I147" s="29">
        <f t="shared" si="112"/>
        <v>-0.50531823147340249</v>
      </c>
      <c r="J147" s="29">
        <f t="shared" si="113"/>
        <v>2.9592441666072167E-2</v>
      </c>
      <c r="K147" s="26">
        <f t="shared" si="76"/>
        <v>-1.0699831534968383</v>
      </c>
      <c r="L147" s="26">
        <f t="shared" si="77"/>
        <v>0.25540628792480013</v>
      </c>
      <c r="M147" s="26">
        <f t="shared" si="78"/>
        <v>0.61233744151791225</v>
      </c>
      <c r="N147" s="26">
        <f t="shared" si="79"/>
        <v>0.64847381952924155</v>
      </c>
      <c r="O147" s="26">
        <f t="shared" si="80"/>
        <v>-4.5692877307130231E-3</v>
      </c>
      <c r="P147" s="26">
        <f t="shared" si="81"/>
        <v>0.49885768005480452</v>
      </c>
      <c r="Q147" s="26">
        <f t="shared" si="82"/>
        <v>0.12442949247483086</v>
      </c>
      <c r="R147" s="26">
        <f t="shared" si="83"/>
        <v>-2.5961637684282293</v>
      </c>
      <c r="S147" s="26">
        <f t="shared" si="84"/>
        <v>6.9385722140642675E-2</v>
      </c>
      <c r="T147" s="26">
        <f t="shared" si="85"/>
        <v>1.1565559061655686</v>
      </c>
      <c r="U147" s="26">
        <f t="shared" si="86"/>
        <v>0.76070634189148301</v>
      </c>
      <c r="V147" s="26">
        <f t="shared" si="87"/>
        <v>-0.27506527923963914</v>
      </c>
      <c r="W147" s="26">
        <f t="shared" si="88"/>
        <v>0.43166400148196676</v>
      </c>
      <c r="X147" s="26">
        <f t="shared" si="89"/>
        <v>0.1615029036057449</v>
      </c>
      <c r="Y147" s="26">
        <f t="shared" si="90"/>
        <v>-1.7994973880875786E-2</v>
      </c>
      <c r="Z147" s="26">
        <f t="shared" si="91"/>
        <v>0.4955013779240996</v>
      </c>
      <c r="AA147" s="26">
        <f t="shared" si="92"/>
        <v>0.13904817808299819</v>
      </c>
      <c r="AB147" s="26">
        <f t="shared" si="93"/>
        <v>0.53470614400448646</v>
      </c>
      <c r="AC147" s="26">
        <f t="shared" si="94"/>
        <v>0.32884721853120075</v>
      </c>
      <c r="AD147" s="26">
        <f t="shared" si="95"/>
        <v>0.58147886094493439</v>
      </c>
      <c r="AE147" s="26">
        <f t="shared" si="96"/>
        <v>8.7579971917974786E-2</v>
      </c>
      <c r="AF147" s="26">
        <f t="shared" si="97"/>
        <v>-1.544175588812267</v>
      </c>
      <c r="AG147" s="26">
        <f t="shared" si="98"/>
        <v>0.17592908667914373</v>
      </c>
      <c r="AH147" s="26">
        <f t="shared" si="99"/>
        <v>0.68326664273065452</v>
      </c>
      <c r="AI147" s="26">
        <f t="shared" si="100"/>
        <v>0.66446738780919201</v>
      </c>
      <c r="AJ147" s="26">
        <f t="shared" si="101"/>
        <v>-0.10398975455455262</v>
      </c>
      <c r="AK147" s="26">
        <f t="shared" si="102"/>
        <v>0.47402596379602907</v>
      </c>
      <c r="AL147" s="26">
        <f t="shared" si="103"/>
        <v>0.11235030717637713</v>
      </c>
      <c r="AM147" s="27">
        <f t="shared" si="104"/>
        <v>0.48586267517492765</v>
      </c>
    </row>
    <row r="148" spans="1:39" ht="15" customHeight="1" x14ac:dyDescent="0.2">
      <c r="A148" s="24">
        <v>137</v>
      </c>
      <c r="B148" s="29">
        <f t="shared" si="105"/>
        <v>1.0615572546232019</v>
      </c>
      <c r="C148" s="29">
        <f t="shared" si="106"/>
        <v>-1.5355254482230163</v>
      </c>
      <c r="D148" s="29">
        <f t="shared" si="107"/>
        <v>-1.0773241848167967</v>
      </c>
      <c r="E148" s="29">
        <f t="shared" si="108"/>
        <v>-0.4727791396886255</v>
      </c>
      <c r="F148" s="29">
        <f t="shared" si="109"/>
        <v>0.54470813445439215</v>
      </c>
      <c r="G148" s="29">
        <f t="shared" si="110"/>
        <v>0.61438800078864353</v>
      </c>
      <c r="H148" s="29">
        <f t="shared" si="111"/>
        <v>1.1567401028487561</v>
      </c>
      <c r="I148" s="29">
        <f t="shared" si="112"/>
        <v>-0.50419699103015847</v>
      </c>
      <c r="J148" s="29">
        <f t="shared" si="113"/>
        <v>2.7973767408293188E-2</v>
      </c>
      <c r="K148" s="26">
        <f t="shared" si="76"/>
        <v>-1.0773241848167967</v>
      </c>
      <c r="L148" s="26">
        <f t="shared" si="77"/>
        <v>0.2540127237516156</v>
      </c>
      <c r="M148" s="26">
        <f t="shared" si="78"/>
        <v>0.61438800078864353</v>
      </c>
      <c r="N148" s="26">
        <f t="shared" si="79"/>
        <v>0.64894111341076677</v>
      </c>
      <c r="O148" s="26">
        <f t="shared" si="80"/>
        <v>-5.3936851318397705E-3</v>
      </c>
      <c r="P148" s="26">
        <f t="shared" si="81"/>
        <v>0.49865158198603515</v>
      </c>
      <c r="Q148" s="26">
        <f t="shared" si="82"/>
        <v>0.12432670010858776</v>
      </c>
      <c r="R148" s="26">
        <f t="shared" si="83"/>
        <v>-2.6128496330398132</v>
      </c>
      <c r="S148" s="26">
        <f t="shared" si="84"/>
        <v>6.8316004366470978E-2</v>
      </c>
      <c r="T148" s="26">
        <f t="shared" si="85"/>
        <v>1.1590961352430358</v>
      </c>
      <c r="U148" s="26">
        <f t="shared" si="86"/>
        <v>0.76116843911319609</v>
      </c>
      <c r="V148" s="26">
        <f t="shared" si="87"/>
        <v>-0.27678120734261491</v>
      </c>
      <c r="W148" s="26">
        <f t="shared" si="88"/>
        <v>0.43124308197235411</v>
      </c>
      <c r="X148" s="26">
        <f t="shared" si="89"/>
        <v>0.16174221590215318</v>
      </c>
      <c r="Y148" s="26">
        <f t="shared" si="90"/>
        <v>-1.5766930193594764E-2</v>
      </c>
      <c r="Z148" s="26">
        <f t="shared" si="91"/>
        <v>0.49605834910784558</v>
      </c>
      <c r="AA148" s="26">
        <f t="shared" si="92"/>
        <v>0.14160886110001802</v>
      </c>
      <c r="AB148" s="26">
        <f t="shared" si="93"/>
        <v>0.53534317341216586</v>
      </c>
      <c r="AC148" s="26">
        <f t="shared" si="94"/>
        <v>0.33186593597133629</v>
      </c>
      <c r="AD148" s="26">
        <f t="shared" si="95"/>
        <v>0.58221331842307711</v>
      </c>
      <c r="AE148" s="26">
        <f t="shared" si="96"/>
        <v>8.7272855651528577E-2</v>
      </c>
      <c r="AF148" s="26">
        <f t="shared" si="97"/>
        <v>-1.5512923784166111</v>
      </c>
      <c r="AG148" s="26">
        <f t="shared" si="98"/>
        <v>0.17489968694410463</v>
      </c>
      <c r="AH148" s="26">
        <f t="shared" si="99"/>
        <v>0.68631699555441017</v>
      </c>
      <c r="AI148" s="26">
        <f t="shared" si="100"/>
        <v>0.66514712389089936</v>
      </c>
      <c r="AJ148" s="26">
        <f t="shared" si="101"/>
        <v>-0.10507792918592349</v>
      </c>
      <c r="AK148" s="26">
        <f t="shared" si="102"/>
        <v>0.47375466197073118</v>
      </c>
      <c r="AL148" s="26">
        <f t="shared" si="103"/>
        <v>0.11222173986950089</v>
      </c>
      <c r="AM148" s="27">
        <f t="shared" si="104"/>
        <v>0.48556351153177041</v>
      </c>
    </row>
    <row r="149" spans="1:39" ht="15" customHeight="1" x14ac:dyDescent="0.2">
      <c r="A149" s="24">
        <v>138</v>
      </c>
      <c r="B149" s="29">
        <f t="shared" si="105"/>
        <v>1.0712268670668561</v>
      </c>
      <c r="C149" s="29">
        <f t="shared" si="106"/>
        <v>-1.5449710564184105</v>
      </c>
      <c r="D149" s="29">
        <f t="shared" si="107"/>
        <v>-1.0847086002434529</v>
      </c>
      <c r="E149" s="29">
        <f t="shared" si="108"/>
        <v>-0.47226084026844373</v>
      </c>
      <c r="F149" s="29">
        <f t="shared" si="109"/>
        <v>0.54518551343454646</v>
      </c>
      <c r="G149" s="29">
        <f t="shared" si="110"/>
        <v>0.61643912744163221</v>
      </c>
      <c r="H149" s="29">
        <f t="shared" si="111"/>
        <v>1.1643575298031665</v>
      </c>
      <c r="I149" s="29">
        <f t="shared" si="112"/>
        <v>-0.50307094872756375</v>
      </c>
      <c r="J149" s="29">
        <f t="shared" si="113"/>
        <v>2.6322704847536821E-2</v>
      </c>
      <c r="K149" s="26">
        <f t="shared" si="76"/>
        <v>-1.0847086002434529</v>
      </c>
      <c r="L149" s="26">
        <f t="shared" si="77"/>
        <v>0.25261599242363952</v>
      </c>
      <c r="M149" s="26">
        <f t="shared" si="78"/>
        <v>0.61643912744163221</v>
      </c>
      <c r="N149" s="26">
        <f t="shared" si="79"/>
        <v>0.64940825112468015</v>
      </c>
      <c r="O149" s="26">
        <f t="shared" si="80"/>
        <v>-6.2403872300995922E-3</v>
      </c>
      <c r="P149" s="26">
        <f t="shared" si="81"/>
        <v>0.49843990825528584</v>
      </c>
      <c r="Q149" s="26">
        <f t="shared" si="82"/>
        <v>0.12422117107076888</v>
      </c>
      <c r="R149" s="26">
        <f t="shared" si="83"/>
        <v>-2.6296796566618634</v>
      </c>
      <c r="S149" s="26">
        <f t="shared" si="84"/>
        <v>6.7252542824072017E-2</v>
      </c>
      <c r="T149" s="26">
        <f t="shared" si="85"/>
        <v>1.1616246408761786</v>
      </c>
      <c r="U149" s="26">
        <f t="shared" si="86"/>
        <v>0.76162779521027835</v>
      </c>
      <c r="V149" s="26">
        <f t="shared" si="87"/>
        <v>-0.27852410803056238</v>
      </c>
      <c r="W149" s="26">
        <f t="shared" si="88"/>
        <v>0.43081564771779868</v>
      </c>
      <c r="X149" s="26">
        <f t="shared" si="89"/>
        <v>0.16198541344145453</v>
      </c>
      <c r="Y149" s="26">
        <f t="shared" si="90"/>
        <v>-1.3481733176596844E-2</v>
      </c>
      <c r="Z149" s="26">
        <f t="shared" si="91"/>
        <v>0.49662961775494635</v>
      </c>
      <c r="AA149" s="26">
        <f t="shared" si="92"/>
        <v>0.14417828717318848</v>
      </c>
      <c r="AB149" s="26">
        <f t="shared" si="93"/>
        <v>0.53598226196951015</v>
      </c>
      <c r="AC149" s="26">
        <f t="shared" si="94"/>
        <v>0.33494003477362988</v>
      </c>
      <c r="AD149" s="26">
        <f t="shared" si="95"/>
        <v>0.58296087567821997</v>
      </c>
      <c r="AE149" s="26">
        <f t="shared" si="96"/>
        <v>8.6960815607538544E-2</v>
      </c>
      <c r="AF149" s="26">
        <f t="shared" si="97"/>
        <v>-1.5584527895950073</v>
      </c>
      <c r="AG149" s="26">
        <f t="shared" si="98"/>
        <v>0.17386877375399443</v>
      </c>
      <c r="AH149" s="26">
        <f t="shared" si="99"/>
        <v>0.68936380060773494</v>
      </c>
      <c r="AI149" s="26">
        <f t="shared" si="100"/>
        <v>0.66582538608900166</v>
      </c>
      <c r="AJ149" s="26">
        <f t="shared" si="101"/>
        <v>-0.10618928790104709</v>
      </c>
      <c r="AK149" s="26">
        <f t="shared" si="102"/>
        <v>0.47347759592555588</v>
      </c>
      <c r="AL149" s="26">
        <f t="shared" si="103"/>
        <v>0.11209051692172199</v>
      </c>
      <c r="AM149" s="27">
        <f t="shared" si="104"/>
        <v>0.48525791704148397</v>
      </c>
    </row>
    <row r="150" spans="1:39" ht="15" customHeight="1" x14ac:dyDescent="0.2">
      <c r="A150" s="24">
        <v>139</v>
      </c>
      <c r="B150" s="29">
        <f t="shared" si="105"/>
        <v>1.0809977730327032</v>
      </c>
      <c r="C150" s="29">
        <f t="shared" si="106"/>
        <v>-1.5545179392969795</v>
      </c>
      <c r="D150" s="29">
        <f t="shared" si="107"/>
        <v>-1.0921364145940953</v>
      </c>
      <c r="E150" s="29">
        <f t="shared" si="108"/>
        <v>-0.47173401992359715</v>
      </c>
      <c r="F150" s="29">
        <f t="shared" si="109"/>
        <v>0.54565032408212466</v>
      </c>
      <c r="G150" s="29">
        <f t="shared" si="110"/>
        <v>0.6184908583035853</v>
      </c>
      <c r="H150" s="29">
        <f t="shared" si="111"/>
        <v>1.1720961137529395</v>
      </c>
      <c r="I150" s="29">
        <f t="shared" si="112"/>
        <v>-0.50193983337838355</v>
      </c>
      <c r="J150" s="29">
        <f t="shared" si="113"/>
        <v>2.4638812100368099E-2</v>
      </c>
      <c r="K150" s="26">
        <f t="shared" si="76"/>
        <v>-1.0921364145940953</v>
      </c>
      <c r="L150" s="26">
        <f t="shared" si="77"/>
        <v>0.25121619111372795</v>
      </c>
      <c r="M150" s="26">
        <f t="shared" si="78"/>
        <v>0.6184908583035853</v>
      </c>
      <c r="N150" s="26">
        <f t="shared" si="79"/>
        <v>0.64987524009295983</v>
      </c>
      <c r="O150" s="26">
        <f t="shared" si="80"/>
        <v>-7.1099363124128706E-3</v>
      </c>
      <c r="P150" s="26">
        <f t="shared" si="81"/>
        <v>0.49822252340968748</v>
      </c>
      <c r="Q150" s="26">
        <f t="shared" si="82"/>
        <v>0.1241128414163583</v>
      </c>
      <c r="R150" s="26">
        <f t="shared" si="83"/>
        <v>-2.6466543538910745</v>
      </c>
      <c r="S150" s="26">
        <f t="shared" si="84"/>
        <v>6.6195516247815681E-2</v>
      </c>
      <c r="T150" s="26">
        <f t="shared" si="85"/>
        <v>1.16414118238571</v>
      </c>
      <c r="U150" s="26">
        <f t="shared" si="86"/>
        <v>0.76208437472646418</v>
      </c>
      <c r="V150" s="26">
        <f t="shared" si="87"/>
        <v>-0.28029418462816863</v>
      </c>
      <c r="W150" s="26">
        <f t="shared" si="88"/>
        <v>0.43038165425592251</v>
      </c>
      <c r="X150" s="26">
        <f t="shared" si="89"/>
        <v>0.16223252990410975</v>
      </c>
      <c r="Y150" s="26">
        <f t="shared" si="90"/>
        <v>-1.1138641561392104E-2</v>
      </c>
      <c r="Z150" s="26">
        <f t="shared" si="91"/>
        <v>0.49721536840020858</v>
      </c>
      <c r="AA150" s="26">
        <f t="shared" si="92"/>
        <v>0.14675683837998815</v>
      </c>
      <c r="AB150" s="26">
        <f t="shared" si="93"/>
        <v>0.53662350141035975</v>
      </c>
      <c r="AC150" s="26">
        <f t="shared" si="94"/>
        <v>0.33807030221564799</v>
      </c>
      <c r="AD150" s="26">
        <f t="shared" si="95"/>
        <v>0.58372170025190073</v>
      </c>
      <c r="AE150" s="26">
        <f t="shared" si="96"/>
        <v>8.6643811420584194E-2</v>
      </c>
      <c r="AF150" s="26">
        <f t="shared" si="97"/>
        <v>-1.5656565808583716</v>
      </c>
      <c r="AG150" s="26">
        <f t="shared" si="98"/>
        <v>0.1728364622928778</v>
      </c>
      <c r="AH150" s="26">
        <f t="shared" si="99"/>
        <v>0.69240716246211287</v>
      </c>
      <c r="AI150" s="26">
        <f t="shared" si="100"/>
        <v>0.6665021979230128</v>
      </c>
      <c r="AJ150" s="26">
        <f t="shared" si="101"/>
        <v>-0.10732424430314681</v>
      </c>
      <c r="AK150" s="26">
        <f t="shared" si="102"/>
        <v>0.47319466374353047</v>
      </c>
      <c r="AL150" s="26">
        <f t="shared" si="103"/>
        <v>0.11195659489767644</v>
      </c>
      <c r="AM150" s="27">
        <f t="shared" si="104"/>
        <v>0.4849457776387287</v>
      </c>
    </row>
    <row r="151" spans="1:39" ht="15" customHeight="1" x14ac:dyDescent="0.2">
      <c r="A151" s="24">
        <v>140</v>
      </c>
      <c r="B151" s="29">
        <f t="shared" si="105"/>
        <v>1.0908706989809287</v>
      </c>
      <c r="C151" s="29">
        <f t="shared" si="106"/>
        <v>-1.5641665739334663</v>
      </c>
      <c r="D151" s="29">
        <f t="shared" si="107"/>
        <v>-1.0996076346395944</v>
      </c>
      <c r="E151" s="29">
        <f t="shared" si="108"/>
        <v>-0.47119833148094603</v>
      </c>
      <c r="F151" s="29">
        <f t="shared" si="109"/>
        <v>0.54610228689057394</v>
      </c>
      <c r="G151" s="29">
        <f t="shared" si="110"/>
        <v>0.62054322827258734</v>
      </c>
      <c r="H151" s="29">
        <f t="shared" si="111"/>
        <v>1.1799565565860832</v>
      </c>
      <c r="I151" s="29">
        <f t="shared" si="112"/>
        <v>-0.50080337019790799</v>
      </c>
      <c r="J151" s="29">
        <f t="shared" si="113"/>
        <v>2.2921647127226011E-2</v>
      </c>
      <c r="K151" s="26">
        <f t="shared" si="76"/>
        <v>-1.0996076346395944</v>
      </c>
      <c r="L151" s="26">
        <f t="shared" si="77"/>
        <v>0.24981341907389393</v>
      </c>
      <c r="M151" s="26">
        <f t="shared" si="78"/>
        <v>0.62054322827258734</v>
      </c>
      <c r="N151" s="26">
        <f t="shared" si="79"/>
        <v>0.65034208727920262</v>
      </c>
      <c r="O151" s="26">
        <f t="shared" si="80"/>
        <v>-8.002880204312654E-3</v>
      </c>
      <c r="P151" s="26">
        <f t="shared" si="81"/>
        <v>0.49799929062704507</v>
      </c>
      <c r="Q151" s="26">
        <f t="shared" si="82"/>
        <v>0.12400164673252005</v>
      </c>
      <c r="R151" s="26">
        <f t="shared" si="83"/>
        <v>-2.6637742085730607</v>
      </c>
      <c r="S151" s="26">
        <f t="shared" si="84"/>
        <v>6.5145101937641364E-2</v>
      </c>
      <c r="T151" s="26">
        <f t="shared" si="85"/>
        <v>1.1666455151631614</v>
      </c>
      <c r="U151" s="26">
        <f t="shared" si="86"/>
        <v>0.76253814169585454</v>
      </c>
      <c r="V151" s="26">
        <f t="shared" si="87"/>
        <v>-0.28209163397771919</v>
      </c>
      <c r="W151" s="26">
        <f t="shared" si="88"/>
        <v>0.42994105889429973</v>
      </c>
      <c r="X151" s="26">
        <f t="shared" si="89"/>
        <v>0.16248359816727609</v>
      </c>
      <c r="Y151" s="26">
        <f t="shared" si="90"/>
        <v>-8.7369356586657343E-3</v>
      </c>
      <c r="Z151" s="26">
        <f t="shared" si="91"/>
        <v>0.49781577997951154</v>
      </c>
      <c r="AA151" s="26">
        <f t="shared" si="92"/>
        <v>0.14934489679164131</v>
      </c>
      <c r="AB151" s="26">
        <f t="shared" si="93"/>
        <v>0.5372669833492616</v>
      </c>
      <c r="AC151" s="26">
        <f t="shared" si="94"/>
        <v>0.34125752472869214</v>
      </c>
      <c r="AD151" s="26">
        <f t="shared" si="95"/>
        <v>0.58449595834957491</v>
      </c>
      <c r="AE151" s="26">
        <f t="shared" si="96"/>
        <v>8.6321804313919101E-2</v>
      </c>
      <c r="AF151" s="26">
        <f t="shared" si="97"/>
        <v>-1.572903509592132</v>
      </c>
      <c r="AG151" s="26">
        <f t="shared" si="98"/>
        <v>0.1718028673370624</v>
      </c>
      <c r="AH151" s="26">
        <f t="shared" si="99"/>
        <v>0.69544718368221525</v>
      </c>
      <c r="AI151" s="26">
        <f t="shared" si="100"/>
        <v>0.66717758239509117</v>
      </c>
      <c r="AJ151" s="26">
        <f t="shared" si="101"/>
        <v>-0.10848321490207226</v>
      </c>
      <c r="AK151" s="26">
        <f t="shared" si="102"/>
        <v>0.47290576285187313</v>
      </c>
      <c r="AL151" s="26">
        <f t="shared" si="103"/>
        <v>0.11181993026925603</v>
      </c>
      <c r="AM151" s="27">
        <f t="shared" si="104"/>
        <v>0.48462697948297129</v>
      </c>
    </row>
    <row r="152" spans="1:39" ht="15" customHeight="1" x14ac:dyDescent="0.2">
      <c r="A152" s="24">
        <v>141</v>
      </c>
      <c r="B152" s="29">
        <f t="shared" si="105"/>
        <v>1.1008463399536543</v>
      </c>
      <c r="C152" s="29">
        <f t="shared" si="106"/>
        <v>-1.5739174134331322</v>
      </c>
      <c r="D152" s="29">
        <f t="shared" si="107"/>
        <v>-1.1071222591058543</v>
      </c>
      <c r="E152" s="29">
        <f t="shared" si="108"/>
        <v>-0.47065342598243132</v>
      </c>
      <c r="F152" s="29">
        <f t="shared" si="109"/>
        <v>0.54654112043671665</v>
      </c>
      <c r="G152" s="29">
        <f t="shared" si="110"/>
        <v>0.62259627022692454</v>
      </c>
      <c r="H152" s="29">
        <f t="shared" si="111"/>
        <v>1.1879395281109471</v>
      </c>
      <c r="I152" s="29">
        <f t="shared" si="112"/>
        <v>-0.49966128076095068</v>
      </c>
      <c r="J152" s="29">
        <f t="shared" si="113"/>
        <v>2.1170768170332629E-2</v>
      </c>
      <c r="K152" s="26">
        <f t="shared" si="76"/>
        <v>-1.1071222591058543</v>
      </c>
      <c r="L152" s="26">
        <f t="shared" si="77"/>
        <v>0.24840777759332283</v>
      </c>
      <c r="M152" s="26">
        <f t="shared" si="78"/>
        <v>0.62259627022692454</v>
      </c>
      <c r="N152" s="26">
        <f t="shared" si="79"/>
        <v>0.6508087991691226</v>
      </c>
      <c r="O152" s="26">
        <f t="shared" si="80"/>
        <v>-8.9197718597064518E-3</v>
      </c>
      <c r="P152" s="26">
        <f t="shared" si="81"/>
        <v>0.49777007181991062</v>
      </c>
      <c r="Q152" s="26">
        <f t="shared" si="82"/>
        <v>0.12388752219979948</v>
      </c>
      <c r="R152" s="26">
        <f t="shared" si="83"/>
        <v>-2.6810396725389865</v>
      </c>
      <c r="S152" s="26">
        <f t="shared" si="84"/>
        <v>6.4101475600979979E-2</v>
      </c>
      <c r="T152" s="26">
        <f t="shared" si="85"/>
        <v>1.1691373906636411</v>
      </c>
      <c r="U152" s="26">
        <f t="shared" si="86"/>
        <v>0.76298905964343156</v>
      </c>
      <c r="V152" s="26">
        <f t="shared" si="87"/>
        <v>-0.2839166459010542</v>
      </c>
      <c r="W152" s="26">
        <f t="shared" si="88"/>
        <v>0.42949382084505761</v>
      </c>
      <c r="X152" s="26">
        <f t="shared" si="89"/>
        <v>0.16273865022698561</v>
      </c>
      <c r="Y152" s="26">
        <f t="shared" si="90"/>
        <v>-6.275919152199938E-3</v>
      </c>
      <c r="Z152" s="26">
        <f t="shared" si="91"/>
        <v>0.49843102536173478</v>
      </c>
      <c r="AA152" s="26">
        <f t="shared" si="92"/>
        <v>0.15194284424449322</v>
      </c>
      <c r="AB152" s="26">
        <f t="shared" si="93"/>
        <v>0.53791279922056523</v>
      </c>
      <c r="AC152" s="26">
        <f t="shared" si="94"/>
        <v>0.34450248703815156</v>
      </c>
      <c r="AD152" s="26">
        <f t="shared" si="95"/>
        <v>0.5852838145905539</v>
      </c>
      <c r="AE152" s="26">
        <f t="shared" si="96"/>
        <v>8.5994757220281035E-2</v>
      </c>
      <c r="AF152" s="26">
        <f t="shared" si="97"/>
        <v>-1.5801933325853321</v>
      </c>
      <c r="AG152" s="26">
        <f t="shared" si="98"/>
        <v>0.17076810315644952</v>
      </c>
      <c r="AH152" s="26">
        <f t="shared" si="99"/>
        <v>0.69848396468120988</v>
      </c>
      <c r="AI152" s="26">
        <f t="shared" si="100"/>
        <v>0.6678515619596086</v>
      </c>
      <c r="AJ152" s="26">
        <f t="shared" si="101"/>
        <v>-0.10966661875653265</v>
      </c>
      <c r="AK152" s="26">
        <f t="shared" si="102"/>
        <v>0.47261079011455054</v>
      </c>
      <c r="AL152" s="26">
        <f t="shared" si="103"/>
        <v>0.11168047946634987</v>
      </c>
      <c r="AM152" s="27">
        <f t="shared" si="104"/>
        <v>0.48430140911341601</v>
      </c>
    </row>
    <row r="153" spans="1:39" ht="15" customHeight="1" x14ac:dyDescent="0.2">
      <c r="A153" s="24">
        <v>142</v>
      </c>
      <c r="B153" s="29">
        <f t="shared" si="105"/>
        <v>1.1109253577497393</v>
      </c>
      <c r="C153" s="29">
        <f t="shared" si="106"/>
        <v>-1.5837708856437374</v>
      </c>
      <c r="D153" s="29">
        <f t="shared" si="107"/>
        <v>-1.1146802786842247</v>
      </c>
      <c r="E153" s="29">
        <f t="shared" si="108"/>
        <v>-0.47009895283361686</v>
      </c>
      <c r="F153" s="29">
        <f t="shared" si="109"/>
        <v>0.54696654147225543</v>
      </c>
      <c r="G153" s="29">
        <f t="shared" si="110"/>
        <v>0.6246500149297276</v>
      </c>
      <c r="H153" s="29">
        <f t="shared" si="111"/>
        <v>1.1960456643618131</v>
      </c>
      <c r="I153" s="29">
        <f t="shared" si="112"/>
        <v>-0.49851328295929159</v>
      </c>
      <c r="J153" s="29">
        <f t="shared" si="113"/>
        <v>1.9385734217590975E-2</v>
      </c>
      <c r="K153" s="26">
        <f t="shared" si="76"/>
        <v>-1.1146802786842247</v>
      </c>
      <c r="L153" s="26">
        <f t="shared" si="77"/>
        <v>0.2469993699537382</v>
      </c>
      <c r="M153" s="26">
        <f t="shared" si="78"/>
        <v>0.6246500149297276</v>
      </c>
      <c r="N153" s="26">
        <f t="shared" si="79"/>
        <v>0.65127538175018873</v>
      </c>
      <c r="O153" s="26">
        <f t="shared" si="80"/>
        <v>-9.8611689159934374E-3</v>
      </c>
      <c r="P153" s="26">
        <f t="shared" si="81"/>
        <v>0.49753472774843699</v>
      </c>
      <c r="Q153" s="26">
        <f t="shared" si="82"/>
        <v>0.12377040265785566</v>
      </c>
      <c r="R153" s="26">
        <f t="shared" si="83"/>
        <v>-2.6984511643279623</v>
      </c>
      <c r="S153" s="26">
        <f t="shared" si="84"/>
        <v>6.306481119311147E-2</v>
      </c>
      <c r="T153" s="26">
        <f t="shared" si="85"/>
        <v>1.1716165564019829</v>
      </c>
      <c r="U153" s="26">
        <f t="shared" si="86"/>
        <v>0.76343709158606421</v>
      </c>
      <c r="V153" s="26">
        <f t="shared" si="87"/>
        <v>-0.28576940264055389</v>
      </c>
      <c r="W153" s="26">
        <f t="shared" si="88"/>
        <v>0.42903990136438425</v>
      </c>
      <c r="X153" s="26">
        <f t="shared" si="89"/>
        <v>0.16299771711699607</v>
      </c>
      <c r="Y153" s="26">
        <f t="shared" si="90"/>
        <v>-3.7549209344853729E-3</v>
      </c>
      <c r="Z153" s="26">
        <f t="shared" si="91"/>
        <v>0.49906127086934055</v>
      </c>
      <c r="AA153" s="26">
        <f t="shared" si="92"/>
        <v>0.15455106209611075</v>
      </c>
      <c r="AB153" s="26">
        <f t="shared" si="93"/>
        <v>0.53856104021370033</v>
      </c>
      <c r="AC153" s="26">
        <f t="shared" si="94"/>
        <v>0.34780597126085933</v>
      </c>
      <c r="AD153" s="26">
        <f t="shared" si="95"/>
        <v>0.58608543174692929</v>
      </c>
      <c r="AE153" s="26">
        <f t="shared" si="96"/>
        <v>8.5662634906062962E-2</v>
      </c>
      <c r="AF153" s="26">
        <f t="shared" si="97"/>
        <v>-1.5875258065782227</v>
      </c>
      <c r="AG153" s="26">
        <f t="shared" si="98"/>
        <v>0.16973228341555854</v>
      </c>
      <c r="AH153" s="26">
        <f t="shared" si="99"/>
        <v>0.70151760356836612</v>
      </c>
      <c r="AI153" s="26">
        <f t="shared" si="100"/>
        <v>0.66852415849122693</v>
      </c>
      <c r="AJ153" s="26">
        <f t="shared" si="101"/>
        <v>-0.11087487708805906</v>
      </c>
      <c r="AK153" s="26">
        <f t="shared" si="102"/>
        <v>0.47230964193199981</v>
      </c>
      <c r="AL153" s="26">
        <f t="shared" si="103"/>
        <v>0.11153819893096693</v>
      </c>
      <c r="AM153" s="27">
        <f t="shared" si="104"/>
        <v>0.48396895361188164</v>
      </c>
    </row>
    <row r="154" spans="1:39" ht="15" customHeight="1" x14ac:dyDescent="0.2">
      <c r="A154" s="24">
        <v>143</v>
      </c>
      <c r="B154" s="29">
        <f t="shared" si="105"/>
        <v>1.1211083790696068</v>
      </c>
      <c r="C154" s="29">
        <f t="shared" si="106"/>
        <v>-1.5937273918455652</v>
      </c>
      <c r="D154" s="29">
        <f t="shared" si="107"/>
        <v>-1.122281676050302</v>
      </c>
      <c r="E154" s="29">
        <f t="shared" si="108"/>
        <v>-0.46953455996368831</v>
      </c>
      <c r="F154" s="29">
        <f t="shared" si="109"/>
        <v>0.54737826502314424</v>
      </c>
      <c r="G154" s="29">
        <f t="shared" si="110"/>
        <v>0.62670449092938663</v>
      </c>
      <c r="H154" s="29">
        <f t="shared" si="111"/>
        <v>1.2042755658787776</v>
      </c>
      <c r="I154" s="29">
        <f t="shared" si="112"/>
        <v>-0.49735909095973657</v>
      </c>
      <c r="J154" s="29">
        <f t="shared" si="113"/>
        <v>1.7566105492967971E-2</v>
      </c>
      <c r="K154" s="26">
        <f t="shared" si="76"/>
        <v>-1.122281676050302</v>
      </c>
      <c r="L154" s="26">
        <f t="shared" si="77"/>
        <v>0.24558830138228049</v>
      </c>
      <c r="M154" s="26">
        <f t="shared" si="78"/>
        <v>0.62670449092938663</v>
      </c>
      <c r="N154" s="26">
        <f t="shared" si="79"/>
        <v>0.6517418404903953</v>
      </c>
      <c r="O154" s="26">
        <f t="shared" si="80"/>
        <v>-1.0827633213407045E-2</v>
      </c>
      <c r="P154" s="26">
        <f t="shared" si="81"/>
        <v>0.49729311814230021</v>
      </c>
      <c r="Q154" s="26">
        <f t="shared" si="82"/>
        <v>0.12365022267584587</v>
      </c>
      <c r="R154" s="26">
        <f t="shared" si="83"/>
        <v>-2.7160090678958673</v>
      </c>
      <c r="S154" s="26">
        <f t="shared" si="84"/>
        <v>6.2035280756256382E-2</v>
      </c>
      <c r="T154" s="26">
        <f t="shared" si="85"/>
        <v>1.1740827559525309</v>
      </c>
      <c r="U154" s="26">
        <f t="shared" si="86"/>
        <v>0.76388220003404306</v>
      </c>
      <c r="V154" s="26">
        <f t="shared" si="87"/>
        <v>-0.28765007827909783</v>
      </c>
      <c r="W154" s="26">
        <f t="shared" si="88"/>
        <v>0.42857926389692974</v>
      </c>
      <c r="X154" s="26">
        <f t="shared" si="89"/>
        <v>0.16326082882428736</v>
      </c>
      <c r="Y154" s="26">
        <f t="shared" si="90"/>
        <v>-1.1732969806952376E-3</v>
      </c>
      <c r="Z154" s="26">
        <f t="shared" si="91"/>
        <v>0.49970667578847594</v>
      </c>
      <c r="AA154" s="26">
        <f t="shared" si="92"/>
        <v>0.15716993096569831</v>
      </c>
      <c r="AB154" s="26">
        <f t="shared" si="93"/>
        <v>0.53921179720454238</v>
      </c>
      <c r="AC154" s="26">
        <f t="shared" si="94"/>
        <v>0.35116875595912067</v>
      </c>
      <c r="AD154" s="26">
        <f t="shared" si="95"/>
        <v>0.58690097047148415</v>
      </c>
      <c r="AE154" s="26">
        <f t="shared" si="96"/>
        <v>8.5325404098700805E-2</v>
      </c>
      <c r="AF154" s="26">
        <f t="shared" si="97"/>
        <v>-1.5949006888262605</v>
      </c>
      <c r="AG154" s="26">
        <f t="shared" si="98"/>
        <v>0.16869552107464961</v>
      </c>
      <c r="AH154" s="26">
        <f t="shared" si="99"/>
        <v>0.70454819598884255</v>
      </c>
      <c r="AI154" s="26">
        <f t="shared" si="100"/>
        <v>0.66919539325146937</v>
      </c>
      <c r="AJ154" s="26">
        <f t="shared" si="101"/>
        <v>-0.11210841286563736</v>
      </c>
      <c r="AK154" s="26">
        <f t="shared" si="102"/>
        <v>0.4720022143482781</v>
      </c>
      <c r="AL154" s="26">
        <f t="shared" si="103"/>
        <v>0.11139304517483893</v>
      </c>
      <c r="AM154" s="27">
        <f t="shared" si="104"/>
        <v>0.483629500773673</v>
      </c>
    </row>
    <row r="155" spans="1:39" ht="15" customHeight="1" x14ac:dyDescent="0.2">
      <c r="A155" s="24">
        <v>144</v>
      </c>
      <c r="B155" s="29">
        <f t="shared" si="105"/>
        <v>1.1313959936331353</v>
      </c>
      <c r="C155" s="29">
        <f t="shared" si="106"/>
        <v>-1.6037873054208707</v>
      </c>
      <c r="D155" s="29">
        <f t="shared" si="107"/>
        <v>-1.1299264258904451</v>
      </c>
      <c r="E155" s="29">
        <f t="shared" si="108"/>
        <v>-0.46895989399726479</v>
      </c>
      <c r="F155" s="29">
        <f t="shared" si="109"/>
        <v>0.54777600449711994</v>
      </c>
      <c r="G155" s="29">
        <f t="shared" si="110"/>
        <v>0.6287597244557056</v>
      </c>
      <c r="H155" s="29">
        <f t="shared" si="111"/>
        <v>1.2126297959642252</v>
      </c>
      <c r="I155" s="29">
        <f t="shared" si="112"/>
        <v>-0.49619841516299151</v>
      </c>
      <c r="J155" s="29">
        <f t="shared" si="113"/>
        <v>1.5711443973793704E-2</v>
      </c>
      <c r="K155" s="26">
        <f t="shared" si="76"/>
        <v>-1.1299264258904451</v>
      </c>
      <c r="L155" s="26">
        <f t="shared" si="77"/>
        <v>0.24417467900207646</v>
      </c>
      <c r="M155" s="26">
        <f t="shared" si="78"/>
        <v>0.6287597244557056</v>
      </c>
      <c r="N155" s="26">
        <f t="shared" si="79"/>
        <v>0.65220818031616268</v>
      </c>
      <c r="O155" s="26">
        <f t="shared" si="80"/>
        <v>-1.1819730277506657E-2</v>
      </c>
      <c r="P155" s="26">
        <f t="shared" si="81"/>
        <v>0.49704510183196604</v>
      </c>
      <c r="Q155" s="26">
        <f t="shared" si="82"/>
        <v>0.12352691662757474</v>
      </c>
      <c r="R155" s="26">
        <f t="shared" si="83"/>
        <v>-2.7337137313113158</v>
      </c>
      <c r="S155" s="26">
        <f t="shared" si="84"/>
        <v>6.1013054257710045E-2</v>
      </c>
      <c r="T155" s="26">
        <f t="shared" si="85"/>
        <v>1.1765357289528255</v>
      </c>
      <c r="U155" s="26">
        <f t="shared" si="86"/>
        <v>0.76432434699317864</v>
      </c>
      <c r="V155" s="26">
        <f t="shared" si="87"/>
        <v>-0.28955883813902883</v>
      </c>
      <c r="W155" s="26">
        <f t="shared" si="88"/>
        <v>0.4281118742250607</v>
      </c>
      <c r="X155" s="26">
        <f t="shared" si="89"/>
        <v>0.1635280142011864</v>
      </c>
      <c r="Y155" s="26">
        <f t="shared" si="90"/>
        <v>1.4695677426901366E-3</v>
      </c>
      <c r="Z155" s="26">
        <f t="shared" si="91"/>
        <v>0.50036739186955337</v>
      </c>
      <c r="AA155" s="26">
        <f t="shared" si="92"/>
        <v>0.15979983045844082</v>
      </c>
      <c r="AB155" s="26">
        <f t="shared" si="93"/>
        <v>0.5398651606827759</v>
      </c>
      <c r="AC155" s="26">
        <f t="shared" si="94"/>
        <v>0.35459161515121451</v>
      </c>
      <c r="AD155" s="26">
        <f t="shared" si="95"/>
        <v>0.58773058901463471</v>
      </c>
      <c r="AE155" s="26">
        <f t="shared" si="96"/>
        <v>8.4983033617110015E-2</v>
      </c>
      <c r="AF155" s="26">
        <f t="shared" si="97"/>
        <v>-1.6023177376781805</v>
      </c>
      <c r="AG155" s="26">
        <f t="shared" si="98"/>
        <v>0.16765792829139023</v>
      </c>
      <c r="AH155" s="26">
        <f t="shared" si="99"/>
        <v>0.70757583495556076</v>
      </c>
      <c r="AI155" s="26">
        <f t="shared" si="100"/>
        <v>0.66986528685377889</v>
      </c>
      <c r="AJ155" s="26">
        <f t="shared" si="101"/>
        <v>-0.11336765035998086</v>
      </c>
      <c r="AK155" s="26">
        <f t="shared" si="102"/>
        <v>0.47168840316589461</v>
      </c>
      <c r="AL155" s="26">
        <f t="shared" si="103"/>
        <v>0.11124497484059577</v>
      </c>
      <c r="AM155" s="27">
        <f t="shared" si="104"/>
        <v>0.48328293928646693</v>
      </c>
    </row>
    <row r="156" spans="1:39" ht="15" customHeight="1" x14ac:dyDescent="0.2">
      <c r="A156" s="24">
        <v>145</v>
      </c>
      <c r="B156" s="29">
        <f t="shared" si="105"/>
        <v>1.1417887522739383</v>
      </c>
      <c r="C156" s="29">
        <f t="shared" si="106"/>
        <v>-1.6139509705042892</v>
      </c>
      <c r="D156" s="29">
        <f t="shared" si="107"/>
        <v>-1.137614494935228</v>
      </c>
      <c r="E156" s="29">
        <f t="shared" si="108"/>
        <v>-0.46837460043836832</v>
      </c>
      <c r="F156" s="29">
        <f t="shared" si="109"/>
        <v>0.54815947179969104</v>
      </c>
      <c r="G156" s="29">
        <f t="shared" si="110"/>
        <v>0.63081573931177537</v>
      </c>
      <c r="H156" s="29">
        <f t="shared" si="111"/>
        <v>1.2211088789184197</v>
      </c>
      <c r="I156" s="29">
        <f t="shared" si="112"/>
        <v>-0.495030962163578</v>
      </c>
      <c r="J156" s="29">
        <f t="shared" si="113"/>
        <v>1.3821313935331134E-2</v>
      </c>
      <c r="K156" s="26">
        <f t="shared" si="76"/>
        <v>-1.137614494935228</v>
      </c>
      <c r="L156" s="26">
        <f t="shared" si="77"/>
        <v>0.24275861178069744</v>
      </c>
      <c r="M156" s="26">
        <f t="shared" si="78"/>
        <v>0.63081573931177537</v>
      </c>
      <c r="N156" s="26">
        <f t="shared" si="79"/>
        <v>0.65267440558937018</v>
      </c>
      <c r="O156" s="26">
        <f t="shared" si="80"/>
        <v>-1.2838028763796819E-2</v>
      </c>
      <c r="P156" s="26">
        <f t="shared" si="81"/>
        <v>0.49679053688956354</v>
      </c>
      <c r="Q156" s="26">
        <f t="shared" si="82"/>
        <v>0.1234004187715104</v>
      </c>
      <c r="R156" s="26">
        <f t="shared" si="83"/>
        <v>-2.7515654654395174</v>
      </c>
      <c r="S156" s="26">
        <f t="shared" si="84"/>
        <v>5.9998299427338857E-2</v>
      </c>
      <c r="T156" s="26">
        <f t="shared" si="85"/>
        <v>1.1789752111114664</v>
      </c>
      <c r="U156" s="26">
        <f t="shared" si="86"/>
        <v>0.76476349396750698</v>
      </c>
      <c r="V156" s="26">
        <f t="shared" si="87"/>
        <v>-0.29149583816025409</v>
      </c>
      <c r="W156" s="26">
        <f t="shared" si="88"/>
        <v>0.4276377006229049</v>
      </c>
      <c r="X156" s="26">
        <f t="shared" si="89"/>
        <v>0.16379930087411776</v>
      </c>
      <c r="Y156" s="26">
        <f t="shared" si="90"/>
        <v>4.1742573387102411E-3</v>
      </c>
      <c r="Z156" s="26">
        <f t="shared" si="91"/>
        <v>0.50104356281938789</v>
      </c>
      <c r="AA156" s="26">
        <f t="shared" si="92"/>
        <v>0.16244113887340705</v>
      </c>
      <c r="AB156" s="26">
        <f t="shared" si="93"/>
        <v>0.54052122067517683</v>
      </c>
      <c r="AC156" s="26">
        <f t="shared" si="94"/>
        <v>0.35807531727834024</v>
      </c>
      <c r="AD156" s="26">
        <f t="shared" si="95"/>
        <v>0.58857444293049721</v>
      </c>
      <c r="AE156" s="26">
        <f t="shared" si="96"/>
        <v>8.4635494504975345E-2</v>
      </c>
      <c r="AF156" s="26">
        <f t="shared" si="97"/>
        <v>-1.6097767131655789</v>
      </c>
      <c r="AG156" s="26">
        <f t="shared" si="98"/>
        <v>0.16661961632353051</v>
      </c>
      <c r="AH156" s="26">
        <f t="shared" si="99"/>
        <v>0.7106006106730981</v>
      </c>
      <c r="AI156" s="26">
        <f t="shared" si="100"/>
        <v>0.67053385922706288</v>
      </c>
      <c r="AJ156" s="26">
        <f t="shared" si="101"/>
        <v>-0.11465301466645543</v>
      </c>
      <c r="AK156" s="26">
        <f t="shared" si="102"/>
        <v>0.47136810406856905</v>
      </c>
      <c r="AL156" s="26">
        <f t="shared" si="103"/>
        <v>0.11109394476659867</v>
      </c>
      <c r="AM156" s="27">
        <f t="shared" si="104"/>
        <v>0.48292915891720217</v>
      </c>
    </row>
    <row r="157" spans="1:39" ht="15" customHeight="1" x14ac:dyDescent="0.2">
      <c r="A157" s="24">
        <v>146</v>
      </c>
      <c r="B157" s="29">
        <f t="shared" si="105"/>
        <v>1.1522871650136539</v>
      </c>
      <c r="C157" s="29">
        <f t="shared" si="106"/>
        <v>-1.6242187006158935</v>
      </c>
      <c r="D157" s="29">
        <f t="shared" si="107"/>
        <v>-1.1453458419989468</v>
      </c>
      <c r="E157" s="29">
        <f t="shared" si="108"/>
        <v>-0.46777832386688417</v>
      </c>
      <c r="F157" s="29">
        <f t="shared" si="109"/>
        <v>0.54852837745888128</v>
      </c>
      <c r="G157" s="29">
        <f t="shared" si="110"/>
        <v>0.6328725567615614</v>
      </c>
      <c r="H157" s="29">
        <f t="shared" si="111"/>
        <v>1.2297132982569552</v>
      </c>
      <c r="I157" s="29">
        <f t="shared" si="112"/>
        <v>-0.49385643471104779</v>
      </c>
      <c r="J157" s="29">
        <f t="shared" si="113"/>
        <v>1.1895282522884382E-2</v>
      </c>
      <c r="K157" s="26">
        <f t="shared" si="76"/>
        <v>-1.1453458419989468</v>
      </c>
      <c r="L157" s="26">
        <f t="shared" si="77"/>
        <v>0.2413402104767198</v>
      </c>
      <c r="M157" s="26">
        <f t="shared" si="78"/>
        <v>0.6328725567615614</v>
      </c>
      <c r="N157" s="26">
        <f t="shared" si="79"/>
        <v>0.65314052008352275</v>
      </c>
      <c r="O157" s="26">
        <f t="shared" si="80"/>
        <v>-1.3883099863528786E-2</v>
      </c>
      <c r="P157" s="26">
        <f t="shared" si="81"/>
        <v>0.49652928077960751</v>
      </c>
      <c r="Q157" s="26">
        <f t="shared" si="82"/>
        <v>0.12327066333575716</v>
      </c>
      <c r="R157" s="26">
        <f t="shared" si="83"/>
        <v>-2.7695645426148401</v>
      </c>
      <c r="S157" s="26">
        <f t="shared" si="84"/>
        <v>5.8991181594766781E-2</v>
      </c>
      <c r="T157" s="26">
        <f t="shared" si="85"/>
        <v>1.1814009342204428</v>
      </c>
      <c r="U157" s="26">
        <f t="shared" si="86"/>
        <v>0.76519960196264103</v>
      </c>
      <c r="V157" s="26">
        <f t="shared" si="87"/>
        <v>-0.2934612242577227</v>
      </c>
      <c r="W157" s="26">
        <f t="shared" si="88"/>
        <v>0.42715671401509403</v>
      </c>
      <c r="X157" s="26">
        <f t="shared" si="89"/>
        <v>0.16407471514899238</v>
      </c>
      <c r="Y157" s="26">
        <f t="shared" si="90"/>
        <v>6.9413230147070681E-3</v>
      </c>
      <c r="Z157" s="26">
        <f t="shared" si="91"/>
        <v>0.50173532378607311</v>
      </c>
      <c r="AA157" s="26">
        <f t="shared" si="92"/>
        <v>0.16509423289467723</v>
      </c>
      <c r="AB157" s="26">
        <f t="shared" si="93"/>
        <v>0.54118006666473439</v>
      </c>
      <c r="AC157" s="26">
        <f t="shared" si="94"/>
        <v>0.36162062412814477</v>
      </c>
      <c r="AD157" s="26">
        <f t="shared" si="95"/>
        <v>0.58943268477222421</v>
      </c>
      <c r="AE157" s="26">
        <f t="shared" si="96"/>
        <v>8.4282760166671911E-2</v>
      </c>
      <c r="AF157" s="26">
        <f t="shared" si="97"/>
        <v>-1.6172773776011864</v>
      </c>
      <c r="AG157" s="26">
        <f t="shared" si="98"/>
        <v>0.16558069543307122</v>
      </c>
      <c r="AH157" s="26">
        <f t="shared" si="99"/>
        <v>0.71362261035355856</v>
      </c>
      <c r="AI157" s="26">
        <f t="shared" si="100"/>
        <v>0.67120112957772959</v>
      </c>
      <c r="AJ157" s="26">
        <f t="shared" si="101"/>
        <v>-0.1159649311957188</v>
      </c>
      <c r="AK157" s="26">
        <f t="shared" si="102"/>
        <v>0.47104121275214633</v>
      </c>
      <c r="AL157" s="26">
        <f t="shared" si="103"/>
        <v>0.11093991205550639</v>
      </c>
      <c r="AM157" s="27">
        <f t="shared" si="104"/>
        <v>0.48256805070692788</v>
      </c>
    </row>
    <row r="158" spans="1:39" ht="15" customHeight="1" x14ac:dyDescent="0.2">
      <c r="A158" s="24">
        <v>147</v>
      </c>
      <c r="B158" s="29">
        <f t="shared" si="105"/>
        <v>1.1628916991201621</v>
      </c>
      <c r="C158" s="29">
        <f t="shared" si="106"/>
        <v>-1.634590777278752</v>
      </c>
      <c r="D158" s="29">
        <f t="shared" si="107"/>
        <v>-1.1531204180241954</v>
      </c>
      <c r="E158" s="29">
        <f t="shared" si="108"/>
        <v>-0.46717070814783002</v>
      </c>
      <c r="F158" s="29">
        <f t="shared" si="109"/>
        <v>0.54888243075902188</v>
      </c>
      <c r="G158" s="29">
        <f t="shared" si="110"/>
        <v>0.63493019541321671</v>
      </c>
      <c r="H158" s="29">
        <f t="shared" si="111"/>
        <v>1.2384434949130398</v>
      </c>
      <c r="I158" s="29">
        <f t="shared" si="112"/>
        <v>-0.49267453167278608</v>
      </c>
      <c r="J158" s="29">
        <f t="shared" si="113"/>
        <v>9.9329203516210635E-3</v>
      </c>
      <c r="K158" s="26">
        <f t="shared" si="76"/>
        <v>-1.1531204180241954</v>
      </c>
      <c r="L158" s="26">
        <f t="shared" si="77"/>
        <v>0.23991958758461687</v>
      </c>
      <c r="M158" s="26">
        <f t="shared" si="78"/>
        <v>0.63493019541321671</v>
      </c>
      <c r="N158" s="26">
        <f t="shared" si="79"/>
        <v>0.65360652695906207</v>
      </c>
      <c r="O158" s="26">
        <f t="shared" si="80"/>
        <v>-1.4955516669822991E-2</v>
      </c>
      <c r="P158" s="26">
        <f t="shared" si="81"/>
        <v>0.49626119051979201</v>
      </c>
      <c r="Q158" s="26">
        <f t="shared" si="82"/>
        <v>0.12313758460806065</v>
      </c>
      <c r="R158" s="26">
        <f t="shared" si="83"/>
        <v>-2.7877111953029474</v>
      </c>
      <c r="S158" s="26">
        <f t="shared" si="84"/>
        <v>5.799186352658791E-2</v>
      </c>
      <c r="T158" s="26">
        <f t="shared" si="85"/>
        <v>1.1838126261722386</v>
      </c>
      <c r="U158" s="26">
        <f t="shared" si="86"/>
        <v>0.76563263148981497</v>
      </c>
      <c r="V158" s="26">
        <f t="shared" si="87"/>
        <v>-0.29545513165863874</v>
      </c>
      <c r="W158" s="26">
        <f t="shared" si="88"/>
        <v>0.42666888814008047</v>
      </c>
      <c r="X158" s="26">
        <f t="shared" si="89"/>
        <v>0.16435428191326582</v>
      </c>
      <c r="Y158" s="26">
        <f t="shared" si="90"/>
        <v>9.7712810959666996E-3</v>
      </c>
      <c r="Z158" s="26">
        <f t="shared" si="91"/>
        <v>0.50244280083789117</v>
      </c>
      <c r="AA158" s="26">
        <f t="shared" si="92"/>
        <v>0.1677594872653867</v>
      </c>
      <c r="AB158" s="26">
        <f t="shared" si="93"/>
        <v>0.54184178750555234</v>
      </c>
      <c r="AC158" s="26">
        <f t="shared" si="94"/>
        <v>0.36522828971515214</v>
      </c>
      <c r="AD158" s="26">
        <f t="shared" si="95"/>
        <v>0.59030546377681148</v>
      </c>
      <c r="AE158" s="26">
        <f t="shared" si="96"/>
        <v>8.392480650556676E-2</v>
      </c>
      <c r="AF158" s="26">
        <f t="shared" si="97"/>
        <v>-1.6248194961827853</v>
      </c>
      <c r="AG158" s="26">
        <f t="shared" si="98"/>
        <v>0.16454127479242364</v>
      </c>
      <c r="AH158" s="26">
        <f t="shared" si="99"/>
        <v>0.71664191802440858</v>
      </c>
      <c r="AI158" s="26">
        <f t="shared" si="100"/>
        <v>0.67186711635022889</v>
      </c>
      <c r="AJ158" s="26">
        <f t="shared" si="101"/>
        <v>-0.11730382513119723</v>
      </c>
      <c r="AK158" s="26">
        <f t="shared" si="102"/>
        <v>0.47070762506388303</v>
      </c>
      <c r="AL158" s="26">
        <f t="shared" si="103"/>
        <v>0.11078283414664054</v>
      </c>
      <c r="AM158" s="27">
        <f t="shared" si="104"/>
        <v>0.48219950717353377</v>
      </c>
    </row>
    <row r="159" spans="1:39" ht="15" customHeight="1" x14ac:dyDescent="0.2">
      <c r="A159" s="24">
        <v>148</v>
      </c>
      <c r="B159" s="29">
        <f t="shared" si="105"/>
        <v>1.1736027771539501</v>
      </c>
      <c r="C159" s="29">
        <f t="shared" si="106"/>
        <v>-1.6450674486230079</v>
      </c>
      <c r="D159" s="29">
        <f t="shared" si="107"/>
        <v>-1.1609381661304192</v>
      </c>
      <c r="E159" s="29">
        <f t="shared" si="108"/>
        <v>-0.46655139665373374</v>
      </c>
      <c r="F159" s="29">
        <f t="shared" si="109"/>
        <v>0.54922133988388588</v>
      </c>
      <c r="G159" s="29">
        <f t="shared" si="110"/>
        <v>0.63698867109815094</v>
      </c>
      <c r="H159" s="29">
        <f t="shared" si="111"/>
        <v>1.2472998654278178</v>
      </c>
      <c r="I159" s="29">
        <f t="shared" si="112"/>
        <v>-0.49148494799872577</v>
      </c>
      <c r="J159" s="29">
        <f t="shared" si="113"/>
        <v>7.9338021341811144E-3</v>
      </c>
      <c r="K159" s="26">
        <f t="shared" si="76"/>
        <v>-1.1609381661304192</v>
      </c>
      <c r="L159" s="26">
        <f t="shared" si="77"/>
        <v>0.23849685727822728</v>
      </c>
      <c r="M159" s="26">
        <f t="shared" si="78"/>
        <v>0.63698867109815094</v>
      </c>
      <c r="N159" s="26">
        <f t="shared" si="79"/>
        <v>0.65407242873783245</v>
      </c>
      <c r="O159" s="26">
        <f t="shared" si="80"/>
        <v>-1.6055853503342363E-2</v>
      </c>
      <c r="P159" s="26">
        <f t="shared" si="81"/>
        <v>0.49598612285205412</v>
      </c>
      <c r="Q159" s="26">
        <f t="shared" si="82"/>
        <v>0.12300111703090646</v>
      </c>
      <c r="R159" s="26">
        <f t="shared" si="83"/>
        <v>-2.8060056147534271</v>
      </c>
      <c r="S159" s="26">
        <f t="shared" si="84"/>
        <v>5.7000505263948627E-2</v>
      </c>
      <c r="T159" s="26">
        <f t="shared" si="85"/>
        <v>1.1862100109820368</v>
      </c>
      <c r="U159" s="26">
        <f t="shared" si="86"/>
        <v>0.76606254257066786</v>
      </c>
      <c r="V159" s="26">
        <f t="shared" si="87"/>
        <v>-0.29747768421989451</v>
      </c>
      <c r="W159" s="26">
        <f t="shared" si="88"/>
        <v>0.42617419971787251</v>
      </c>
      <c r="X159" s="26">
        <f t="shared" si="89"/>
        <v>0.16463802453471202</v>
      </c>
      <c r="Y159" s="26">
        <f t="shared" si="90"/>
        <v>1.2664611023530892E-2</v>
      </c>
      <c r="Z159" s="26">
        <f t="shared" si="91"/>
        <v>0.50316611043766546</v>
      </c>
      <c r="AA159" s="26">
        <f t="shared" si="92"/>
        <v>0.1704372744444172</v>
      </c>
      <c r="AB159" s="26">
        <f t="shared" si="93"/>
        <v>0.54250647133347063</v>
      </c>
      <c r="AC159" s="26">
        <f t="shared" si="94"/>
        <v>0.36889905911861676</v>
      </c>
      <c r="AD159" s="26">
        <f t="shared" si="95"/>
        <v>0.59119292553963654</v>
      </c>
      <c r="AE159" s="26">
        <f t="shared" si="96"/>
        <v>8.3561612064420573E-2</v>
      </c>
      <c r="AF159" s="26">
        <f t="shared" si="97"/>
        <v>-1.632402837599477</v>
      </c>
      <c r="AG159" s="26">
        <f t="shared" si="98"/>
        <v>0.1635014623930737</v>
      </c>
      <c r="AH159" s="26">
        <f t="shared" si="99"/>
        <v>0.71965861432830303</v>
      </c>
      <c r="AI159" s="26">
        <f t="shared" si="100"/>
        <v>0.67253183718611498</v>
      </c>
      <c r="AJ159" s="26">
        <f t="shared" si="101"/>
        <v>-0.11867012085259186</v>
      </c>
      <c r="AK159" s="26">
        <f t="shared" si="102"/>
        <v>0.47036723715030049</v>
      </c>
      <c r="AL159" s="26">
        <f t="shared" si="103"/>
        <v>0.11062266889220351</v>
      </c>
      <c r="AM159" s="27">
        <f t="shared" si="104"/>
        <v>0.48182342252224258</v>
      </c>
    </row>
    <row r="160" spans="1:39" ht="15" customHeight="1" x14ac:dyDescent="0.2">
      <c r="A160" s="24">
        <v>149</v>
      </c>
      <c r="B160" s="29">
        <f t="shared" si="105"/>
        <v>1.1844207750071474</v>
      </c>
      <c r="C160" s="29">
        <f t="shared" si="106"/>
        <v>-1.6556489279786735</v>
      </c>
      <c r="D160" s="29">
        <f t="shared" si="107"/>
        <v>-1.1687990216652577</v>
      </c>
      <c r="E160" s="29">
        <f t="shared" si="108"/>
        <v>-0.46592003250040043</v>
      </c>
      <c r="F160" s="29">
        <f t="shared" si="109"/>
        <v>0.54954481206945349</v>
      </c>
      <c r="G160" s="29">
        <f t="shared" si="110"/>
        <v>0.6390479967459034</v>
      </c>
      <c r="H160" s="29">
        <f t="shared" si="111"/>
        <v>1.25628276013217</v>
      </c>
      <c r="I160" s="29">
        <f t="shared" si="112"/>
        <v>-0.49028737468833272</v>
      </c>
      <c r="J160" s="29">
        <f t="shared" si="113"/>
        <v>5.8975073360304914E-3</v>
      </c>
      <c r="K160" s="26">
        <f t="shared" si="76"/>
        <v>-1.1687990216652577</v>
      </c>
      <c r="L160" s="26">
        <f t="shared" si="77"/>
        <v>0.23707213535305863</v>
      </c>
      <c r="M160" s="26">
        <f t="shared" si="78"/>
        <v>0.6390479967459034</v>
      </c>
      <c r="N160" s="26">
        <f t="shared" si="79"/>
        <v>0.65453822727671818</v>
      </c>
      <c r="O160" s="26">
        <f t="shared" si="80"/>
        <v>-1.7184685196859076E-2</v>
      </c>
      <c r="P160" s="26">
        <f t="shared" si="81"/>
        <v>0.49570393442407767</v>
      </c>
      <c r="Q160" s="26">
        <f t="shared" si="82"/>
        <v>0.12286119530175516</v>
      </c>
      <c r="R160" s="26">
        <f t="shared" si="83"/>
        <v>-2.8244479496439312</v>
      </c>
      <c r="S160" s="26">
        <f t="shared" si="84"/>
        <v>5.6017263960847503E-2</v>
      </c>
      <c r="T160" s="26">
        <f t="shared" si="85"/>
        <v>1.1885928088153568</v>
      </c>
      <c r="U160" s="26">
        <f t="shared" si="86"/>
        <v>0.7664892947428138</v>
      </c>
      <c r="V160" s="26">
        <f t="shared" si="87"/>
        <v>-0.2995289937263495</v>
      </c>
      <c r="W160" s="26">
        <f t="shared" si="88"/>
        <v>0.42567262862199662</v>
      </c>
      <c r="X160" s="26">
        <f t="shared" si="89"/>
        <v>0.16492596475698351</v>
      </c>
      <c r="Y160" s="26">
        <f t="shared" si="90"/>
        <v>1.5621753341889644E-2</v>
      </c>
      <c r="Z160" s="26">
        <f t="shared" si="91"/>
        <v>0.50390535891408073</v>
      </c>
      <c r="AA160" s="26">
        <f t="shared" si="92"/>
        <v>0.17312796424550297</v>
      </c>
      <c r="AB160" s="26">
        <f t="shared" si="93"/>
        <v>0.54317420547236273</v>
      </c>
      <c r="AC160" s="26">
        <f t="shared" si="94"/>
        <v>0.37263366727853781</v>
      </c>
      <c r="AD160" s="26">
        <f t="shared" si="95"/>
        <v>0.59209521167905199</v>
      </c>
      <c r="AE160" s="26">
        <f t="shared" si="96"/>
        <v>8.3193158167578704E-2</v>
      </c>
      <c r="AF160" s="26">
        <f t="shared" si="97"/>
        <v>-1.6400271746367838</v>
      </c>
      <c r="AG160" s="26">
        <f t="shared" si="98"/>
        <v>0.16246136495727359</v>
      </c>
      <c r="AH160" s="26">
        <f t="shared" si="99"/>
        <v>0.72267277631495652</v>
      </c>
      <c r="AI160" s="26">
        <f t="shared" si="100"/>
        <v>0.67319530888166035</v>
      </c>
      <c r="AJ160" s="26">
        <f t="shared" si="101"/>
        <v>-0.12006424132469649</v>
      </c>
      <c r="AK160" s="26">
        <f t="shared" si="102"/>
        <v>0.47001994561377713</v>
      </c>
      <c r="AL160" s="26">
        <f t="shared" si="103"/>
        <v>0.110459374637389</v>
      </c>
      <c r="AM160" s="27">
        <f t="shared" si="104"/>
        <v>0.48143969286370636</v>
      </c>
    </row>
    <row r="161" spans="1:39" ht="15" customHeight="1" x14ac:dyDescent="0.2">
      <c r="A161" s="24">
        <v>150</v>
      </c>
      <c r="B161" s="29">
        <f t="shared" si="105"/>
        <v>1.1953460199400554</v>
      </c>
      <c r="C161" s="29">
        <f t="shared" si="106"/>
        <v>-1.6663353924595112</v>
      </c>
      <c r="D161" s="29">
        <f t="shared" si="107"/>
        <v>-1.176702912257386</v>
      </c>
      <c r="E161" s="29">
        <f t="shared" si="108"/>
        <v>-0.4652762587963245</v>
      </c>
      <c r="F161" s="29">
        <f t="shared" si="109"/>
        <v>0.54985255376659037</v>
      </c>
      <c r="G161" s="29">
        <f t="shared" si="110"/>
        <v>0.64110818225489197</v>
      </c>
      <c r="H161" s="29">
        <f t="shared" si="111"/>
        <v>1.265392481323669</v>
      </c>
      <c r="I161" s="29">
        <f t="shared" si="112"/>
        <v>-0.48908149876025792</v>
      </c>
      <c r="J161" s="29">
        <f t="shared" si="113"/>
        <v>3.8236208583976999E-3</v>
      </c>
      <c r="K161" s="26">
        <f t="shared" si="76"/>
        <v>-1.176702912257386</v>
      </c>
      <c r="L161" s="26">
        <f t="shared" si="77"/>
        <v>0.23564553916769534</v>
      </c>
      <c r="M161" s="26">
        <f t="shared" si="78"/>
        <v>0.64110818225489197</v>
      </c>
      <c r="N161" s="26">
        <f t="shared" si="79"/>
        <v>0.65500392374047445</v>
      </c>
      <c r="O161" s="26">
        <f t="shared" si="80"/>
        <v>-1.8342586338179381E-2</v>
      </c>
      <c r="P161" s="26">
        <f t="shared" si="81"/>
        <v>0.49541448198137666</v>
      </c>
      <c r="Q161" s="26">
        <f t="shared" si="82"/>
        <v>0.12271775447843788</v>
      </c>
      <c r="R161" s="26">
        <f t="shared" si="83"/>
        <v>-2.843038304716897</v>
      </c>
      <c r="S161" s="26">
        <f t="shared" si="84"/>
        <v>5.5042293723506455E-2</v>
      </c>
      <c r="T161" s="26">
        <f t="shared" si="85"/>
        <v>1.1909607360214824</v>
      </c>
      <c r="U161" s="26">
        <f t="shared" si="86"/>
        <v>0.7669128470662534</v>
      </c>
      <c r="V161" s="26">
        <f t="shared" si="87"/>
        <v>-0.30160915917072795</v>
      </c>
      <c r="W161" s="26">
        <f t="shared" si="88"/>
        <v>0.42516415805545804</v>
      </c>
      <c r="X161" s="26">
        <f t="shared" si="89"/>
        <v>0.16521812259204521</v>
      </c>
      <c r="Y161" s="26">
        <f t="shared" si="90"/>
        <v>1.8643107682669413E-2</v>
      </c>
      <c r="Z161" s="26">
        <f t="shared" si="91"/>
        <v>0.50466064193160132</v>
      </c>
      <c r="AA161" s="26">
        <f t="shared" si="92"/>
        <v>0.17583192345856746</v>
      </c>
      <c r="AB161" s="26">
        <f t="shared" si="93"/>
        <v>0.54384507633607837</v>
      </c>
      <c r="AC161" s="26">
        <f t="shared" si="94"/>
        <v>0.37643283775078629</v>
      </c>
      <c r="AD161" s="26">
        <f t="shared" si="95"/>
        <v>0.59301245949142434</v>
      </c>
      <c r="AE161" s="26">
        <f t="shared" si="96"/>
        <v>8.2819429064609762E-2</v>
      </c>
      <c r="AF161" s="26">
        <f t="shared" si="97"/>
        <v>-1.6476922847768418</v>
      </c>
      <c r="AG161" s="26">
        <f t="shared" si="98"/>
        <v>0.16142108785329284</v>
      </c>
      <c r="AH161" s="26">
        <f t="shared" si="99"/>
        <v>0.72568447722515783</v>
      </c>
      <c r="AI161" s="26">
        <f t="shared" si="100"/>
        <v>0.67385754734405579</v>
      </c>
      <c r="AJ161" s="26">
        <f t="shared" si="101"/>
        <v>-0.12148660745090038</v>
      </c>
      <c r="AK161" s="26">
        <f t="shared" si="102"/>
        <v>0.4696656476780301</v>
      </c>
      <c r="AL161" s="26">
        <f t="shared" si="103"/>
        <v>0.11029291030441175</v>
      </c>
      <c r="AM161" s="27">
        <f t="shared" si="104"/>
        <v>0.48104821643950457</v>
      </c>
    </row>
    <row r="162" spans="1:39" ht="15" customHeight="1" x14ac:dyDescent="0.2">
      <c r="A162" s="24">
        <v>151</v>
      </c>
      <c r="B162" s="29">
        <f t="shared" si="105"/>
        <v>1.2063787886202941</v>
      </c>
      <c r="C162" s="29">
        <f t="shared" si="106"/>
        <v>-1.6771269815405609</v>
      </c>
      <c r="D162" s="29">
        <f t="shared" si="107"/>
        <v>-1.184649757869477</v>
      </c>
      <c r="E162" s="29">
        <f t="shared" si="108"/>
        <v>-0.46461971890597725</v>
      </c>
      <c r="F162" s="29">
        <f t="shared" si="109"/>
        <v>0.55014427081391493</v>
      </c>
      <c r="G162" s="29">
        <f t="shared" si="110"/>
        <v>0.64316923435913054</v>
      </c>
      <c r="H162" s="29">
        <f t="shared" si="111"/>
        <v>1.2746292814426019</v>
      </c>
      <c r="I162" s="29">
        <f t="shared" si="112"/>
        <v>-0.48786700322509136</v>
      </c>
      <c r="J162" s="29">
        <f t="shared" si="113"/>
        <v>1.7117337484976736E-3</v>
      </c>
      <c r="K162" s="26">
        <f t="shared" si="76"/>
        <v>-1.184649757869477</v>
      </c>
      <c r="L162" s="26">
        <f t="shared" si="77"/>
        <v>0.23421718758459267</v>
      </c>
      <c r="M162" s="26">
        <f t="shared" si="78"/>
        <v>0.64316923435913054</v>
      </c>
      <c r="N162" s="26">
        <f t="shared" si="79"/>
        <v>0.65546951857377656</v>
      </c>
      <c r="O162" s="26">
        <f t="shared" si="80"/>
        <v>-1.9530130471027557E-2</v>
      </c>
      <c r="P162" s="26">
        <f t="shared" si="81"/>
        <v>0.49511762257006287</v>
      </c>
      <c r="Q162" s="26">
        <f t="shared" si="82"/>
        <v>0.12257073008971561</v>
      </c>
      <c r="R162" s="26">
        <f t="shared" si="83"/>
        <v>-2.861776739410038</v>
      </c>
      <c r="S162" s="26">
        <f t="shared" si="84"/>
        <v>5.4075745451169152E-2</v>
      </c>
      <c r="T162" s="26">
        <f t="shared" si="85"/>
        <v>1.1933135051730455</v>
      </c>
      <c r="U162" s="26">
        <f t="shared" si="86"/>
        <v>0.76733315813067771</v>
      </c>
      <c r="V162" s="26">
        <f t="shared" si="87"/>
        <v>-0.30371826601606444</v>
      </c>
      <c r="W162" s="26">
        <f t="shared" si="88"/>
        <v>0.42464877473043056</v>
      </c>
      <c r="X162" s="26">
        <f t="shared" si="89"/>
        <v>0.1655145162095974</v>
      </c>
      <c r="Y162" s="26">
        <f t="shared" si="90"/>
        <v>2.1729030750817113E-2</v>
      </c>
      <c r="Z162" s="26">
        <f t="shared" si="91"/>
        <v>0.50543204396073793</v>
      </c>
      <c r="AA162" s="26">
        <f t="shared" si="92"/>
        <v>0.17854951545315328</v>
      </c>
      <c r="AB162" s="26">
        <f t="shared" si="93"/>
        <v>0.54451916932601019</v>
      </c>
      <c r="AC162" s="26">
        <f t="shared" si="94"/>
        <v>0.38029728142254193</v>
      </c>
      <c r="AD162" s="26">
        <f t="shared" si="95"/>
        <v>0.59394480159707663</v>
      </c>
      <c r="AE162" s="26">
        <f t="shared" si="96"/>
        <v>8.2440412075018732E-2</v>
      </c>
      <c r="AF162" s="26">
        <f t="shared" si="97"/>
        <v>-1.6553979507897438</v>
      </c>
      <c r="AG162" s="26">
        <f t="shared" si="98"/>
        <v>0.16038073501476269</v>
      </c>
      <c r="AH162" s="26">
        <f t="shared" si="99"/>
        <v>0.72869378626706816</v>
      </c>
      <c r="AI162" s="26">
        <f t="shared" si="100"/>
        <v>0.67451856754624195</v>
      </c>
      <c r="AJ162" s="26">
        <f t="shared" si="101"/>
        <v>-0.12293763739086547</v>
      </c>
      <c r="AK162" s="26">
        <f t="shared" si="102"/>
        <v>0.4693042413626024</v>
      </c>
      <c r="AL162" s="26">
        <f t="shared" si="103"/>
        <v>0.11012323548046389</v>
      </c>
      <c r="AM162" s="27">
        <f t="shared" si="104"/>
        <v>0.48064889385479559</v>
      </c>
    </row>
    <row r="163" spans="1:39" ht="15" customHeight="1" x14ac:dyDescent="0.2">
      <c r="A163" s="24">
        <v>152</v>
      </c>
      <c r="B163" s="29">
        <f t="shared" si="105"/>
        <v>1.2175193051699837</v>
      </c>
      <c r="C163" s="29">
        <f t="shared" si="106"/>
        <v>-1.6880237956320541</v>
      </c>
      <c r="D163" s="29">
        <f t="shared" si="107"/>
        <v>-1.1926394708498156</v>
      </c>
      <c r="E163" s="29">
        <f t="shared" si="108"/>
        <v>-0.46395005672717099</v>
      </c>
      <c r="F163" s="29">
        <f t="shared" si="109"/>
        <v>0.55041966862111991</v>
      </c>
      <c r="G163" s="29">
        <f t="shared" si="110"/>
        <v>0.64523115649103191</v>
      </c>
      <c r="H163" s="29">
        <f t="shared" si="111"/>
        <v>1.2839933612512149</v>
      </c>
      <c r="I163" s="29">
        <f t="shared" si="112"/>
        <v>-0.48664356706169254</v>
      </c>
      <c r="J163" s="29">
        <f t="shared" si="113"/>
        <v>-4.3855606339145148E-4</v>
      </c>
      <c r="K163" s="26">
        <f t="shared" si="76"/>
        <v>-1.1926394708498156</v>
      </c>
      <c r="L163" s="26">
        <f t="shared" si="77"/>
        <v>0.23278720091054525</v>
      </c>
      <c r="M163" s="26">
        <f t="shared" si="78"/>
        <v>0.64523115649103191</v>
      </c>
      <c r="N163" s="26">
        <f t="shared" si="79"/>
        <v>0.65593501147252109</v>
      </c>
      <c r="O163" s="26">
        <f t="shared" si="80"/>
        <v>-2.0747889253638477E-2</v>
      </c>
      <c r="P163" s="26">
        <f t="shared" si="81"/>
        <v>0.4948132137503668</v>
      </c>
      <c r="Q163" s="26">
        <f t="shared" si="82"/>
        <v>0.12242005825098309</v>
      </c>
      <c r="R163" s="26">
        <f t="shared" si="83"/>
        <v>-2.8806632664818697</v>
      </c>
      <c r="S163" s="26">
        <f t="shared" si="84"/>
        <v>5.3117766678685154E-2</v>
      </c>
      <c r="T163" s="26">
        <f t="shared" si="85"/>
        <v>1.1956508251121518</v>
      </c>
      <c r="U163" s="26">
        <f t="shared" si="86"/>
        <v>0.76775018606372314</v>
      </c>
      <c r="V163" s="26">
        <f t="shared" si="87"/>
        <v>-0.30585638544179705</v>
      </c>
      <c r="W163" s="26">
        <f t="shared" si="88"/>
        <v>0.42412646905136409</v>
      </c>
      <c r="X163" s="26">
        <f t="shared" si="89"/>
        <v>0.16581516182362477</v>
      </c>
      <c r="Y163" s="26">
        <f t="shared" si="90"/>
        <v>2.4879834320168159E-2</v>
      </c>
      <c r="Z163" s="26">
        <f t="shared" si="91"/>
        <v>0.50621963775051404</v>
      </c>
      <c r="AA163" s="26">
        <f t="shared" si="92"/>
        <v>0.18128109976386092</v>
      </c>
      <c r="AB163" s="26">
        <f t="shared" si="93"/>
        <v>0.54519656872427957</v>
      </c>
      <c r="AC163" s="26">
        <f t="shared" si="94"/>
        <v>0.38422769518948485</v>
      </c>
      <c r="AD163" s="26">
        <f t="shared" si="95"/>
        <v>0.59489236557766778</v>
      </c>
      <c r="AE163" s="26">
        <f t="shared" si="96"/>
        <v>8.2056097733628985E-2</v>
      </c>
      <c r="AF163" s="26">
        <f t="shared" si="97"/>
        <v>-1.6631439613118859</v>
      </c>
      <c r="AG163" s="26">
        <f t="shared" si="98"/>
        <v>0.15934040886465095</v>
      </c>
      <c r="AH163" s="26">
        <f t="shared" si="99"/>
        <v>0.73170076838498077</v>
      </c>
      <c r="AI163" s="26">
        <f t="shared" si="100"/>
        <v>0.67517838348042714</v>
      </c>
      <c r="AJ163" s="26">
        <f t="shared" si="101"/>
        <v>-0.12441774584198782</v>
      </c>
      <c r="AK163" s="26">
        <f t="shared" si="102"/>
        <v>0.4689356256664437</v>
      </c>
      <c r="AL163" s="26">
        <f t="shared" si="103"/>
        <v>0.10995031050958951</v>
      </c>
      <c r="AM163" s="27">
        <f t="shared" si="104"/>
        <v>0.48024162831782635</v>
      </c>
    </row>
    <row r="164" spans="1:39" ht="15" customHeight="1" x14ac:dyDescent="0.2">
      <c r="A164" s="24">
        <v>153</v>
      </c>
      <c r="B164" s="29">
        <f t="shared" si="105"/>
        <v>1.2287677392266636</v>
      </c>
      <c r="C164" s="29">
        <f t="shared" si="106"/>
        <v>-1.6990258946526509</v>
      </c>
      <c r="D164" s="29">
        <f t="shared" si="107"/>
        <v>-1.2006719559810188</v>
      </c>
      <c r="E164" s="29">
        <f t="shared" si="108"/>
        <v>-0.46326691698266748</v>
      </c>
      <c r="F164" s="29">
        <f t="shared" si="109"/>
        <v>0.55067845236300361</v>
      </c>
      <c r="G164" s="29">
        <f t="shared" si="110"/>
        <v>0.64729394864044076</v>
      </c>
      <c r="H164" s="29">
        <f t="shared" si="111"/>
        <v>1.2934848680205648</v>
      </c>
      <c r="I164" s="29">
        <f t="shared" si="112"/>
        <v>-0.48541086519761267</v>
      </c>
      <c r="J164" s="29">
        <f t="shared" si="113"/>
        <v>-2.6276430005855861E-3</v>
      </c>
      <c r="K164" s="26">
        <f t="shared" si="76"/>
        <v>-1.2006719559810188</v>
      </c>
      <c r="L164" s="26">
        <f t="shared" si="77"/>
        <v>0.23135570083712481</v>
      </c>
      <c r="M164" s="26">
        <f t="shared" si="78"/>
        <v>0.64729394864044076</v>
      </c>
      <c r="N164" s="26">
        <f t="shared" si="79"/>
        <v>0.6564004013544148</v>
      </c>
      <c r="O164" s="26">
        <f t="shared" si="80"/>
        <v>-2.1996431574978589E-2</v>
      </c>
      <c r="P164" s="26">
        <f t="shared" si="81"/>
        <v>0.49450111382093381</v>
      </c>
      <c r="Q164" s="26">
        <f t="shared" si="82"/>
        <v>0.12226567578507207</v>
      </c>
      <c r="R164" s="26">
        <f t="shared" si="83"/>
        <v>-2.8996978506336699</v>
      </c>
      <c r="S164" s="26">
        <f t="shared" si="84"/>
        <v>5.2168501421238252E-2</v>
      </c>
      <c r="T164" s="26">
        <f t="shared" si="85"/>
        <v>1.1979724010034443</v>
      </c>
      <c r="U164" s="26">
        <f t="shared" si="86"/>
        <v>0.76816388854023143</v>
      </c>
      <c r="V164" s="26">
        <f t="shared" si="87"/>
        <v>-0.30802357357478083</v>
      </c>
      <c r="W164" s="26">
        <f t="shared" si="88"/>
        <v>0.42359723530115473</v>
      </c>
      <c r="X164" s="26">
        <f t="shared" si="89"/>
        <v>0.16612007357623615</v>
      </c>
      <c r="Y164" s="26">
        <f t="shared" si="90"/>
        <v>2.8095783245644768E-2</v>
      </c>
      <c r="Z164" s="26">
        <f t="shared" si="91"/>
        <v>0.50702348380509477</v>
      </c>
      <c r="AA164" s="26">
        <f t="shared" si="92"/>
        <v>0.18402703165777329</v>
      </c>
      <c r="AB164" s="26">
        <f t="shared" si="93"/>
        <v>0.5458773575825534</v>
      </c>
      <c r="AC164" s="26">
        <f t="shared" si="94"/>
        <v>0.38822476059644057</v>
      </c>
      <c r="AD164" s="26">
        <f t="shared" si="95"/>
        <v>0.5958552736056143</v>
      </c>
      <c r="AE164" s="26">
        <f t="shared" si="96"/>
        <v>8.166647993619644E-2</v>
      </c>
      <c r="AF164" s="26">
        <f t="shared" si="97"/>
        <v>-1.6709301114070061</v>
      </c>
      <c r="AG164" s="26">
        <f t="shared" si="98"/>
        <v>0.15830021024439969</v>
      </c>
      <c r="AH164" s="26">
        <f t="shared" si="99"/>
        <v>0.73470548402077696</v>
      </c>
      <c r="AI164" s="26">
        <f t="shared" si="100"/>
        <v>0.67583700811035496</v>
      </c>
      <c r="AJ164" s="26">
        <f t="shared" si="101"/>
        <v>-0.12592734328439398</v>
      </c>
      <c r="AK164" s="26">
        <f t="shared" si="102"/>
        <v>0.46855970076063508</v>
      </c>
      <c r="AL164" s="26">
        <f t="shared" si="103"/>
        <v>0.10977409658844794</v>
      </c>
      <c r="AM164" s="27">
        <f t="shared" si="104"/>
        <v>0.47982632588595264</v>
      </c>
    </row>
    <row r="165" spans="1:39" ht="15" customHeight="1" x14ac:dyDescent="0.2">
      <c r="A165" s="24">
        <v>154</v>
      </c>
      <c r="B165" s="29">
        <f t="shared" si="105"/>
        <v>1.2401242040239313</v>
      </c>
      <c r="C165" s="29">
        <f t="shared" si="106"/>
        <v>-1.710133296605131</v>
      </c>
      <c r="D165" s="29">
        <f t="shared" si="107"/>
        <v>-1.2087471105242489</v>
      </c>
      <c r="E165" s="29">
        <f t="shared" si="108"/>
        <v>-0.4625699455261631</v>
      </c>
      <c r="F165" s="29">
        <f t="shared" si="109"/>
        <v>0.55092032718445105</v>
      </c>
      <c r="G165" s="29">
        <f t="shared" si="110"/>
        <v>0.64935760721006675</v>
      </c>
      <c r="H165" s="29">
        <f t="shared" si="111"/>
        <v>1.3031038937295969</v>
      </c>
      <c r="I165" s="29">
        <f t="shared" si="112"/>
        <v>-0.48416856849416673</v>
      </c>
      <c r="J165" s="29">
        <f t="shared" si="113"/>
        <v>-4.8559130511309778E-3</v>
      </c>
      <c r="K165" s="26">
        <f t="shared" si="76"/>
        <v>-1.2087471105242489</v>
      </c>
      <c r="L165" s="26">
        <f t="shared" si="77"/>
        <v>0.22992281038138643</v>
      </c>
      <c r="M165" s="26">
        <f t="shared" si="78"/>
        <v>0.64935760721006675</v>
      </c>
      <c r="N165" s="26">
        <f t="shared" si="79"/>
        <v>0.65686568632889542</v>
      </c>
      <c r="O165" s="26">
        <f t="shared" si="80"/>
        <v>-2.3276322628694168E-2</v>
      </c>
      <c r="P165" s="26">
        <f t="shared" si="81"/>
        <v>0.49418118205387535</v>
      </c>
      <c r="Q165" s="26">
        <f t="shared" si="82"/>
        <v>0.12210752034808274</v>
      </c>
      <c r="R165" s="26">
        <f t="shared" si="83"/>
        <v>-2.9188804071293797</v>
      </c>
      <c r="S165" s="26">
        <f t="shared" si="84"/>
        <v>5.122809002157723E-2</v>
      </c>
      <c r="T165" s="26">
        <f t="shared" si="85"/>
        <v>1.2002779343945178</v>
      </c>
      <c r="U165" s="26">
        <f t="shared" si="86"/>
        <v>0.76857422279258181</v>
      </c>
      <c r="V165" s="26">
        <f t="shared" si="87"/>
        <v>-0.31021987070668444</v>
      </c>
      <c r="W165" s="26">
        <f t="shared" si="88"/>
        <v>0.42306107182997643</v>
      </c>
      <c r="X165" s="26">
        <f t="shared" si="89"/>
        <v>0.16642926341898781</v>
      </c>
      <c r="Y165" s="26">
        <f t="shared" si="90"/>
        <v>3.1377093499682429E-2</v>
      </c>
      <c r="Z165" s="26">
        <f t="shared" si="91"/>
        <v>0.507843629866635</v>
      </c>
      <c r="AA165" s="26">
        <f t="shared" si="92"/>
        <v>0.18678766168390365</v>
      </c>
      <c r="AB165" s="26">
        <f t="shared" si="93"/>
        <v>0.54656161760651922</v>
      </c>
      <c r="AC165" s="26">
        <f t="shared" si="94"/>
        <v>0.3922891424434487</v>
      </c>
      <c r="AD165" s="26">
        <f t="shared" si="95"/>
        <v>0.59683364206624068</v>
      </c>
      <c r="AE165" s="26">
        <f t="shared" si="96"/>
        <v>8.1271556084786076E-2</v>
      </c>
      <c r="AF165" s="26">
        <f t="shared" si="97"/>
        <v>-1.6787562031054486</v>
      </c>
      <c r="AG165" s="26">
        <f t="shared" si="98"/>
        <v>0.15726023834875061</v>
      </c>
      <c r="AH165" s="26">
        <f t="shared" si="99"/>
        <v>0.73770798886835465</v>
      </c>
      <c r="AI165" s="26">
        <f t="shared" si="100"/>
        <v>0.67649445332239833</v>
      </c>
      <c r="AJ165" s="26">
        <f t="shared" si="101"/>
        <v>-0.1274668351893791</v>
      </c>
      <c r="AK165" s="26">
        <f t="shared" si="102"/>
        <v>0.4681763681902672</v>
      </c>
      <c r="AL165" s="26">
        <f t="shared" si="103"/>
        <v>0.10959455586591432</v>
      </c>
      <c r="AM165" s="27">
        <f t="shared" si="104"/>
        <v>0.47940289571777095</v>
      </c>
    </row>
    <row r="166" spans="1:39" ht="15" customHeight="1" x14ac:dyDescent="0.2">
      <c r="A166" s="24">
        <v>155</v>
      </c>
      <c r="B166" s="29">
        <f t="shared" si="105"/>
        <v>1.2515887544980469</v>
      </c>
      <c r="C166" s="29">
        <f t="shared" si="106"/>
        <v>-1.7213459761578573</v>
      </c>
      <c r="D166" s="29">
        <f t="shared" si="107"/>
        <v>-1.2168648242572404</v>
      </c>
      <c r="E166" s="29">
        <f t="shared" si="108"/>
        <v>-0.46185878966274374</v>
      </c>
      <c r="F166" s="29">
        <f t="shared" si="109"/>
        <v>0.55114499841659104</v>
      </c>
      <c r="G166" s="29">
        <f t="shared" si="110"/>
        <v>0.65142212486751816</v>
      </c>
      <c r="H166" s="29">
        <f t="shared" si="111"/>
        <v>1.3128504732812942</v>
      </c>
      <c r="I166" s="29">
        <f t="shared" si="112"/>
        <v>-0.48291634373675241</v>
      </c>
      <c r="J166" s="29">
        <f t="shared" si="113"/>
        <v>-7.1237429543324071E-3</v>
      </c>
      <c r="K166" s="26">
        <f t="shared" si="76"/>
        <v>-1.2168648242572404</v>
      </c>
      <c r="L166" s="26">
        <f t="shared" si="77"/>
        <v>0.2284886538271422</v>
      </c>
      <c r="M166" s="26">
        <f t="shared" si="78"/>
        <v>0.65142212486751816</v>
      </c>
      <c r="N166" s="26">
        <f t="shared" si="79"/>
        <v>0.65733086366643434</v>
      </c>
      <c r="O166" s="26">
        <f t="shared" si="80"/>
        <v>-2.4588122945079088E-2</v>
      </c>
      <c r="P166" s="26">
        <f t="shared" si="81"/>
        <v>0.49385327894050496</v>
      </c>
      <c r="Q166" s="26">
        <f t="shared" si="82"/>
        <v>0.12194553056014409</v>
      </c>
      <c r="R166" s="26">
        <f t="shared" si="83"/>
        <v>-2.9382108004150975</v>
      </c>
      <c r="S166" s="26">
        <f t="shared" si="84"/>
        <v>5.0296669000104842E-2</v>
      </c>
      <c r="T166" s="26">
        <f t="shared" si="85"/>
        <v>1.2025671232841093</v>
      </c>
      <c r="U166" s="26">
        <f t="shared" si="86"/>
        <v>0.76898114562214936</v>
      </c>
      <c r="V166" s="26">
        <f t="shared" si="87"/>
        <v>-0.31244530049941976</v>
      </c>
      <c r="W166" s="26">
        <f t="shared" si="88"/>
        <v>0.42251798124632434</v>
      </c>
      <c r="X166" s="26">
        <f t="shared" si="89"/>
        <v>0.1667427409919103</v>
      </c>
      <c r="Y166" s="26">
        <f t="shared" si="90"/>
        <v>3.4723930240806444E-2</v>
      </c>
      <c r="Z166" s="26">
        <f t="shared" si="91"/>
        <v>0.50868011040650485</v>
      </c>
      <c r="AA166" s="26">
        <f t="shared" si="92"/>
        <v>0.18956333520477442</v>
      </c>
      <c r="AB166" s="26">
        <f t="shared" si="93"/>
        <v>0.54724942903606355</v>
      </c>
      <c r="AC166" s="26">
        <f t="shared" si="94"/>
        <v>0.39642148735950733</v>
      </c>
      <c r="AD166" s="26">
        <f t="shared" si="95"/>
        <v>0.59782758117341994</v>
      </c>
      <c r="AE166" s="26">
        <f t="shared" si="96"/>
        <v>8.0871327232411069E-2</v>
      </c>
      <c r="AF166" s="26">
        <f t="shared" si="97"/>
        <v>-1.6866220459170509</v>
      </c>
      <c r="AG166" s="26">
        <f t="shared" si="98"/>
        <v>0.15622059066677238</v>
      </c>
      <c r="AH166" s="26">
        <f t="shared" si="99"/>
        <v>0.74070833362136546</v>
      </c>
      <c r="AI166" s="26">
        <f t="shared" si="100"/>
        <v>0.67715072987556602</v>
      </c>
      <c r="AJ166" s="26">
        <f t="shared" si="101"/>
        <v>-0.12903662119135856</v>
      </c>
      <c r="AK166" s="26">
        <f t="shared" si="102"/>
        <v>0.4677855310854393</v>
      </c>
      <c r="AL166" s="26">
        <f t="shared" si="103"/>
        <v>0.10941165154644325</v>
      </c>
      <c r="AM166" s="27">
        <f t="shared" si="104"/>
        <v>0.4789712503309087</v>
      </c>
    </row>
    <row r="167" spans="1:39" ht="15" customHeight="1" x14ac:dyDescent="0.2">
      <c r="A167" s="24">
        <v>156</v>
      </c>
      <c r="B167" s="29">
        <f t="shared" si="105"/>
        <v>1.2631613854269979</v>
      </c>
      <c r="C167" s="29">
        <f t="shared" si="106"/>
        <v>-1.7326638632355349</v>
      </c>
      <c r="D167" s="29">
        <f t="shared" si="107"/>
        <v>-1.2250249795044226</v>
      </c>
      <c r="E167" s="29">
        <f t="shared" si="108"/>
        <v>-0.46113309848385947</v>
      </c>
      <c r="F167" s="29">
        <f t="shared" si="109"/>
        <v>0.55135217180433516</v>
      </c>
      <c r="G167" s="29">
        <f t="shared" si="110"/>
        <v>0.6534874903941652</v>
      </c>
      <c r="H167" s="29">
        <f t="shared" si="111"/>
        <v>1.322724582740967</v>
      </c>
      <c r="I167" s="29">
        <f t="shared" si="112"/>
        <v>-0.48165385363105923</v>
      </c>
      <c r="J167" s="29">
        <f t="shared" si="113"/>
        <v>-9.4314993637634875E-3</v>
      </c>
      <c r="K167" s="26">
        <f t="shared" si="76"/>
        <v>-1.2250249795044226</v>
      </c>
      <c r="L167" s="26">
        <f t="shared" si="77"/>
        <v>0.22705335666710089</v>
      </c>
      <c r="M167" s="26">
        <f t="shared" si="78"/>
        <v>0.6534874903941652</v>
      </c>
      <c r="N167" s="26">
        <f t="shared" si="79"/>
        <v>0.65779592976727774</v>
      </c>
      <c r="O167" s="26">
        <f t="shared" si="80"/>
        <v>-2.5932387381571401E-2</v>
      </c>
      <c r="P167" s="26">
        <f t="shared" si="81"/>
        <v>0.49351726644763183</v>
      </c>
      <c r="Q167" s="26">
        <f t="shared" si="82"/>
        <v>0.12177964614097142</v>
      </c>
      <c r="R167" s="26">
        <f t="shared" si="83"/>
        <v>-2.9576888427399575</v>
      </c>
      <c r="S167" s="26">
        <f t="shared" si="84"/>
        <v>4.9374370908178047E-2</v>
      </c>
      <c r="T167" s="26">
        <f t="shared" si="85"/>
        <v>1.2048396621985002</v>
      </c>
      <c r="U167" s="26">
        <f t="shared" si="86"/>
        <v>0.76938461341196174</v>
      </c>
      <c r="V167" s="26">
        <f t="shared" si="87"/>
        <v>-0.31469986918046006</v>
      </c>
      <c r="W167" s="26">
        <f t="shared" si="88"/>
        <v>0.42196797060977087</v>
      </c>
      <c r="X167" s="26">
        <f t="shared" si="89"/>
        <v>0.16706051350049336</v>
      </c>
      <c r="Y167" s="26">
        <f t="shared" si="90"/>
        <v>3.8136405922575278E-2</v>
      </c>
      <c r="Z167" s="26">
        <f t="shared" si="91"/>
        <v>0.50953294612713174</v>
      </c>
      <c r="AA167" s="26">
        <f t="shared" si="92"/>
        <v>0.19235439191030573</v>
      </c>
      <c r="AB167" s="26">
        <f t="shared" si="93"/>
        <v>0.54794087052121943</v>
      </c>
      <c r="AC167" s="26">
        <f t="shared" si="94"/>
        <v>0.40062242234651985</v>
      </c>
      <c r="AD167" s="26">
        <f t="shared" si="95"/>
        <v>0.5988371945795502</v>
      </c>
      <c r="AE167" s="26">
        <f t="shared" si="96"/>
        <v>8.0465798226402832E-2</v>
      </c>
      <c r="AF167" s="26">
        <f t="shared" si="97"/>
        <v>-1.6945274573129596</v>
      </c>
      <c r="AG167" s="26">
        <f t="shared" si="98"/>
        <v>0.15518136292958667</v>
      </c>
      <c r="AH167" s="26">
        <f t="shared" si="99"/>
        <v>0.74370656371464094</v>
      </c>
      <c r="AI167" s="26">
        <f t="shared" si="100"/>
        <v>0.67780584735051652</v>
      </c>
      <c r="AJ167" s="26">
        <f t="shared" si="101"/>
        <v>-0.13063709422359315</v>
      </c>
      <c r="AK167" s="26">
        <f t="shared" si="102"/>
        <v>0.46738709438129672</v>
      </c>
      <c r="AL167" s="26">
        <f t="shared" si="103"/>
        <v>0.10922534799709559</v>
      </c>
      <c r="AM167" s="27">
        <f t="shared" si="104"/>
        <v>0.47853130586496323</v>
      </c>
    </row>
    <row r="168" spans="1:39" ht="15" customHeight="1" x14ac:dyDescent="0.2">
      <c r="A168" s="24">
        <v>157</v>
      </c>
      <c r="B168" s="29">
        <f t="shared" si="105"/>
        <v>1.2748420296087553</v>
      </c>
      <c r="C168" s="29">
        <f t="shared" si="106"/>
        <v>-1.7440868416229769</v>
      </c>
      <c r="D168" s="29">
        <f t="shared" si="107"/>
        <v>-1.2332274511573798</v>
      </c>
      <c r="E168" s="29">
        <f t="shared" si="108"/>
        <v>-0.46039252321682311</v>
      </c>
      <c r="F168" s="29">
        <f t="shared" si="109"/>
        <v>0.55154155374548652</v>
      </c>
      <c r="G168" s="29">
        <f t="shared" si="110"/>
        <v>0.65555368853109564</v>
      </c>
      <c r="H168" s="29">
        <f t="shared" si="111"/>
        <v>1.3327261376019581</v>
      </c>
      <c r="I168" s="29">
        <f t="shared" si="112"/>
        <v>-0.48038075680584763</v>
      </c>
      <c r="J168" s="29">
        <f t="shared" si="113"/>
        <v>-1.1779537988031025E-2</v>
      </c>
      <c r="K168" s="26">
        <f t="shared" si="76"/>
        <v>-1.2332274511573798</v>
      </c>
      <c r="L168" s="26">
        <f t="shared" si="77"/>
        <v>0.22561704554616566</v>
      </c>
      <c r="M168" s="26">
        <f t="shared" si="78"/>
        <v>0.65555368853109564</v>
      </c>
      <c r="N168" s="26">
        <f t="shared" si="79"/>
        <v>0.65826088012968775</v>
      </c>
      <c r="O168" s="26">
        <f t="shared" si="80"/>
        <v>-2.7309664072507372E-2</v>
      </c>
      <c r="P168" s="26">
        <f t="shared" si="81"/>
        <v>0.49317300828423344</v>
      </c>
      <c r="Q168" s="26">
        <f t="shared" si="82"/>
        <v>0.12160980805006029</v>
      </c>
      <c r="R168" s="26">
        <f t="shared" si="83"/>
        <v>-2.9773142927803566</v>
      </c>
      <c r="S168" s="26">
        <f t="shared" si="84"/>
        <v>4.8461324184967035E-2</v>
      </c>
      <c r="T168" s="26">
        <f t="shared" si="85"/>
        <v>1.2070952422765822</v>
      </c>
      <c r="U168" s="26">
        <f t="shared" si="86"/>
        <v>0.76978458214061296</v>
      </c>
      <c r="V168" s="26">
        <f t="shared" si="87"/>
        <v>-0.31698356473010436</v>
      </c>
      <c r="W168" s="26">
        <f t="shared" si="88"/>
        <v>0.42141105162488707</v>
      </c>
      <c r="X168" s="26">
        <f t="shared" si="89"/>
        <v>0.16738258559090957</v>
      </c>
      <c r="Y168" s="26">
        <f t="shared" si="90"/>
        <v>4.1614578451375506E-2</v>
      </c>
      <c r="Z168" s="26">
        <f t="shared" si="91"/>
        <v>0.51040214347678148</v>
      </c>
      <c r="AA168" s="26">
        <f t="shared" si="92"/>
        <v>0.19516116531427252</v>
      </c>
      <c r="AB168" s="26">
        <f t="shared" si="93"/>
        <v>0.54863601899396941</v>
      </c>
      <c r="AC168" s="26">
        <f t="shared" si="94"/>
        <v>0.40489255329626994</v>
      </c>
      <c r="AD168" s="26">
        <f t="shared" si="95"/>
        <v>0.59986257898079276</v>
      </c>
      <c r="AE168" s="26">
        <f t="shared" si="96"/>
        <v>8.0054977849951151E-2</v>
      </c>
      <c r="AF168" s="26">
        <f t="shared" si="97"/>
        <v>-1.7024722631716014</v>
      </c>
      <c r="AG168" s="26">
        <f t="shared" si="98"/>
        <v>0.15414264906526884</v>
      </c>
      <c r="AH168" s="26">
        <f t="shared" si="99"/>
        <v>0.74670271905975905</v>
      </c>
      <c r="AI168" s="26">
        <f t="shared" si="100"/>
        <v>0.67845981409769363</v>
      </c>
      <c r="AJ168" s="26">
        <f t="shared" si="101"/>
        <v>-0.13226863961814594</v>
      </c>
      <c r="AK168" s="26">
        <f t="shared" si="102"/>
        <v>0.46698096504697545</v>
      </c>
      <c r="AL168" s="26">
        <f t="shared" si="103"/>
        <v>0.10903561085810225</v>
      </c>
      <c r="AM168" s="27">
        <f t="shared" si="104"/>
        <v>0.47808298234902324</v>
      </c>
    </row>
    <row r="169" spans="1:39" ht="15" customHeight="1" x14ac:dyDescent="0.2">
      <c r="A169" s="24">
        <v>158</v>
      </c>
      <c r="B169" s="29">
        <f t="shared" si="105"/>
        <v>1.2866305560856581</v>
      </c>
      <c r="C169" s="29">
        <f t="shared" si="106"/>
        <v>-1.7556147475857844</v>
      </c>
      <c r="D169" s="29">
        <f t="shared" si="107"/>
        <v>-1.2414721066838752</v>
      </c>
      <c r="E169" s="29">
        <f t="shared" si="108"/>
        <v>-0.45963671758878744</v>
      </c>
      <c r="F169" s="29">
        <f t="shared" si="109"/>
        <v>0.55171285154158078</v>
      </c>
      <c r="G169" s="29">
        <f t="shared" si="110"/>
        <v>0.6576206998224563</v>
      </c>
      <c r="H169" s="29">
        <f t="shared" si="111"/>
        <v>1.3428549910842436</v>
      </c>
      <c r="I169" s="29">
        <f t="shared" si="112"/>
        <v>-0.47909670782302333</v>
      </c>
      <c r="J169" s="29">
        <f t="shared" si="113"/>
        <v>-1.4168202710757527E-2</v>
      </c>
      <c r="K169" s="26">
        <f t="shared" si="76"/>
        <v>-1.2414721066838752</v>
      </c>
      <c r="L169" s="26">
        <f t="shared" si="77"/>
        <v>0.22417984820617623</v>
      </c>
      <c r="M169" s="26">
        <f t="shared" si="78"/>
        <v>0.6576206998224563</v>
      </c>
      <c r="N169" s="26">
        <f t="shared" si="79"/>
        <v>0.65872570931775598</v>
      </c>
      <c r="O169" s="26">
        <f t="shared" si="80"/>
        <v>-2.8720493339108366E-2</v>
      </c>
      <c r="P169" s="26">
        <f t="shared" si="81"/>
        <v>0.49282037017825731</v>
      </c>
      <c r="Q169" s="26">
        <f t="shared" si="82"/>
        <v>0.12143595863131729</v>
      </c>
      <c r="R169" s="26">
        <f t="shared" si="83"/>
        <v>-2.9970868542696598</v>
      </c>
      <c r="S169" s="26">
        <f t="shared" si="84"/>
        <v>4.7557653018215622E-2</v>
      </c>
      <c r="T169" s="26">
        <f t="shared" si="85"/>
        <v>1.2093335513640371</v>
      </c>
      <c r="U169" s="26">
        <f t="shared" si="86"/>
        <v>0.77018100739750672</v>
      </c>
      <c r="V169" s="26">
        <f t="shared" si="87"/>
        <v>-0.31929635606295909</v>
      </c>
      <c r="W169" s="26">
        <f t="shared" si="88"/>
        <v>0.42084724083572739</v>
      </c>
      <c r="X169" s="26">
        <f t="shared" si="89"/>
        <v>0.167708959223795</v>
      </c>
      <c r="Y169" s="26">
        <f t="shared" si="90"/>
        <v>4.515844940178293E-2</v>
      </c>
      <c r="Z169" s="26">
        <f t="shared" si="91"/>
        <v>0.51128769417966802</v>
      </c>
      <c r="AA169" s="26">
        <f t="shared" si="92"/>
        <v>0.19798398223366886</v>
      </c>
      <c r="AB169" s="26">
        <f t="shared" si="93"/>
        <v>0.54933494953600825</v>
      </c>
      <c r="AC169" s="26">
        <f t="shared" si="94"/>
        <v>0.40923246348353587</v>
      </c>
      <c r="AD169" s="26">
        <f t="shared" si="95"/>
        <v>0.60090382371857998</v>
      </c>
      <c r="AE169" s="26">
        <f t="shared" si="96"/>
        <v>7.9638878961225137E-2</v>
      </c>
      <c r="AF169" s="26">
        <f t="shared" si="97"/>
        <v>-1.7104562981840015</v>
      </c>
      <c r="AG169" s="26">
        <f t="shared" si="98"/>
        <v>0.15310454116137304</v>
      </c>
      <c r="AH169" s="26">
        <f t="shared" si="99"/>
        <v>0.74969683377524965</v>
      </c>
      <c r="AI169" s="26">
        <f t="shared" si="100"/>
        <v>0.67911263718469939</v>
      </c>
      <c r="AJ169" s="26">
        <f t="shared" si="101"/>
        <v>-0.13393163417074549</v>
      </c>
      <c r="AK169" s="26">
        <f t="shared" si="102"/>
        <v>0.46656705232326318</v>
      </c>
      <c r="AL169" s="26">
        <f t="shared" si="103"/>
        <v>0.1088424071568093</v>
      </c>
      <c r="AM169" s="27">
        <f t="shared" si="104"/>
        <v>0.47762620397314676</v>
      </c>
    </row>
    <row r="170" spans="1:39" ht="15" customHeight="1" x14ac:dyDescent="0.2">
      <c r="A170" s="24">
        <v>159</v>
      </c>
      <c r="B170" s="29">
        <f t="shared" si="105"/>
        <v>1.2985267684220561</v>
      </c>
      <c r="C170" s="29">
        <f t="shared" si="106"/>
        <v>-1.7672473685120358</v>
      </c>
      <c r="D170" s="29">
        <f t="shared" si="107"/>
        <v>-1.2497588061236624</v>
      </c>
      <c r="E170" s="29">
        <f t="shared" si="108"/>
        <v>-0.45886533820510272</v>
      </c>
      <c r="F170" s="29">
        <f t="shared" si="109"/>
        <v>0.55186577366059575</v>
      </c>
      <c r="G170" s="29">
        <f t="shared" si="110"/>
        <v>0.65968850045650895</v>
      </c>
      <c r="H170" s="29">
        <f t="shared" si="111"/>
        <v>1.3531109324715993</v>
      </c>
      <c r="I170" s="29">
        <f t="shared" si="112"/>
        <v>-0.47780135719576772</v>
      </c>
      <c r="J170" s="29">
        <f t="shared" si="113"/>
        <v>-1.6597824691440125E-2</v>
      </c>
      <c r="K170" s="26">
        <f t="shared" si="76"/>
        <v>-1.2497588061236624</v>
      </c>
      <c r="L170" s="26">
        <f t="shared" si="77"/>
        <v>0.2227418934323683</v>
      </c>
      <c r="M170" s="26">
        <f t="shared" si="78"/>
        <v>0.65968850045650895</v>
      </c>
      <c r="N170" s="26">
        <f t="shared" si="79"/>
        <v>0.65919041092886632</v>
      </c>
      <c r="O170" s="26">
        <f t="shared" si="80"/>
        <v>-3.0165406560926825E-2</v>
      </c>
      <c r="P170" s="26">
        <f t="shared" si="81"/>
        <v>0.49245922016324906</v>
      </c>
      <c r="Q170" s="26">
        <f t="shared" si="82"/>
        <v>0.12125804176189771</v>
      </c>
      <c r="R170" s="26">
        <f t="shared" si="83"/>
        <v>-3.0170061746356982</v>
      </c>
      <c r="S170" s="26">
        <f t="shared" si="84"/>
        <v>4.6663477209238205E-2</v>
      </c>
      <c r="T170" s="26">
        <f t="shared" si="85"/>
        <v>1.2115542741171046</v>
      </c>
      <c r="U170" s="26">
        <f t="shared" si="86"/>
        <v>0.77057384439949372</v>
      </c>
      <c r="V170" s="26">
        <f t="shared" si="87"/>
        <v>-0.321638192206119</v>
      </c>
      <c r="W170" s="26">
        <f t="shared" si="88"/>
        <v>0.42027655982022682</v>
      </c>
      <c r="X170" s="26">
        <f t="shared" si="89"/>
        <v>0.16803963354693552</v>
      </c>
      <c r="Y170" s="26">
        <f t="shared" si="90"/>
        <v>4.8767962298393641E-2</v>
      </c>
      <c r="Z170" s="26">
        <f t="shared" si="91"/>
        <v>0.51218957478384264</v>
      </c>
      <c r="AA170" s="26">
        <f t="shared" si="92"/>
        <v>0.20082316225140623</v>
      </c>
      <c r="AB170" s="26">
        <f t="shared" si="93"/>
        <v>0.55003773524259902</v>
      </c>
      <c r="AC170" s="26">
        <f t="shared" si="94"/>
        <v>0.41364271203875697</v>
      </c>
      <c r="AD170" s="26">
        <f t="shared" si="95"/>
        <v>0.60196101037848226</v>
      </c>
      <c r="AE170" s="26">
        <f t="shared" si="96"/>
        <v>7.9217518629459346E-2</v>
      </c>
      <c r="AF170" s="26">
        <f t="shared" si="97"/>
        <v>-1.7184794062136421</v>
      </c>
      <c r="AG170" s="26">
        <f t="shared" si="98"/>
        <v>0.15206712943550046</v>
      </c>
      <c r="AH170" s="26">
        <f t="shared" si="99"/>
        <v>0.75268893591200192</v>
      </c>
      <c r="AI170" s="26">
        <f t="shared" si="100"/>
        <v>0.6797643223430434</v>
      </c>
      <c r="AJ170" s="26">
        <f t="shared" si="101"/>
        <v>-0.13562644517145822</v>
      </c>
      <c r="AK170" s="26">
        <f t="shared" si="102"/>
        <v>0.46614526796873057</v>
      </c>
      <c r="AL170" s="26">
        <f t="shared" si="103"/>
        <v>0.10864570542481981</v>
      </c>
      <c r="AM170" s="27">
        <f t="shared" si="104"/>
        <v>0.4771608993631124</v>
      </c>
    </row>
    <row r="171" spans="1:39" ht="15" customHeight="1" x14ac:dyDescent="0.2">
      <c r="A171" s="24">
        <v>160</v>
      </c>
      <c r="B171" s="29">
        <f t="shared" si="105"/>
        <v>1.3105304030424987</v>
      </c>
      <c r="C171" s="29">
        <f t="shared" si="106"/>
        <v>-1.7789844415792662</v>
      </c>
      <c r="D171" s="29">
        <f t="shared" si="107"/>
        <v>-1.2580874020693225</v>
      </c>
      <c r="E171" s="29">
        <f t="shared" si="108"/>
        <v>-0.45807804494190019</v>
      </c>
      <c r="F171" s="29">
        <f t="shared" si="109"/>
        <v>0.55200003001163966</v>
      </c>
      <c r="G171" s="29">
        <f t="shared" si="110"/>
        <v>0.66175706210476304</v>
      </c>
      <c r="H171" s="29">
        <f t="shared" si="111"/>
        <v>1.363493685493175</v>
      </c>
      <c r="I171" s="29">
        <f t="shared" si="112"/>
        <v>-0.47649435141552499</v>
      </c>
      <c r="J171" s="29">
        <f t="shared" si="113"/>
        <v>-1.9068721449046228E-2</v>
      </c>
      <c r="K171" s="26">
        <f t="shared" si="76"/>
        <v>-1.2580874020693225</v>
      </c>
      <c r="L171" s="26">
        <f t="shared" si="77"/>
        <v>0.22130331100181022</v>
      </c>
      <c r="M171" s="26">
        <f t="shared" si="78"/>
        <v>0.66175706210476304</v>
      </c>
      <c r="N171" s="26">
        <f t="shared" si="79"/>
        <v>0.65965497756089009</v>
      </c>
      <c r="O171" s="26">
        <f t="shared" si="80"/>
        <v>-3.1644925010244712E-2</v>
      </c>
      <c r="P171" s="26">
        <f t="shared" si="81"/>
        <v>0.49208942887442486</v>
      </c>
      <c r="Q171" s="26">
        <f t="shared" si="82"/>
        <v>0.12107600300497882</v>
      </c>
      <c r="R171" s="26">
        <f t="shared" si="83"/>
        <v>-3.0370718436485884</v>
      </c>
      <c r="S171" s="26">
        <f t="shared" si="84"/>
        <v>4.5778912042479886E-2</v>
      </c>
      <c r="T171" s="26">
        <f t="shared" si="85"/>
        <v>1.2137570921164027</v>
      </c>
      <c r="U171" s="26">
        <f t="shared" si="86"/>
        <v>0.77096304800897331</v>
      </c>
      <c r="V171" s="26">
        <f t="shared" si="87"/>
        <v>-0.32400900147674938</v>
      </c>
      <c r="W171" s="26">
        <f t="shared" si="88"/>
        <v>0.41969903538380632</v>
      </c>
      <c r="X171" s="26">
        <f t="shared" si="89"/>
        <v>0.16837460476724239</v>
      </c>
      <c r="Y171" s="26">
        <f t="shared" si="90"/>
        <v>5.2443000973176224E-2</v>
      </c>
      <c r="Z171" s="26">
        <f t="shared" si="91"/>
        <v>0.51310774622935473</v>
      </c>
      <c r="AA171" s="26">
        <f t="shared" si="92"/>
        <v>0.20367901716286285</v>
      </c>
      <c r="AB171" s="26">
        <f t="shared" si="93"/>
        <v>0.55074444708267345</v>
      </c>
      <c r="AC171" s="26">
        <f t="shared" si="94"/>
        <v>0.4181238324039529</v>
      </c>
      <c r="AD171" s="26">
        <f t="shared" si="95"/>
        <v>0.60303421238760646</v>
      </c>
      <c r="AE171" s="26">
        <f t="shared" si="96"/>
        <v>7.8790918267363966E-2</v>
      </c>
      <c r="AF171" s="26">
        <f t="shared" si="97"/>
        <v>-1.7265414406060899</v>
      </c>
      <c r="AG171" s="26">
        <f t="shared" si="98"/>
        <v>0.15103050221429296</v>
      </c>
      <c r="AH171" s="26">
        <f t="shared" si="99"/>
        <v>0.75567904717450252</v>
      </c>
      <c r="AI171" s="26">
        <f t="shared" si="100"/>
        <v>0.68041487391440925</v>
      </c>
      <c r="AJ171" s="26">
        <f t="shared" si="101"/>
        <v>-0.13735342940231743</v>
      </c>
      <c r="AK171" s="26">
        <f t="shared" si="102"/>
        <v>0.46571552651402193</v>
      </c>
      <c r="AL171" s="26">
        <f t="shared" si="103"/>
        <v>0.10844547581811632</v>
      </c>
      <c r="AM171" s="27">
        <f t="shared" si="104"/>
        <v>0.47668700185770146</v>
      </c>
    </row>
    <row r="172" spans="1:39" ht="15" customHeight="1" x14ac:dyDescent="0.2">
      <c r="A172" s="24">
        <v>161</v>
      </c>
      <c r="B172" s="29">
        <f t="shared" si="105"/>
        <v>1.3226411276378938</v>
      </c>
      <c r="C172" s="29">
        <f t="shared" si="106"/>
        <v>-1.7908256524511927</v>
      </c>
      <c r="D172" s="29">
        <f t="shared" si="107"/>
        <v>-1.2664577396303995</v>
      </c>
      <c r="E172" s="29">
        <f t="shared" si="108"/>
        <v>-0.45727450135268749</v>
      </c>
      <c r="F172" s="29">
        <f t="shared" si="109"/>
        <v>0.55211533223169362</v>
      </c>
      <c r="G172" s="29">
        <f t="shared" si="110"/>
        <v>0.66382635175958349</v>
      </c>
      <c r="H172" s="29">
        <f t="shared" si="111"/>
        <v>1.3740029067554755</v>
      </c>
      <c r="I172" s="29">
        <f t="shared" si="112"/>
        <v>-0.47517533298868075</v>
      </c>
      <c r="J172" s="29">
        <f t="shared" si="113"/>
        <v>-2.1581195930410052E-2</v>
      </c>
      <c r="K172" s="26">
        <f t="shared" si="76"/>
        <v>-1.2664577396303995</v>
      </c>
      <c r="L172" s="26">
        <f t="shared" si="77"/>
        <v>0.21986423163405852</v>
      </c>
      <c r="M172" s="26">
        <f t="shared" si="78"/>
        <v>0.66382635175958349</v>
      </c>
      <c r="N172" s="26">
        <f t="shared" si="79"/>
        <v>0.66011940077920883</v>
      </c>
      <c r="O172" s="26">
        <f t="shared" si="80"/>
        <v>-3.315955865120343E-2</v>
      </c>
      <c r="P172" s="26">
        <f t="shared" si="81"/>
        <v>0.49171086985374063</v>
      </c>
      <c r="Q172" s="26">
        <f t="shared" si="82"/>
        <v>0.12088978976616113</v>
      </c>
      <c r="R172" s="26">
        <f t="shared" si="83"/>
        <v>-3.0572833920815921</v>
      </c>
      <c r="S172" s="26">
        <f t="shared" si="84"/>
        <v>4.490406815995826E-2</v>
      </c>
      <c r="T172" s="26">
        <f t="shared" si="85"/>
        <v>1.2159416839912771</v>
      </c>
      <c r="U172" s="26">
        <f t="shared" si="86"/>
        <v>0.77134857275352886</v>
      </c>
      <c r="V172" s="26">
        <f t="shared" si="87"/>
        <v>-0.32640869066198308</v>
      </c>
      <c r="W172" s="26">
        <f t="shared" si="88"/>
        <v>0.41911469975143201</v>
      </c>
      <c r="X172" s="26">
        <f t="shared" si="89"/>
        <v>0.16871386602243449</v>
      </c>
      <c r="Y172" s="26">
        <f t="shared" si="90"/>
        <v>5.6183388007494228E-2</v>
      </c>
      <c r="Z172" s="26">
        <f t="shared" si="91"/>
        <v>0.51404215343921544</v>
      </c>
      <c r="AA172" s="26">
        <f t="shared" si="92"/>
        <v>0.206551850406896</v>
      </c>
      <c r="AB172" s="26">
        <f t="shared" si="93"/>
        <v>0.55145515375535537</v>
      </c>
      <c r="AC172" s="26">
        <f t="shared" si="94"/>
        <v>0.42267633077589095</v>
      </c>
      <c r="AD172" s="26">
        <f t="shared" si="95"/>
        <v>0.60412349461177361</v>
      </c>
      <c r="AE172" s="26">
        <f t="shared" si="96"/>
        <v>7.8359103759197218E-2</v>
      </c>
      <c r="AF172" s="26">
        <f t="shared" si="97"/>
        <v>-1.7346422644436985</v>
      </c>
      <c r="AG172" s="26">
        <f t="shared" si="98"/>
        <v>0.14999474592119322</v>
      </c>
      <c r="AH172" s="26">
        <f t="shared" si="99"/>
        <v>0.75866718263858957</v>
      </c>
      <c r="AI172" s="26">
        <f t="shared" si="100"/>
        <v>0.68106429479660135</v>
      </c>
      <c r="AJ172" s="26">
        <f t="shared" si="101"/>
        <v>-0.13911293210331765</v>
      </c>
      <c r="AK172" s="26">
        <f t="shared" si="102"/>
        <v>0.46527774552392692</v>
      </c>
      <c r="AL172" s="26">
        <f t="shared" si="103"/>
        <v>0.10824169023991405</v>
      </c>
      <c r="AM172" s="27">
        <f t="shared" si="104"/>
        <v>0.47620444978770682</v>
      </c>
    </row>
    <row r="173" spans="1:39" ht="15" customHeight="1" x14ac:dyDescent="0.2">
      <c r="A173" s="24">
        <v>162</v>
      </c>
      <c r="B173" s="29">
        <f t="shared" si="105"/>
        <v>1.3348585396471548</v>
      </c>
      <c r="C173" s="29">
        <f t="shared" si="106"/>
        <v>-1.8027706340088157</v>
      </c>
      <c r="D173" s="29">
        <f t="shared" si="107"/>
        <v>-1.2748696563791628</v>
      </c>
      <c r="E173" s="29">
        <f t="shared" si="108"/>
        <v>-0.45645437508868009</v>
      </c>
      <c r="F173" s="29">
        <f t="shared" si="109"/>
        <v>0.55221139398445085</v>
      </c>
      <c r="G173" s="29">
        <f t="shared" si="110"/>
        <v>0.66589633157070771</v>
      </c>
      <c r="H173" s="29">
        <f t="shared" si="111"/>
        <v>1.3846381842308921</v>
      </c>
      <c r="I173" s="29">
        <f t="shared" si="112"/>
        <v>-0.47384394048379919</v>
      </c>
      <c r="J173" s="29">
        <f t="shared" si="113"/>
        <v>-2.4135535565700153E-2</v>
      </c>
      <c r="K173" s="26">
        <f t="shared" si="76"/>
        <v>-1.2748696563791628</v>
      </c>
      <c r="L173" s="26">
        <f t="shared" si="77"/>
        <v>0.21842478694425224</v>
      </c>
      <c r="M173" s="26">
        <f t="shared" si="78"/>
        <v>0.66589633157070771</v>
      </c>
      <c r="N173" s="26">
        <f t="shared" si="79"/>
        <v>0.66058367108366045</v>
      </c>
      <c r="O173" s="26">
        <f t="shared" si="80"/>
        <v>-3.4709804905726796E-2</v>
      </c>
      <c r="P173" s="26">
        <f t="shared" si="81"/>
        <v>0.49132341986343409</v>
      </c>
      <c r="Q173" s="26">
        <f t="shared" si="82"/>
        <v>0.12069935145315017</v>
      </c>
      <c r="R173" s="26">
        <f t="shared" si="83"/>
        <v>-3.0776402903879783</v>
      </c>
      <c r="S173" s="26">
        <f t="shared" si="84"/>
        <v>4.4039051440893734E-2</v>
      </c>
      <c r="T173" s="26">
        <f t="shared" si="85"/>
        <v>1.2181077255551584</v>
      </c>
      <c r="U173" s="26">
        <f t="shared" si="86"/>
        <v>0.77173037284716706</v>
      </c>
      <c r="V173" s="26">
        <f t="shared" si="87"/>
        <v>-0.32883714420426335</v>
      </c>
      <c r="W173" s="26">
        <f t="shared" si="88"/>
        <v>0.41852359075732254</v>
      </c>
      <c r="X173" s="26">
        <f t="shared" si="89"/>
        <v>0.16905740725287882</v>
      </c>
      <c r="Y173" s="26">
        <f t="shared" si="90"/>
        <v>5.998888326799201E-2</v>
      </c>
      <c r="Z173" s="26">
        <f t="shared" si="91"/>
        <v>0.51499272493570991</v>
      </c>
      <c r="AA173" s="26">
        <f t="shared" si="92"/>
        <v>0.20944195648202762</v>
      </c>
      <c r="AB173" s="26">
        <f t="shared" si="93"/>
        <v>0.55216992154311184</v>
      </c>
      <c r="AC173" s="26">
        <f t="shared" si="94"/>
        <v>0.42730068454078213</v>
      </c>
      <c r="AD173" s="26">
        <f t="shared" si="95"/>
        <v>0.6052289129538041</v>
      </c>
      <c r="AE173" s="26">
        <f t="shared" si="96"/>
        <v>7.7922105583817597E-2</v>
      </c>
      <c r="AF173" s="26">
        <f t="shared" si="97"/>
        <v>-1.7427817507408236</v>
      </c>
      <c r="AG173" s="26">
        <f t="shared" si="98"/>
        <v>0.14895994507326601</v>
      </c>
      <c r="AH173" s="26">
        <f t="shared" si="99"/>
        <v>0.76165335046647842</v>
      </c>
      <c r="AI173" s="26">
        <f t="shared" si="100"/>
        <v>0.6817125863893394</v>
      </c>
      <c r="AJ173" s="26">
        <f t="shared" si="101"/>
        <v>-0.14090528590844664</v>
      </c>
      <c r="AK173" s="26">
        <f t="shared" si="102"/>
        <v>0.46483184586678894</v>
      </c>
      <c r="AL173" s="26">
        <f t="shared" si="103"/>
        <v>0.10803432246596312</v>
      </c>
      <c r="AM173" s="27">
        <f t="shared" si="104"/>
        <v>0.47571318675580976</v>
      </c>
    </row>
    <row r="174" spans="1:39" ht="15" customHeight="1" x14ac:dyDescent="0.2">
      <c r="A174" s="24">
        <v>163</v>
      </c>
      <c r="B174" s="29">
        <f t="shared" si="105"/>
        <v>1.3471821648219249</v>
      </c>
      <c r="C174" s="29">
        <f t="shared" si="106"/>
        <v>-1.8148189651206781</v>
      </c>
      <c r="D174" s="29">
        <f t="shared" si="107"/>
        <v>-1.2833229822763979</v>
      </c>
      <c r="E174" s="29">
        <f t="shared" si="108"/>
        <v>-0.45561733833252682</v>
      </c>
      <c r="F174" s="29">
        <f t="shared" si="109"/>
        <v>0.55228793127125742</v>
      </c>
      <c r="G174" s="29">
        <f t="shared" si="110"/>
        <v>0.66796695868114164</v>
      </c>
      <c r="H174" s="29">
        <f t="shared" si="111"/>
        <v>1.3953990358090396</v>
      </c>
      <c r="I174" s="29">
        <f t="shared" si="112"/>
        <v>-0.4724998085903141</v>
      </c>
      <c r="J174" s="29">
        <f t="shared" si="113"/>
        <v>-2.6732011313436402E-2</v>
      </c>
      <c r="K174" s="26">
        <f t="shared" si="76"/>
        <v>-1.2833229822763979</v>
      </c>
      <c r="L174" s="26">
        <f t="shared" si="77"/>
        <v>0.21698510939884255</v>
      </c>
      <c r="M174" s="26">
        <f t="shared" si="78"/>
        <v>0.66796695868114164</v>
      </c>
      <c r="N174" s="26">
        <f t="shared" si="79"/>
        <v>0.66104777787552171</v>
      </c>
      <c r="O174" s="26">
        <f t="shared" si="80"/>
        <v>-3.6296147388608993E-2</v>
      </c>
      <c r="P174" s="26">
        <f t="shared" si="81"/>
        <v>0.49092695920743862</v>
      </c>
      <c r="Q174" s="26">
        <f t="shared" si="82"/>
        <v>0.12050463963833105</v>
      </c>
      <c r="R174" s="26">
        <f t="shared" si="83"/>
        <v>-3.0981419473970759</v>
      </c>
      <c r="S174" s="26">
        <f t="shared" si="84"/>
        <v>4.3183962886825057E-2</v>
      </c>
      <c r="T174" s="26">
        <f t="shared" si="85"/>
        <v>1.2202548899523991</v>
      </c>
      <c r="U174" s="26">
        <f t="shared" si="86"/>
        <v>0.77210840221322763</v>
      </c>
      <c r="V174" s="26">
        <f t="shared" si="87"/>
        <v>-0.33129422339547066</v>
      </c>
      <c r="W174" s="26">
        <f t="shared" si="88"/>
        <v>0.41792575203144972</v>
      </c>
      <c r="X174" s="26">
        <f t="shared" si="89"/>
        <v>0.16940521507407671</v>
      </c>
      <c r="Y174" s="26">
        <f t="shared" si="90"/>
        <v>6.3859182545527027E-2</v>
      </c>
      <c r="Z174" s="26">
        <f t="shared" si="91"/>
        <v>0.51595937248460466</v>
      </c>
      <c r="AA174" s="26">
        <f t="shared" si="92"/>
        <v>0.21234962034861482</v>
      </c>
      <c r="AB174" s="26">
        <f t="shared" si="93"/>
        <v>0.55288881416175972</v>
      </c>
      <c r="AC174" s="26">
        <f t="shared" si="94"/>
        <v>0.43199734070506085</v>
      </c>
      <c r="AD174" s="26">
        <f t="shared" si="95"/>
        <v>0.60635051395430972</v>
      </c>
      <c r="AE174" s="26">
        <f t="shared" si="96"/>
        <v>7.7479958932018048E-2</v>
      </c>
      <c r="AF174" s="26">
        <f t="shared" si="97"/>
        <v>-1.7509597825751511</v>
      </c>
      <c r="AG174" s="26">
        <f t="shared" si="98"/>
        <v>0.14792618228732438</v>
      </c>
      <c r="AH174" s="26">
        <f t="shared" si="99"/>
        <v>0.76463755161987224</v>
      </c>
      <c r="AI174" s="26">
        <f t="shared" si="100"/>
        <v>0.68235974854008608</v>
      </c>
      <c r="AJ174" s="26">
        <f t="shared" si="101"/>
        <v>-0.14273080975371727</v>
      </c>
      <c r="AK174" s="26">
        <f t="shared" si="102"/>
        <v>0.46437775199072839</v>
      </c>
      <c r="AL174" s="26">
        <f t="shared" si="103"/>
        <v>0.10782334827198123</v>
      </c>
      <c r="AM174" s="27">
        <f t="shared" si="104"/>
        <v>0.47521316191640706</v>
      </c>
    </row>
    <row r="175" spans="1:39" ht="15" customHeight="1" x14ac:dyDescent="0.2">
      <c r="A175" s="24">
        <v>164</v>
      </c>
      <c r="B175" s="29">
        <f t="shared" si="105"/>
        <v>1.3596114558819861</v>
      </c>
      <c r="C175" s="29">
        <f t="shared" si="106"/>
        <v>-1.8269701694572182</v>
      </c>
      <c r="D175" s="29">
        <f t="shared" si="107"/>
        <v>-1.2918175395757268</v>
      </c>
      <c r="E175" s="29">
        <f t="shared" si="108"/>
        <v>-0.45476306824502016</v>
      </c>
      <c r="F175" s="29">
        <f t="shared" si="109"/>
        <v>0.55234466275411909</v>
      </c>
      <c r="G175" s="29">
        <f t="shared" si="110"/>
        <v>0.67003818506294077</v>
      </c>
      <c r="H175" s="29">
        <f t="shared" si="111"/>
        <v>1.406284907917255</v>
      </c>
      <c r="I175" s="29">
        <f t="shared" si="112"/>
        <v>-0.47114256818959277</v>
      </c>
      <c r="J175" s="29">
        <f t="shared" si="113"/>
        <v>-2.9370876697738954E-2</v>
      </c>
      <c r="K175" s="26">
        <f t="shared" si="76"/>
        <v>-1.2918175395757268</v>
      </c>
      <c r="L175" s="26">
        <f t="shared" si="77"/>
        <v>0.21554533227412376</v>
      </c>
      <c r="M175" s="26">
        <f t="shared" si="78"/>
        <v>0.67003818506294077</v>
      </c>
      <c r="N175" s="26">
        <f t="shared" si="79"/>
        <v>0.66151170942463411</v>
      </c>
      <c r="O175" s="26">
        <f t="shared" si="80"/>
        <v>-3.7919054614438438E-2</v>
      </c>
      <c r="P175" s="26">
        <f t="shared" si="81"/>
        <v>0.49052137205998753</v>
      </c>
      <c r="Q175" s="26">
        <f t="shared" si="82"/>
        <v>0.12030560822380636</v>
      </c>
      <c r="R175" s="26">
        <f t="shared" si="83"/>
        <v>-3.118787709032945</v>
      </c>
      <c r="S175" s="26">
        <f t="shared" si="84"/>
        <v>4.233889851249429E-2</v>
      </c>
      <c r="T175" s="26">
        <f t="shared" si="85"/>
        <v>1.2223828478170597</v>
      </c>
      <c r="U175" s="26">
        <f t="shared" si="86"/>
        <v>0.77248261450903588</v>
      </c>
      <c r="V175" s="26">
        <f t="shared" si="87"/>
        <v>-0.3337797655833763</v>
      </c>
      <c r="W175" s="26">
        <f t="shared" si="88"/>
        <v>0.41732123318193282</v>
      </c>
      <c r="X175" s="26">
        <f t="shared" si="89"/>
        <v>0.16975727265031176</v>
      </c>
      <c r="Y175" s="26">
        <f t="shared" si="90"/>
        <v>6.7793916306259305E-2</v>
      </c>
      <c r="Z175" s="26">
        <f t="shared" si="91"/>
        <v>0.51694199076978764</v>
      </c>
      <c r="AA175" s="26">
        <f t="shared" si="92"/>
        <v>0.21527511681792061</v>
      </c>
      <c r="AB175" s="26">
        <f t="shared" si="93"/>
        <v>0.55361189260758725</v>
      </c>
      <c r="AC175" s="26">
        <f t="shared" si="94"/>
        <v>0.43676671432707459</v>
      </c>
      <c r="AD175" s="26">
        <f t="shared" si="95"/>
        <v>0.60748833439646355</v>
      </c>
      <c r="AE175" s="26">
        <f t="shared" si="96"/>
        <v>7.7032703817431214E-2</v>
      </c>
      <c r="AF175" s="26">
        <f t="shared" si="97"/>
        <v>-1.7591762531509589</v>
      </c>
      <c r="AG175" s="26">
        <f t="shared" si="98"/>
        <v>0.14689353829554749</v>
      </c>
      <c r="AH175" s="26">
        <f t="shared" si="99"/>
        <v>0.76761977957203964</v>
      </c>
      <c r="AI175" s="26">
        <f t="shared" si="100"/>
        <v>0.68300577949010133</v>
      </c>
      <c r="AJ175" s="26">
        <f t="shared" si="101"/>
        <v>-0.14458980775944619</v>
      </c>
      <c r="AK175" s="26">
        <f t="shared" si="102"/>
        <v>0.46391539220609007</v>
      </c>
      <c r="AL175" s="26">
        <f t="shared" si="103"/>
        <v>0.10760874556286519</v>
      </c>
      <c r="AM175" s="27">
        <f t="shared" si="104"/>
        <v>0.47470433025441455</v>
      </c>
    </row>
    <row r="176" spans="1:39" ht="15" customHeight="1" x14ac:dyDescent="0.2">
      <c r="A176" s="24">
        <v>165</v>
      </c>
      <c r="B176" s="29">
        <f t="shared" si="105"/>
        <v>1.3721457912689561</v>
      </c>
      <c r="C176" s="29">
        <f t="shared" si="106"/>
        <v>-1.8392237143542769</v>
      </c>
      <c r="D176" s="29">
        <f t="shared" si="107"/>
        <v>-1.3003531427050758</v>
      </c>
      <c r="E176" s="29">
        <f t="shared" si="108"/>
        <v>-0.45389124742431108</v>
      </c>
      <c r="F176" s="29">
        <f t="shared" si="109"/>
        <v>0.55238131009069391</v>
      </c>
      <c r="G176" s="29">
        <f t="shared" si="110"/>
        <v>0.67210995735341861</v>
      </c>
      <c r="H176" s="29">
        <f t="shared" si="111"/>
        <v>1.4172951742166791</v>
      </c>
      <c r="I176" s="29">
        <f t="shared" si="112"/>
        <v>-0.46977184643931158</v>
      </c>
      <c r="J176" s="29">
        <f t="shared" si="113"/>
        <v>-3.2052366840698329E-2</v>
      </c>
      <c r="K176" s="26">
        <f t="shared" si="76"/>
        <v>-1.3003531427050758</v>
      </c>
      <c r="L176" s="26">
        <f t="shared" si="77"/>
        <v>0.21410558961770454</v>
      </c>
      <c r="M176" s="26">
        <f t="shared" si="78"/>
        <v>0.67210995735341861</v>
      </c>
      <c r="N176" s="26">
        <f t="shared" si="79"/>
        <v>0.66197545283680348</v>
      </c>
      <c r="O176" s="26">
        <f t="shared" si="80"/>
        <v>-3.9578978679353546E-2</v>
      </c>
      <c r="P176" s="26">
        <f t="shared" si="81"/>
        <v>0.49010654680064752</v>
      </c>
      <c r="Q176" s="26">
        <f t="shared" si="82"/>
        <v>0.12010221360842765</v>
      </c>
      <c r="R176" s="26">
        <f t="shared" si="83"/>
        <v>-3.1395768570593527</v>
      </c>
      <c r="S176" s="26">
        <f t="shared" si="84"/>
        <v>4.1503949242772627E-2</v>
      </c>
      <c r="T176" s="26">
        <f t="shared" si="85"/>
        <v>1.2244912674441126</v>
      </c>
      <c r="U176" s="26">
        <f t="shared" si="86"/>
        <v>0.77285296315236052</v>
      </c>
      <c r="V176" s="26">
        <f t="shared" si="87"/>
        <v>-0.33629358339416032</v>
      </c>
      <c r="W176" s="26">
        <f t="shared" si="88"/>
        <v>0.4167100899723804</v>
      </c>
      <c r="X176" s="26">
        <f t="shared" si="89"/>
        <v>0.17011355957001431</v>
      </c>
      <c r="Y176" s="26">
        <f t="shared" si="90"/>
        <v>7.1792648563880235E-2</v>
      </c>
      <c r="Z176" s="26">
        <f t="shared" si="91"/>
        <v>0.51794045710084069</v>
      </c>
      <c r="AA176" s="26">
        <f t="shared" si="92"/>
        <v>0.21821870992910752</v>
      </c>
      <c r="AB176" s="26">
        <f t="shared" si="93"/>
        <v>0.554339215001872</v>
      </c>
      <c r="AC176" s="26">
        <f t="shared" si="94"/>
        <v>0.44160918695475604</v>
      </c>
      <c r="AD176" s="26">
        <f t="shared" si="95"/>
        <v>0.60864240091628052</v>
      </c>
      <c r="AE176" s="26">
        <f t="shared" si="96"/>
        <v>7.6580385180286648E-2</v>
      </c>
      <c r="AF176" s="26">
        <f t="shared" si="97"/>
        <v>-1.7674310657903967</v>
      </c>
      <c r="AG176" s="26">
        <f t="shared" si="98"/>
        <v>0.14586209197071831</v>
      </c>
      <c r="AH176" s="26">
        <f t="shared" si="99"/>
        <v>0.77060002001980143</v>
      </c>
      <c r="AI176" s="26">
        <f t="shared" si="100"/>
        <v>0.68365067582093308</v>
      </c>
      <c r="AJ176" s="26">
        <f t="shared" si="101"/>
        <v>-0.14648256808933285</v>
      </c>
      <c r="AK176" s="26">
        <f t="shared" si="102"/>
        <v>0.46344469897344137</v>
      </c>
      <c r="AL176" s="26">
        <f t="shared" si="103"/>
        <v>0.10739049450329184</v>
      </c>
      <c r="AM176" s="27">
        <f t="shared" si="104"/>
        <v>0.47418665286202044</v>
      </c>
    </row>
    <row r="177" spans="1:39" ht="15" customHeight="1" x14ac:dyDescent="0.2">
      <c r="A177" s="24">
        <v>166</v>
      </c>
      <c r="B177" s="29">
        <f t="shared" si="105"/>
        <v>1.3847844740058084</v>
      </c>
      <c r="C177" s="29">
        <f t="shared" si="106"/>
        <v>-1.8515790097309415</v>
      </c>
      <c r="D177" s="29">
        <f t="shared" si="107"/>
        <v>-1.3089295981240507</v>
      </c>
      <c r="E177" s="29">
        <f t="shared" si="108"/>
        <v>-0.45300156437707578</v>
      </c>
      <c r="F177" s="29">
        <f t="shared" si="109"/>
        <v>0.55239759828114687</v>
      </c>
      <c r="G177" s="29">
        <f t="shared" si="110"/>
        <v>0.67418221669235945</v>
      </c>
      <c r="H177" s="29">
        <f t="shared" si="111"/>
        <v>1.4284291343803885</v>
      </c>
      <c r="I177" s="29">
        <f t="shared" si="112"/>
        <v>-0.46838726687209431</v>
      </c>
      <c r="J177" s="29">
        <f t="shared" si="113"/>
        <v>-3.4776697492951134E-2</v>
      </c>
      <c r="K177" s="26">
        <f t="shared" si="76"/>
        <v>-1.3089295981240507</v>
      </c>
      <c r="L177" s="26">
        <f t="shared" si="77"/>
        <v>0.21266601621302017</v>
      </c>
      <c r="M177" s="26">
        <f t="shared" si="78"/>
        <v>0.67418221669235945</v>
      </c>
      <c r="N177" s="26">
        <f t="shared" si="79"/>
        <v>0.66243899402159545</v>
      </c>
      <c r="O177" s="26">
        <f t="shared" si="80"/>
        <v>-4.1276353920935802E-2</v>
      </c>
      <c r="P177" s="26">
        <f t="shared" si="81"/>
        <v>0.48968237635493922</v>
      </c>
      <c r="Q177" s="26">
        <f t="shared" si="82"/>
        <v>0.11989441485631017</v>
      </c>
      <c r="R177" s="26">
        <f t="shared" si="83"/>
        <v>-3.1605086078549922</v>
      </c>
      <c r="S177" s="26">
        <f t="shared" si="84"/>
        <v>4.0679200815885129E-2</v>
      </c>
      <c r="T177" s="26">
        <f t="shared" si="85"/>
        <v>1.2265798149735063</v>
      </c>
      <c r="U177" s="26">
        <f t="shared" si="86"/>
        <v>0.77321940134974654</v>
      </c>
      <c r="V177" s="26">
        <f t="shared" si="87"/>
        <v>-0.3388354639749151</v>
      </c>
      <c r="W177" s="26">
        <f t="shared" si="88"/>
        <v>0.41609238449319325</v>
      </c>
      <c r="X177" s="26">
        <f t="shared" si="89"/>
        <v>0.17047405172342248</v>
      </c>
      <c r="Y177" s="26">
        <f t="shared" si="90"/>
        <v>7.5854875881757655E-2</v>
      </c>
      <c r="Z177" s="26">
        <f t="shared" si="91"/>
        <v>0.51895463115599494</v>
      </c>
      <c r="AA177" s="26">
        <f t="shared" si="92"/>
        <v>0.22118065231528367</v>
      </c>
      <c r="AB177" s="26">
        <f t="shared" si="93"/>
        <v>0.55507083643310839</v>
      </c>
      <c r="AC177" s="26">
        <f t="shared" si="94"/>
        <v>0.44652510507458959</v>
      </c>
      <c r="AD177" s="26">
        <f t="shared" si="95"/>
        <v>0.60981272962000166</v>
      </c>
      <c r="AE177" s="26">
        <f t="shared" si="96"/>
        <v>7.6123052983296968E-2</v>
      </c>
      <c r="AF177" s="26">
        <f t="shared" si="97"/>
        <v>-1.7757241338491838</v>
      </c>
      <c r="AG177" s="26">
        <f t="shared" si="98"/>
        <v>0.14483192036114295</v>
      </c>
      <c r="AH177" s="26">
        <f t="shared" si="99"/>
        <v>0.77357825059643059</v>
      </c>
      <c r="AI177" s="26">
        <f t="shared" si="100"/>
        <v>0.68429443240155841</v>
      </c>
      <c r="AJ177" s="26">
        <f t="shared" si="101"/>
        <v>-0.1484093617891914</v>
      </c>
      <c r="AK177" s="26">
        <f t="shared" si="102"/>
        <v>0.46296560919637381</v>
      </c>
      <c r="AL177" s="26">
        <f t="shared" si="103"/>
        <v>0.10716857764928477</v>
      </c>
      <c r="AM177" s="27">
        <f t="shared" si="104"/>
        <v>0.47366009721231439</v>
      </c>
    </row>
    <row r="178" spans="1:39" ht="15" customHeight="1" x14ac:dyDescent="0.2">
      <c r="A178" s="24">
        <v>167</v>
      </c>
      <c r="B178" s="29">
        <f t="shared" si="105"/>
        <v>1.397526730669657</v>
      </c>
      <c r="C178" s="29">
        <f t="shared" si="106"/>
        <v>-1.8640354070670009</v>
      </c>
      <c r="D178" s="29">
        <f t="shared" si="107"/>
        <v>-1.3175467041561439</v>
      </c>
      <c r="E178" s="29">
        <f t="shared" si="108"/>
        <v>-0.45209371400100734</v>
      </c>
      <c r="F178" s="29">
        <f t="shared" si="109"/>
        <v>0.55239325602668976</v>
      </c>
      <c r="G178" s="29">
        <f t="shared" si="110"/>
        <v>0.67625489856084608</v>
      </c>
      <c r="H178" s="29">
        <f t="shared" si="111"/>
        <v>1.439686012960057</v>
      </c>
      <c r="I178" s="29">
        <f t="shared" si="112"/>
        <v>-0.46698844950937152</v>
      </c>
      <c r="J178" s="29">
        <f t="shared" si="113"/>
        <v>-3.7544064065740901E-2</v>
      </c>
      <c r="K178" s="26">
        <f t="shared" si="76"/>
        <v>-1.3175467041561439</v>
      </c>
      <c r="L178" s="26">
        <f t="shared" si="77"/>
        <v>0.21122674754695281</v>
      </c>
      <c r="M178" s="26">
        <f t="shared" si="78"/>
        <v>0.67625489856084608</v>
      </c>
      <c r="N178" s="26">
        <f t="shared" si="79"/>
        <v>0.66290231766066665</v>
      </c>
      <c r="O178" s="26">
        <f t="shared" si="80"/>
        <v>-4.3011595559871496E-2</v>
      </c>
      <c r="P178" s="26">
        <f t="shared" si="81"/>
        <v>0.4892487585396153</v>
      </c>
      <c r="Q178" s="26">
        <f t="shared" si="82"/>
        <v>0.1196821738662774</v>
      </c>
      <c r="R178" s="26">
        <f t="shared" si="83"/>
        <v>-3.181582111223145</v>
      </c>
      <c r="S178" s="26">
        <f t="shared" si="84"/>
        <v>3.9864733693177966E-2</v>
      </c>
      <c r="T178" s="26">
        <f t="shared" si="85"/>
        <v>1.2286481545875358</v>
      </c>
      <c r="U178" s="26">
        <f t="shared" si="86"/>
        <v>0.77358188212678325</v>
      </c>
      <c r="V178" s="26">
        <f t="shared" si="87"/>
        <v>-0.34140516826022299</v>
      </c>
      <c r="W178" s="26">
        <f t="shared" si="88"/>
        <v>0.41546818532580748</v>
      </c>
      <c r="X178" s="26">
        <f t="shared" si="89"/>
        <v>0.17083872118315224</v>
      </c>
      <c r="Y178" s="26">
        <f t="shared" si="90"/>
        <v>7.9980026513513103E-2</v>
      </c>
      <c r="Z178" s="26">
        <f t="shared" si="91"/>
        <v>0.51998435476284999</v>
      </c>
      <c r="AA178" s="26">
        <f t="shared" si="92"/>
        <v>0.22416118455983874</v>
      </c>
      <c r="AB178" s="26">
        <f t="shared" si="93"/>
        <v>0.55580680879728206</v>
      </c>
      <c r="AC178" s="26">
        <f t="shared" si="94"/>
        <v>0.45151477857739997</v>
      </c>
      <c r="AD178" s="26">
        <f t="shared" si="95"/>
        <v>0.61099932571022864</v>
      </c>
      <c r="AE178" s="26">
        <f t="shared" si="96"/>
        <v>7.56607622989484E-2</v>
      </c>
      <c r="AF178" s="26">
        <f t="shared" si="97"/>
        <v>-1.7840553805534878</v>
      </c>
      <c r="AG178" s="26">
        <f t="shared" si="98"/>
        <v>0.14380309873524633</v>
      </c>
      <c r="AH178" s="26">
        <f t="shared" si="99"/>
        <v>0.77655444058652856</v>
      </c>
      <c r="AI178" s="26">
        <f t="shared" si="100"/>
        <v>0.68493704233640984</v>
      </c>
      <c r="AJ178" s="26">
        <f t="shared" si="101"/>
        <v>-0.15037044160850746</v>
      </c>
      <c r="AK178" s="26">
        <f t="shared" si="102"/>
        <v>0.462478064518279</v>
      </c>
      <c r="AL178" s="26">
        <f t="shared" si="103"/>
        <v>0.10694298008028671</v>
      </c>
      <c r="AM178" s="27">
        <f t="shared" si="104"/>
        <v>0.47312463742866473</v>
      </c>
    </row>
    <row r="179" spans="1:39" ht="15" customHeight="1" x14ac:dyDescent="0.2">
      <c r="A179" s="24">
        <v>168</v>
      </c>
      <c r="B179" s="29">
        <f t="shared" si="105"/>
        <v>1.4103717104850926</v>
      </c>
      <c r="C179" s="29">
        <f t="shared" si="106"/>
        <v>-1.8765921984453628</v>
      </c>
      <c r="D179" s="29">
        <f t="shared" si="107"/>
        <v>-1.3262042507948846</v>
      </c>
      <c r="E179" s="29">
        <f t="shared" si="108"/>
        <v>-0.4511673980779291</v>
      </c>
      <c r="F179" s="29">
        <f t="shared" si="109"/>
        <v>0.55236801609958142</v>
      </c>
      <c r="G179" s="29">
        <f t="shared" si="110"/>
        <v>0.67832793262234869</v>
      </c>
      <c r="H179" s="29">
        <f t="shared" si="111"/>
        <v>1.4510649583476058</v>
      </c>
      <c r="I179" s="29">
        <f t="shared" si="112"/>
        <v>-0.46557501099141846</v>
      </c>
      <c r="J179" s="29">
        <f t="shared" si="113"/>
        <v>-4.0354640667925781E-2</v>
      </c>
      <c r="K179" s="26">
        <f t="shared" si="76"/>
        <v>-1.3262042507948846</v>
      </c>
      <c r="L179" s="26">
        <f t="shared" si="77"/>
        <v>0.20978791978058584</v>
      </c>
      <c r="M179" s="26">
        <f t="shared" si="78"/>
        <v>0.67832793262234869</v>
      </c>
      <c r="N179" s="26">
        <f t="shared" si="79"/>
        <v>0.66336540717677273</v>
      </c>
      <c r="O179" s="26">
        <f t="shared" si="80"/>
        <v>-4.4785098327331865E-2</v>
      </c>
      <c r="P179" s="26">
        <f t="shared" si="81"/>
        <v>0.48880559641159105</v>
      </c>
      <c r="Q179" s="26">
        <f t="shared" si="82"/>
        <v>0.11946545554164562</v>
      </c>
      <c r="R179" s="26">
        <f t="shared" si="83"/>
        <v>-3.2027964492402474</v>
      </c>
      <c r="S179" s="26">
        <f t="shared" si="84"/>
        <v>3.906062297565753E-2</v>
      </c>
      <c r="T179" s="26">
        <f t="shared" si="85"/>
        <v>1.2306959487219302</v>
      </c>
      <c r="U179" s="26">
        <f t="shared" si="86"/>
        <v>0.77394035836036745</v>
      </c>
      <c r="V179" s="26">
        <f t="shared" si="87"/>
        <v>-0.34400243026705218</v>
      </c>
      <c r="W179" s="26">
        <f t="shared" si="88"/>
        <v>0.41483756769882124</v>
      </c>
      <c r="X179" s="26">
        <f t="shared" si="89"/>
        <v>0.17120753608831585</v>
      </c>
      <c r="Y179" s="26">
        <f t="shared" si="90"/>
        <v>8.4167459690208002E-2</v>
      </c>
      <c r="Z179" s="26">
        <f t="shared" si="91"/>
        <v>0.52102945171914572</v>
      </c>
      <c r="AA179" s="26">
        <f t="shared" si="92"/>
        <v>0.22716053454441959</v>
      </c>
      <c r="AB179" s="26">
        <f t="shared" si="93"/>
        <v>0.55654718063656083</v>
      </c>
      <c r="AC179" s="26">
        <f t="shared" si="94"/>
        <v>0.45657847924668254</v>
      </c>
      <c r="AD179" s="26">
        <f t="shared" si="95"/>
        <v>0.61220218312249686</v>
      </c>
      <c r="AE179" s="26">
        <f t="shared" si="96"/>
        <v>7.5193573387478729E-2</v>
      </c>
      <c r="AF179" s="26">
        <f t="shared" si="97"/>
        <v>-1.7924247387551548</v>
      </c>
      <c r="AG179" s="26">
        <f t="shared" si="98"/>
        <v>0.14277570063576686</v>
      </c>
      <c r="AH179" s="26">
        <f t="shared" si="99"/>
        <v>0.77952855064400106</v>
      </c>
      <c r="AI179" s="26">
        <f t="shared" si="100"/>
        <v>0.68557849691452022</v>
      </c>
      <c r="AJ179" s="26">
        <f t="shared" si="101"/>
        <v>-0.15236604080829436</v>
      </c>
      <c r="AK179" s="26">
        <f t="shared" si="102"/>
        <v>0.46198201162219149</v>
      </c>
      <c r="AL179" s="26">
        <f t="shared" si="103"/>
        <v>0.10671368953124334</v>
      </c>
      <c r="AM179" s="27">
        <f t="shared" si="104"/>
        <v>0.47258025454868352</v>
      </c>
    </row>
    <row r="180" spans="1:39" ht="15" customHeight="1" x14ac:dyDescent="0.2">
      <c r="A180" s="24">
        <v>169</v>
      </c>
      <c r="B180" s="29">
        <f t="shared" si="105"/>
        <v>1.4233184845451612</v>
      </c>
      <c r="C180" s="29">
        <f t="shared" si="106"/>
        <v>-1.8892486156648376</v>
      </c>
      <c r="D180" s="29">
        <f t="shared" si="107"/>
        <v>-1.3349020194832468</v>
      </c>
      <c r="E180" s="29">
        <f t="shared" si="108"/>
        <v>-0.45022232577675025</v>
      </c>
      <c r="F180" s="29">
        <f t="shared" si="109"/>
        <v>0.55232161572430527</v>
      </c>
      <c r="G180" s="29">
        <f t="shared" si="110"/>
        <v>0.68040124256674894</v>
      </c>
      <c r="H180" s="29">
        <f t="shared" si="111"/>
        <v>1.462565041838253</v>
      </c>
      <c r="I180" s="29">
        <f t="shared" si="112"/>
        <v>-0.46414656472452137</v>
      </c>
      <c r="J180" s="29">
        <f t="shared" si="113"/>
        <v>-4.3208579151568574E-2</v>
      </c>
      <c r="K180" s="26">
        <f t="shared" si="76"/>
        <v>-1.3349020194832468</v>
      </c>
      <c r="L180" s="26">
        <f t="shared" si="77"/>
        <v>0.20834966972307759</v>
      </c>
      <c r="M180" s="26">
        <f t="shared" si="78"/>
        <v>0.68040124256674894</v>
      </c>
      <c r="N180" s="26">
        <f t="shared" si="79"/>
        <v>0.66382824470360213</v>
      </c>
      <c r="O180" s="26">
        <f t="shared" si="80"/>
        <v>-4.6597235082335334E-2</v>
      </c>
      <c r="P180" s="26">
        <f t="shared" si="81"/>
        <v>0.48835279861943331</v>
      </c>
      <c r="Q180" s="26">
        <f t="shared" si="82"/>
        <v>0.1192442279597164</v>
      </c>
      <c r="R180" s="26">
        <f t="shared" si="83"/>
        <v>-3.2241506351480842</v>
      </c>
      <c r="S180" s="26">
        <f t="shared" si="84"/>
        <v>3.8266938327515085E-2</v>
      </c>
      <c r="T180" s="26">
        <f t="shared" si="85"/>
        <v>1.2327228582910541</v>
      </c>
      <c r="U180" s="26">
        <f t="shared" si="86"/>
        <v>0.77429478281301956</v>
      </c>
      <c r="V180" s="26">
        <f t="shared" si="87"/>
        <v>-0.34662695642234698</v>
      </c>
      <c r="W180" s="26">
        <f t="shared" si="88"/>
        <v>0.414200613634924</v>
      </c>
      <c r="X180" s="26">
        <f t="shared" si="89"/>
        <v>0.17158046053284981</v>
      </c>
      <c r="Y180" s="26">
        <f t="shared" si="90"/>
        <v>8.8416465061914362E-2</v>
      </c>
      <c r="Z180" s="26">
        <f t="shared" si="91"/>
        <v>0.52208972765576278</v>
      </c>
      <c r="AA180" s="26">
        <f t="shared" si="92"/>
        <v>0.23017891678999869</v>
      </c>
      <c r="AB180" s="26">
        <f t="shared" si="93"/>
        <v>0.55729199697679288</v>
      </c>
      <c r="AC180" s="26">
        <f t="shared" si="94"/>
        <v>0.46171643927535749</v>
      </c>
      <c r="AD180" s="26">
        <f t="shared" si="95"/>
        <v>0.61342128417401254</v>
      </c>
      <c r="AE180" s="26">
        <f t="shared" si="96"/>
        <v>7.472155176483479E-2</v>
      </c>
      <c r="AF180" s="26">
        <f t="shared" si="97"/>
        <v>-1.8008321506029232</v>
      </c>
      <c r="AG180" s="26">
        <f t="shared" si="98"/>
        <v>0.14174979794339951</v>
      </c>
      <c r="AH180" s="26">
        <f t="shared" si="99"/>
        <v>0.78250053251430396</v>
      </c>
      <c r="AI180" s="26">
        <f t="shared" si="100"/>
        <v>0.68621878556003779</v>
      </c>
      <c r="AJ180" s="26">
        <f t="shared" si="101"/>
        <v>-0.1543963719590411</v>
      </c>
      <c r="AK180" s="26">
        <f t="shared" si="102"/>
        <v>0.46147740253271113</v>
      </c>
      <c r="AL180" s="26">
        <f t="shared" si="103"/>
        <v>0.10648069652416896</v>
      </c>
      <c r="AM180" s="27">
        <f t="shared" si="104"/>
        <v>0.47202693678156998</v>
      </c>
    </row>
    <row r="181" spans="1:39" ht="15" customHeight="1" x14ac:dyDescent="0.2">
      <c r="A181" s="24">
        <v>170</v>
      </c>
      <c r="B181" s="29">
        <f t="shared" si="105"/>
        <v>1.4363660451668276</v>
      </c>
      <c r="C181" s="29">
        <f t="shared" si="106"/>
        <v>-1.9020038294287169</v>
      </c>
      <c r="D181" s="29">
        <f t="shared" si="107"/>
        <v>-1.3436397828658644</v>
      </c>
      <c r="E181" s="29">
        <f t="shared" si="108"/>
        <v>-0.44925821416540573</v>
      </c>
      <c r="F181" s="29">
        <f t="shared" si="109"/>
        <v>0.5522537969695871</v>
      </c>
      <c r="G181" s="29">
        <f t="shared" si="110"/>
        <v>0.68247474595800595</v>
      </c>
      <c r="H181" s="29">
        <f t="shared" si="111"/>
        <v>1.474185256801285</v>
      </c>
      <c r="I181" s="29">
        <f t="shared" si="112"/>
        <v>-0.46270272104620497</v>
      </c>
      <c r="J181" s="29">
        <f t="shared" si="113"/>
        <v>-4.6106008169903859E-2</v>
      </c>
      <c r="K181" s="26">
        <f t="shared" si="76"/>
        <v>-1.3436397828658644</v>
      </c>
      <c r="L181" s="26">
        <f t="shared" si="77"/>
        <v>0.2069121348085968</v>
      </c>
      <c r="M181" s="26">
        <f t="shared" si="78"/>
        <v>0.68247474595800595</v>
      </c>
      <c r="N181" s="26">
        <f t="shared" si="79"/>
        <v>0.66429081105658894</v>
      </c>
      <c r="O181" s="26">
        <f t="shared" si="80"/>
        <v>-4.8448355423664616E-2</v>
      </c>
      <c r="P181" s="26">
        <f t="shared" si="81"/>
        <v>0.48789027975624094</v>
      </c>
      <c r="Q181" s="26">
        <f t="shared" si="82"/>
        <v>0.11901846254031152</v>
      </c>
      <c r="R181" s="26">
        <f t="shared" si="83"/>
        <v>-3.2456436122945815</v>
      </c>
      <c r="S181" s="26">
        <f t="shared" si="84"/>
        <v>3.7483743906835718E-2</v>
      </c>
      <c r="T181" s="26">
        <f t="shared" si="85"/>
        <v>1.2347285429275932</v>
      </c>
      <c r="U181" s="26">
        <f t="shared" si="86"/>
        <v>0.77464510816930354</v>
      </c>
      <c r="V181" s="26">
        <f t="shared" si="87"/>
        <v>-0.34927842492780015</v>
      </c>
      <c r="W181" s="26">
        <f t="shared" si="88"/>
        <v>0.41355741208752667</v>
      </c>
      <c r="X181" s="26">
        <f t="shared" si="89"/>
        <v>0.17195745445873947</v>
      </c>
      <c r="Y181" s="26">
        <f t="shared" si="90"/>
        <v>9.2726262300963258E-2</v>
      </c>
      <c r="Z181" s="26">
        <f t="shared" si="91"/>
        <v>0.52316496994400163</v>
      </c>
      <c r="AA181" s="26">
        <f t="shared" si="92"/>
        <v>0.23321653179260021</v>
      </c>
      <c r="AB181" s="26">
        <f t="shared" si="93"/>
        <v>0.55804129916423617</v>
      </c>
      <c r="AC181" s="26">
        <f t="shared" si="94"/>
        <v>0.46692884981697935</v>
      </c>
      <c r="AD181" s="26">
        <f t="shared" si="95"/>
        <v>0.61465659922630633</v>
      </c>
      <c r="AE181" s="26">
        <f t="shared" si="96"/>
        <v>7.4244768259917743E-2</v>
      </c>
      <c r="AF181" s="26">
        <f t="shared" si="97"/>
        <v>-1.8092775671277537</v>
      </c>
      <c r="AG181" s="26">
        <f t="shared" si="98"/>
        <v>0.14072546094965857</v>
      </c>
      <c r="AH181" s="26">
        <f t="shared" si="99"/>
        <v>0.78547032876218736</v>
      </c>
      <c r="AI181" s="26">
        <f t="shared" si="100"/>
        <v>0.68685789578436662</v>
      </c>
      <c r="AJ181" s="26">
        <f t="shared" si="101"/>
        <v>-0.15646162573284939</v>
      </c>
      <c r="AK181" s="26">
        <f t="shared" si="102"/>
        <v>0.46096419491893964</v>
      </c>
      <c r="AL181" s="26">
        <f t="shared" si="103"/>
        <v>0.10624399449863309</v>
      </c>
      <c r="AM181" s="27">
        <f t="shared" si="104"/>
        <v>0.47146467975760187</v>
      </c>
    </row>
    <row r="182" spans="1:39" ht="15" customHeight="1" x14ac:dyDescent="0.2">
      <c r="A182" s="24">
        <v>171</v>
      </c>
      <c r="B182" s="29">
        <f t="shared" si="105"/>
        <v>1.4495133053874667</v>
      </c>
      <c r="C182" s="29">
        <f t="shared" si="106"/>
        <v>-1.9148569486145786</v>
      </c>
      <c r="D182" s="29">
        <f t="shared" si="107"/>
        <v>-1.3524173045138401</v>
      </c>
      <c r="E182" s="29">
        <f t="shared" si="108"/>
        <v>-0.44827478873084575</v>
      </c>
      <c r="F182" s="29">
        <f t="shared" si="109"/>
        <v>0.55216430715085407</v>
      </c>
      <c r="G182" s="29">
        <f t="shared" si="110"/>
        <v>0.6845483540861963</v>
      </c>
      <c r="H182" s="29">
        <f t="shared" si="111"/>
        <v>1.4859245179647491</v>
      </c>
      <c r="I182" s="29">
        <f t="shared" si="112"/>
        <v>-0.46124308740942666</v>
      </c>
      <c r="J182" s="29">
        <f t="shared" si="113"/>
        <v>-4.9047032251620673E-2</v>
      </c>
      <c r="K182" s="26">
        <f t="shared" si="76"/>
        <v>-1.3524173045138401</v>
      </c>
      <c r="L182" s="26">
        <f t="shared" si="77"/>
        <v>0.20547545307621748</v>
      </c>
      <c r="M182" s="26">
        <f t="shared" si="78"/>
        <v>0.6845483540861963</v>
      </c>
      <c r="N182" s="26">
        <f t="shared" si="79"/>
        <v>0.66475308570486547</v>
      </c>
      <c r="O182" s="26">
        <f t="shared" si="80"/>
        <v>-5.0338784301209152E-2</v>
      </c>
      <c r="P182" s="26">
        <f t="shared" si="81"/>
        <v>0.48741796071266658</v>
      </c>
      <c r="Q182" s="26">
        <f t="shared" si="82"/>
        <v>0.11878813421264729</v>
      </c>
      <c r="R182" s="26">
        <f t="shared" si="83"/>
        <v>-3.2672742531284187</v>
      </c>
      <c r="S182" s="26">
        <f t="shared" si="84"/>
        <v>3.6711098303674035E-2</v>
      </c>
      <c r="T182" s="26">
        <f t="shared" si="85"/>
        <v>1.2367126612370503</v>
      </c>
      <c r="U182" s="26">
        <f t="shared" si="86"/>
        <v>0.77499128707439735</v>
      </c>
      <c r="V182" s="26">
        <f t="shared" si="87"/>
        <v>-0.35195648516637768</v>
      </c>
      <c r="W182" s="26">
        <f t="shared" si="88"/>
        <v>0.41290805906597555</v>
      </c>
      <c r="X182" s="26">
        <f t="shared" si="89"/>
        <v>0.17233847355484005</v>
      </c>
      <c r="Y182" s="26">
        <f t="shared" si="90"/>
        <v>9.7096000873626576E-2</v>
      </c>
      <c r="Z182" s="26">
        <f t="shared" si="91"/>
        <v>0.52425494764903047</v>
      </c>
      <c r="AA182" s="26">
        <f t="shared" si="92"/>
        <v>0.23627356535535055</v>
      </c>
      <c r="AB182" s="26">
        <f t="shared" si="93"/>
        <v>0.55879512470196357</v>
      </c>
      <c r="AC182" s="26">
        <f t="shared" si="94"/>
        <v>0.47221585957753043</v>
      </c>
      <c r="AD182" s="26">
        <f t="shared" si="95"/>
        <v>0.61590808636357441</v>
      </c>
      <c r="AE182" s="26">
        <f t="shared" si="96"/>
        <v>7.3763299060445708E-2</v>
      </c>
      <c r="AF182" s="26">
        <f t="shared" si="97"/>
        <v>-1.817760947740952</v>
      </c>
      <c r="AG182" s="26">
        <f t="shared" si="98"/>
        <v>0.1397027584386559</v>
      </c>
      <c r="AH182" s="26">
        <f t="shared" si="99"/>
        <v>0.78843787250620467</v>
      </c>
      <c r="AI182" s="26">
        <f t="shared" si="100"/>
        <v>0.68749581314019514</v>
      </c>
      <c r="AJ182" s="26">
        <f t="shared" si="101"/>
        <v>-0.15856196969415304</v>
      </c>
      <c r="AK182" s="26">
        <f t="shared" si="102"/>
        <v>0.46044235239729125</v>
      </c>
      <c r="AL182" s="26">
        <f t="shared" si="103"/>
        <v>0.10600357994057567</v>
      </c>
      <c r="AM182" s="27">
        <f t="shared" si="104"/>
        <v>0.47089348676850873</v>
      </c>
    </row>
    <row r="183" spans="1:39" ht="15" customHeight="1" x14ac:dyDescent="0.2">
      <c r="A183" s="24">
        <v>172</v>
      </c>
      <c r="B183" s="29">
        <f t="shared" si="105"/>
        <v>1.4627590986085754</v>
      </c>
      <c r="C183" s="29">
        <f t="shared" si="106"/>
        <v>-1.9278070196307104</v>
      </c>
      <c r="D183" s="29">
        <f t="shared" si="107"/>
        <v>-1.3612343386222114</v>
      </c>
      <c r="E183" s="29">
        <f t="shared" si="108"/>
        <v>-0.44727178390606265</v>
      </c>
      <c r="F183" s="29">
        <f t="shared" si="109"/>
        <v>0.55205289924267631</v>
      </c>
      <c r="G183" s="29">
        <f t="shared" si="110"/>
        <v>0.68662197182468465</v>
      </c>
      <c r="H183" s="29">
        <f t="shared" si="111"/>
        <v>1.4977816608201053</v>
      </c>
      <c r="I183" s="29">
        <f t="shared" si="112"/>
        <v>-0.45976726858660966</v>
      </c>
      <c r="J183" s="29">
        <f t="shared" si="113"/>
        <v>-5.2031730895528233E-2</v>
      </c>
      <c r="K183" s="26">
        <f t="shared" si="76"/>
        <v>-1.3612343386222114</v>
      </c>
      <c r="L183" s="26">
        <f t="shared" si="77"/>
        <v>0.20403976315262534</v>
      </c>
      <c r="M183" s="26">
        <f t="shared" si="78"/>
        <v>0.68662197182468465</v>
      </c>
      <c r="N183" s="26">
        <f t="shared" si="79"/>
        <v>0.66521504674451515</v>
      </c>
      <c r="O183" s="26">
        <f t="shared" si="80"/>
        <v>-5.226882063188773E-2</v>
      </c>
      <c r="P183" s="26">
        <f t="shared" si="81"/>
        <v>0.48693576902875874</v>
      </c>
      <c r="Q183" s="26">
        <f t="shared" si="82"/>
        <v>0.11855322157981434</v>
      </c>
      <c r="R183" s="26">
        <f t="shared" si="83"/>
        <v>-3.2890413582529217</v>
      </c>
      <c r="S183" s="26">
        <f t="shared" si="84"/>
        <v>3.5949054485663011E-2</v>
      </c>
      <c r="T183" s="26">
        <f t="shared" si="85"/>
        <v>1.238674871067361</v>
      </c>
      <c r="U183" s="26">
        <f t="shared" si="86"/>
        <v>0.77533327217485659</v>
      </c>
      <c r="V183" s="26">
        <f t="shared" si="87"/>
        <v>-0.35466075715523171</v>
      </c>
      <c r="W183" s="26">
        <f t="shared" si="88"/>
        <v>0.41225265774822795</v>
      </c>
      <c r="X183" s="26">
        <f t="shared" si="89"/>
        <v>0.17272346916201084</v>
      </c>
      <c r="Y183" s="26">
        <f t="shared" si="90"/>
        <v>0.10152475998636401</v>
      </c>
      <c r="Z183" s="26">
        <f t="shared" si="91"/>
        <v>0.52535941153122456</v>
      </c>
      <c r="AA183" s="26">
        <f t="shared" si="92"/>
        <v>0.239350187918622</v>
      </c>
      <c r="AB183" s="26">
        <f t="shared" si="93"/>
        <v>0.55955350708641793</v>
      </c>
      <c r="AC183" s="26">
        <f t="shared" si="94"/>
        <v>0.47757757345400198</v>
      </c>
      <c r="AD183" s="26">
        <f t="shared" si="95"/>
        <v>0.61717569108847992</v>
      </c>
      <c r="AE183" s="26">
        <f t="shared" si="96"/>
        <v>7.3277225746791477E-2</v>
      </c>
      <c r="AF183" s="26">
        <f t="shared" si="97"/>
        <v>-1.8262822596443464</v>
      </c>
      <c r="AG183" s="26">
        <f t="shared" si="98"/>
        <v>0.13868175777741026</v>
      </c>
      <c r="AH183" s="26">
        <f t="shared" si="99"/>
        <v>0.79140308716129826</v>
      </c>
      <c r="AI183" s="26">
        <f t="shared" si="100"/>
        <v>0.68813252117768309</v>
      </c>
      <c r="AJ183" s="26">
        <f t="shared" si="101"/>
        <v>-0.16069754709370779</v>
      </c>
      <c r="AK183" s="26">
        <f t="shared" si="102"/>
        <v>0.45991184483296305</v>
      </c>
      <c r="AL183" s="26">
        <f t="shared" si="103"/>
        <v>0.10575945250882973</v>
      </c>
      <c r="AM183" s="27">
        <f t="shared" si="104"/>
        <v>0.47031336899744636</v>
      </c>
    </row>
    <row r="184" spans="1:39" ht="15" customHeight="1" x14ac:dyDescent="0.2">
      <c r="A184" s="24">
        <v>173</v>
      </c>
      <c r="B184" s="29">
        <f t="shared" si="105"/>
        <v>1.4761021783924997</v>
      </c>
      <c r="C184" s="29">
        <f t="shared" si="106"/>
        <v>-1.9408530258644918</v>
      </c>
      <c r="D184" s="29">
        <f t="shared" si="107"/>
        <v>-1.3700906296804056</v>
      </c>
      <c r="E184" s="29">
        <f t="shared" si="108"/>
        <v>-0.44624894360306616</v>
      </c>
      <c r="F184" s="29">
        <f t="shared" si="109"/>
        <v>0.55191933230066792</v>
      </c>
      <c r="G184" s="29">
        <f t="shared" si="110"/>
        <v>0.68869549749320369</v>
      </c>
      <c r="H184" s="29">
        <f t="shared" si="111"/>
        <v>1.5097554411526783</v>
      </c>
      <c r="I184" s="29">
        <f t="shared" si="112"/>
        <v>-0.45827486689433911</v>
      </c>
      <c r="J184" s="29">
        <f t="shared" si="113"/>
        <v>-5.5060157689777567E-2</v>
      </c>
      <c r="K184" s="26">
        <f t="shared" si="76"/>
        <v>-1.3700906296804056</v>
      </c>
      <c r="L184" s="26">
        <f t="shared" si="77"/>
        <v>0.20260520423744274</v>
      </c>
      <c r="M184" s="26">
        <f t="shared" si="78"/>
        <v>0.68869549749320369</v>
      </c>
      <c r="N184" s="26">
        <f t="shared" si="79"/>
        <v>0.66567667087329618</v>
      </c>
      <c r="O184" s="26">
        <f t="shared" si="80"/>
        <v>-5.4238735925575321E-2</v>
      </c>
      <c r="P184" s="26">
        <f t="shared" si="81"/>
        <v>0.48644363924323342</v>
      </c>
      <c r="Q184" s="26">
        <f t="shared" si="82"/>
        <v>0.11831370708010051</v>
      </c>
      <c r="R184" s="26">
        <f t="shared" si="83"/>
        <v>-3.3109436555448974</v>
      </c>
      <c r="S184" s="26">
        <f t="shared" si="84"/>
        <v>3.5197659751306384E-2</v>
      </c>
      <c r="T184" s="26">
        <f t="shared" si="85"/>
        <v>1.2406148297938717</v>
      </c>
      <c r="U184" s="26">
        <f t="shared" si="86"/>
        <v>0.77567101616160505</v>
      </c>
      <c r="V184" s="26">
        <f t="shared" si="87"/>
        <v>-0.35739083104965846</v>
      </c>
      <c r="W184" s="26">
        <f t="shared" si="88"/>
        <v>0.41159131857986664</v>
      </c>
      <c r="X184" s="26">
        <f t="shared" si="89"/>
        <v>0.17311238818529001</v>
      </c>
      <c r="Y184" s="26">
        <f t="shared" si="90"/>
        <v>0.10601154871209406</v>
      </c>
      <c r="Z184" s="26">
        <f t="shared" si="91"/>
        <v>0.52647809409692714</v>
      </c>
      <c r="AA184" s="26">
        <f t="shared" si="92"/>
        <v>0.24244655389013753</v>
      </c>
      <c r="AB184" s="26">
        <f t="shared" si="93"/>
        <v>0.56031647564461273</v>
      </c>
      <c r="AC184" s="26">
        <f t="shared" si="94"/>
        <v>0.48301405122600993</v>
      </c>
      <c r="AD184" s="26">
        <f t="shared" si="95"/>
        <v>0.61845934603718555</v>
      </c>
      <c r="AE184" s="26">
        <f t="shared" si="96"/>
        <v>7.2786635313186063E-2</v>
      </c>
      <c r="AF184" s="26">
        <f t="shared" si="97"/>
        <v>-1.8348414771523978</v>
      </c>
      <c r="AG184" s="26">
        <f t="shared" si="98"/>
        <v>0.13766252501422627</v>
      </c>
      <c r="AH184" s="26">
        <f t="shared" si="99"/>
        <v>0.79436588619080539</v>
      </c>
      <c r="AI184" s="26">
        <f t="shared" si="100"/>
        <v>0.68876800140307815</v>
      </c>
      <c r="AJ184" s="26">
        <f t="shared" si="101"/>
        <v>-0.16286847567080839</v>
      </c>
      <c r="AK184" s="26">
        <f t="shared" si="102"/>
        <v>0.45937264863878191</v>
      </c>
      <c r="AL184" s="26">
        <f t="shared" si="103"/>
        <v>0.10551161515870489</v>
      </c>
      <c r="AM184" s="27">
        <f t="shared" si="104"/>
        <v>0.4697243457372815</v>
      </c>
    </row>
    <row r="185" spans="1:39" ht="15" customHeight="1" x14ac:dyDescent="0.2">
      <c r="A185" s="24">
        <v>174</v>
      </c>
      <c r="B185" s="29">
        <f t="shared" si="105"/>
        <v>1.4895412184175159</v>
      </c>
      <c r="C185" s="29">
        <f t="shared" si="106"/>
        <v>-1.9539938872279674</v>
      </c>
      <c r="D185" s="29">
        <f t="shared" si="107"/>
        <v>-1.3789859121163164</v>
      </c>
      <c r="E185" s="29">
        <f t="shared" si="108"/>
        <v>-0.44520602175064405</v>
      </c>
      <c r="F185" s="29">
        <f t="shared" si="109"/>
        <v>0.55176337189226021</v>
      </c>
      <c r="G185" s="29">
        <f t="shared" si="110"/>
        <v>0.69076882272763895</v>
      </c>
      <c r="H185" s="29">
        <f t="shared" si="111"/>
        <v>1.521844534703509</v>
      </c>
      <c r="I185" s="29">
        <f t="shared" si="112"/>
        <v>-0.45676548243948922</v>
      </c>
      <c r="J185" s="29">
        <f t="shared" si="113"/>
        <v>-5.813233945989732E-2</v>
      </c>
      <c r="K185" s="26">
        <f t="shared" si="76"/>
        <v>-1.3789859121163164</v>
      </c>
      <c r="L185" s="26">
        <f t="shared" si="77"/>
        <v>0.20117191609093479</v>
      </c>
      <c r="M185" s="26">
        <f t="shared" si="78"/>
        <v>0.69076882272763895</v>
      </c>
      <c r="N185" s="26">
        <f t="shared" si="79"/>
        <v>0.66613793336700322</v>
      </c>
      <c r="O185" s="26">
        <f t="shared" si="80"/>
        <v>-5.6248772926698831E-2</v>
      </c>
      <c r="P185" s="26">
        <f t="shared" si="81"/>
        <v>0.48594151323871937</v>
      </c>
      <c r="Q185" s="26">
        <f t="shared" si="82"/>
        <v>0.11806957714436823</v>
      </c>
      <c r="R185" s="26">
        <f t="shared" si="83"/>
        <v>-3.332979799344284</v>
      </c>
      <c r="S185" s="26">
        <f t="shared" si="84"/>
        <v>3.445695569108826E-2</v>
      </c>
      <c r="T185" s="26">
        <f t="shared" si="85"/>
        <v>1.2425321946198991</v>
      </c>
      <c r="U185" s="26">
        <f t="shared" si="86"/>
        <v>0.77600447181517984</v>
      </c>
      <c r="V185" s="26">
        <f t="shared" si="87"/>
        <v>-0.36014626670275529</v>
      </c>
      <c r="W185" s="26">
        <f t="shared" si="88"/>
        <v>0.41092415935834364</v>
      </c>
      <c r="X185" s="26">
        <f t="shared" si="89"/>
        <v>0.17350517301383703</v>
      </c>
      <c r="Y185" s="26">
        <f t="shared" si="90"/>
        <v>0.11055530630119947</v>
      </c>
      <c r="Z185" s="26">
        <f t="shared" si="91"/>
        <v>0.52761070969994828</v>
      </c>
      <c r="AA185" s="26">
        <f t="shared" si="92"/>
        <v>0.2455628009769949</v>
      </c>
      <c r="AB185" s="26">
        <f t="shared" si="93"/>
        <v>0.5610840553724955</v>
      </c>
      <c r="AC185" s="26">
        <f t="shared" si="94"/>
        <v>0.48852530630668561</v>
      </c>
      <c r="AD185" s="26">
        <f t="shared" si="95"/>
        <v>0.61975897071537256</v>
      </c>
      <c r="AE185" s="26">
        <f t="shared" si="96"/>
        <v>7.2291620175716456E-2</v>
      </c>
      <c r="AF185" s="26">
        <f t="shared" si="97"/>
        <v>-1.8434385809267679</v>
      </c>
      <c r="AG185" s="26">
        <f t="shared" si="98"/>
        <v>0.13664512498460321</v>
      </c>
      <c r="AH185" s="26">
        <f t="shared" si="99"/>
        <v>0.79732617286925511</v>
      </c>
      <c r="AI185" s="26">
        <f t="shared" si="100"/>
        <v>0.68940223324004057</v>
      </c>
      <c r="AJ185" s="26">
        <f t="shared" si="101"/>
        <v>-0.1650748464689494</v>
      </c>
      <c r="AK185" s="26">
        <f t="shared" si="102"/>
        <v>0.45882474707008053</v>
      </c>
      <c r="AL185" s="26">
        <f t="shared" si="103"/>
        <v>0.10526007426196168</v>
      </c>
      <c r="AM185" s="27">
        <f t="shared" si="104"/>
        <v>0.46912644459588337</v>
      </c>
    </row>
    <row r="186" spans="1:39" ht="15" customHeight="1" x14ac:dyDescent="0.2">
      <c r="A186" s="24">
        <v>175</v>
      </c>
      <c r="B186" s="29">
        <f t="shared" si="105"/>
        <v>1.5030748125961062</v>
      </c>
      <c r="C186" s="29">
        <f t="shared" si="106"/>
        <v>-1.967228459805719</v>
      </c>
      <c r="D186" s="29">
        <f t="shared" si="107"/>
        <v>-1.3879199099149371</v>
      </c>
      <c r="E186" s="29">
        <f t="shared" si="108"/>
        <v>-0.44414278283567199</v>
      </c>
      <c r="F186" s="29">
        <f t="shared" si="109"/>
        <v>0.55158479053569354</v>
      </c>
      <c r="G186" s="29">
        <f t="shared" si="110"/>
        <v>0.69284183235732844</v>
      </c>
      <c r="H186" s="29">
        <f t="shared" si="111"/>
        <v>1.5340475369679243</v>
      </c>
      <c r="I186" s="29">
        <f t="shared" si="112"/>
        <v>-0.45523871338748256</v>
      </c>
      <c r="J186" s="29">
        <f t="shared" si="113"/>
        <v>-6.1248275449964917E-2</v>
      </c>
      <c r="K186" s="26">
        <f t="shared" si="76"/>
        <v>-1.3879199099149371</v>
      </c>
      <c r="L186" s="26">
        <f t="shared" si="77"/>
        <v>0.19974003902381166</v>
      </c>
      <c r="M186" s="26">
        <f t="shared" si="78"/>
        <v>0.69284183235732844</v>
      </c>
      <c r="N186" s="26">
        <f t="shared" si="79"/>
        <v>0.66659880805763949</v>
      </c>
      <c r="O186" s="26">
        <f t="shared" si="80"/>
        <v>-5.8299144277398796E-2</v>
      </c>
      <c r="P186" s="26">
        <f t="shared" si="81"/>
        <v>0.48542934058146081</v>
      </c>
      <c r="Q186" s="26">
        <f t="shared" si="82"/>
        <v>0.11782082234867594</v>
      </c>
      <c r="R186" s="26">
        <f t="shared" si="83"/>
        <v>-3.3551483697206561</v>
      </c>
      <c r="S186" s="26">
        <f t="shared" si="84"/>
        <v>3.3726978156516867E-2</v>
      </c>
      <c r="T186" s="26">
        <f t="shared" si="85"/>
        <v>1.2444266228930219</v>
      </c>
      <c r="U186" s="26">
        <f t="shared" si="86"/>
        <v>0.77633359205325148</v>
      </c>
      <c r="V186" s="26">
        <f t="shared" si="87"/>
        <v>-0.36292659328539423</v>
      </c>
      <c r="W186" s="26">
        <f t="shared" si="88"/>
        <v>0.410251305301358</v>
      </c>
      <c r="X186" s="26">
        <f t="shared" si="89"/>
        <v>0.17390176144937602</v>
      </c>
      <c r="Y186" s="26">
        <f t="shared" si="90"/>
        <v>0.11515490268116912</v>
      </c>
      <c r="Z186" s="26">
        <f t="shared" si="91"/>
        <v>0.52875695469488981</v>
      </c>
      <c r="AA186" s="26">
        <f t="shared" si="92"/>
        <v>0.24869904952165645</v>
      </c>
      <c r="AB186" s="26">
        <f t="shared" si="93"/>
        <v>0.56185626677501721</v>
      </c>
      <c r="AC186" s="26">
        <f t="shared" si="94"/>
        <v>0.49411130455903807</v>
      </c>
      <c r="AD186" s="26">
        <f t="shared" si="95"/>
        <v>0.62107447125696535</v>
      </c>
      <c r="AE186" s="26">
        <f t="shared" si="96"/>
        <v>7.1792278166594184E-2</v>
      </c>
      <c r="AF186" s="26">
        <f t="shared" si="97"/>
        <v>-1.8520735571245499</v>
      </c>
      <c r="AG186" s="26">
        <f t="shared" si="98"/>
        <v>0.13562962142405963</v>
      </c>
      <c r="AH186" s="26">
        <f t="shared" si="99"/>
        <v>0.80028384005734998</v>
      </c>
      <c r="AI186" s="26">
        <f t="shared" si="100"/>
        <v>0.69003519399395141</v>
      </c>
      <c r="AJ186" s="26">
        <f t="shared" si="101"/>
        <v>-0.16731672267038258</v>
      </c>
      <c r="AK186" s="26">
        <f t="shared" si="102"/>
        <v>0.4582681305141974</v>
      </c>
      <c r="AL186" s="26">
        <f t="shared" si="103"/>
        <v>0.10500483972248874</v>
      </c>
      <c r="AM186" s="27">
        <f t="shared" si="104"/>
        <v>0.46851970168713486</v>
      </c>
    </row>
    <row r="187" spans="1:39" ht="15" customHeight="1" x14ac:dyDescent="0.2">
      <c r="A187" s="24">
        <v>176</v>
      </c>
      <c r="B187" s="29">
        <f t="shared" si="105"/>
        <v>1.5167014753607218</v>
      </c>
      <c r="C187" s="29">
        <f t="shared" si="106"/>
        <v>-1.9805555356099722</v>
      </c>
      <c r="D187" s="29">
        <f t="shared" si="107"/>
        <v>-1.3968923362127961</v>
      </c>
      <c r="E187" s="29">
        <f t="shared" si="108"/>
        <v>-0.44305900244666657</v>
      </c>
      <c r="F187" s="29">
        <f t="shared" si="109"/>
        <v>0.55138336814650835</v>
      </c>
      <c r="G187" s="29">
        <f t="shared" si="110"/>
        <v>0.69491440429069651</v>
      </c>
      <c r="H187" s="29">
        <f t="shared" si="111"/>
        <v>1.5463629631358284</v>
      </c>
      <c r="I187" s="29">
        <f t="shared" si="112"/>
        <v>-0.45369415625330212</v>
      </c>
      <c r="J187" s="29">
        <f t="shared" si="113"/>
        <v>-6.4407936541267474E-2</v>
      </c>
      <c r="K187" s="26">
        <f t="shared" si="76"/>
        <v>-1.3968923362127961</v>
      </c>
      <c r="L187" s="26">
        <f t="shared" si="77"/>
        <v>0.19830971388880358</v>
      </c>
      <c r="M187" s="26">
        <f t="shared" si="78"/>
        <v>0.69491440429069651</v>
      </c>
      <c r="N187" s="26">
        <f t="shared" si="79"/>
        <v>0.66705926731357124</v>
      </c>
      <c r="O187" s="26">
        <f t="shared" si="80"/>
        <v>-6.0390031208335415E-2</v>
      </c>
      <c r="P187" s="26">
        <f t="shared" si="81"/>
        <v>0.48490707885391443</v>
      </c>
      <c r="Q187" s="26">
        <f t="shared" si="82"/>
        <v>0.1175674375613182</v>
      </c>
      <c r="R187" s="26">
        <f t="shared" si="83"/>
        <v>-3.3774478718227683</v>
      </c>
      <c r="S187" s="26">
        <f t="shared" si="84"/>
        <v>3.3007757237202909E-2</v>
      </c>
      <c r="T187" s="26">
        <f t="shared" si="85"/>
        <v>1.2462977724372049</v>
      </c>
      <c r="U187" s="26">
        <f t="shared" si="86"/>
        <v>0.77665832998043061</v>
      </c>
      <c r="V187" s="26">
        <f t="shared" si="87"/>
        <v>-0.36573130897104844</v>
      </c>
      <c r="W187" s="26">
        <f t="shared" si="88"/>
        <v>0.4095728890983048</v>
      </c>
      <c r="X187" s="26">
        <f t="shared" si="89"/>
        <v>0.17430208664386135</v>
      </c>
      <c r="Y187" s="26">
        <f t="shared" si="90"/>
        <v>0.11980913914792568</v>
      </c>
      <c r="Z187" s="26">
        <f t="shared" si="91"/>
        <v>0.52991650764314124</v>
      </c>
      <c r="AA187" s="26">
        <f t="shared" si="92"/>
        <v>0.25185540184402994</v>
      </c>
      <c r="AB187" s="26">
        <f t="shared" si="93"/>
        <v>0.56263312570846025</v>
      </c>
      <c r="AC187" s="26">
        <f t="shared" si="94"/>
        <v>0.49977196318391232</v>
      </c>
      <c r="AD187" s="26">
        <f t="shared" si="95"/>
        <v>0.62240574020724637</v>
      </c>
      <c r="AE187" s="26">
        <f t="shared" si="96"/>
        <v>7.1288712514218755E-2</v>
      </c>
      <c r="AF187" s="26">
        <f t="shared" si="97"/>
        <v>-1.8607463964620465</v>
      </c>
      <c r="AG187" s="26">
        <f t="shared" si="98"/>
        <v>0.13461607708718534</v>
      </c>
      <c r="AH187" s="26">
        <f t="shared" si="99"/>
        <v>0.80323876999053834</v>
      </c>
      <c r="AI187" s="26">
        <f t="shared" si="100"/>
        <v>0.69066685881948309</v>
      </c>
      <c r="AJ187" s="26">
        <f t="shared" si="101"/>
        <v>-0.16959413845523039</v>
      </c>
      <c r="AK187" s="26">
        <f t="shared" si="102"/>
        <v>0.45770279677313958</v>
      </c>
      <c r="AL187" s="26">
        <f t="shared" si="103"/>
        <v>0.10474592508697696</v>
      </c>
      <c r="AM187" s="27">
        <f t="shared" si="104"/>
        <v>0.46790416180637523</v>
      </c>
    </row>
    <row r="188" spans="1:39" ht="15" customHeight="1" x14ac:dyDescent="0.2">
      <c r="A188" s="24">
        <v>177</v>
      </c>
      <c r="B188" s="29">
        <f t="shared" si="105"/>
        <v>1.530419642120727</v>
      </c>
      <c r="C188" s="29">
        <f t="shared" si="106"/>
        <v>-1.9939738424476661</v>
      </c>
      <c r="D188" s="29">
        <f t="shared" si="107"/>
        <v>-1.4059028928697552</v>
      </c>
      <c r="E188" s="29">
        <f t="shared" si="108"/>
        <v>-0.44195446781820902</v>
      </c>
      <c r="F188" s="29">
        <f t="shared" si="109"/>
        <v>0.5511588924907469</v>
      </c>
      <c r="G188" s="29">
        <f t="shared" si="110"/>
        <v>0.69698640941004664</v>
      </c>
      <c r="H188" s="29">
        <f t="shared" si="111"/>
        <v>1.5587892481783534</v>
      </c>
      <c r="I188" s="29">
        <f t="shared" si="112"/>
        <v>-0.45213140621578662</v>
      </c>
      <c r="J188" s="29">
        <f t="shared" si="113"/>
        <v>-6.7611264512815475E-2</v>
      </c>
      <c r="K188" s="26">
        <f t="shared" si="76"/>
        <v>-1.4059028928697552</v>
      </c>
      <c r="L188" s="26">
        <f t="shared" si="77"/>
        <v>0.19688108207364013</v>
      </c>
      <c r="M188" s="26">
        <f t="shared" si="78"/>
        <v>0.69698640941004664</v>
      </c>
      <c r="N188" s="26">
        <f t="shared" si="79"/>
        <v>0.66751928202183808</v>
      </c>
      <c r="O188" s="26">
        <f t="shared" si="80"/>
        <v>-6.2521582263391176E-2</v>
      </c>
      <c r="P188" s="26">
        <f t="shared" si="81"/>
        <v>0.4843746939786327</v>
      </c>
      <c r="Q188" s="26">
        <f t="shared" si="82"/>
        <v>0.11730942208344704</v>
      </c>
      <c r="R188" s="26">
        <f t="shared" si="83"/>
        <v>-3.3998767353174211</v>
      </c>
      <c r="S188" s="26">
        <f t="shared" si="84"/>
        <v>3.2299317246056308E-2</v>
      </c>
      <c r="T188" s="26">
        <f t="shared" si="85"/>
        <v>1.2481453019007935</v>
      </c>
      <c r="U188" s="26">
        <f t="shared" si="86"/>
        <v>0.77697863894036134</v>
      </c>
      <c r="V188" s="26">
        <f t="shared" si="87"/>
        <v>-0.3685598806898947</v>
      </c>
      <c r="W188" s="26">
        <f t="shared" si="88"/>
        <v>0.40888905094376826</v>
      </c>
      <c r="X188" s="26">
        <f t="shared" si="89"/>
        <v>0.17470607704707949</v>
      </c>
      <c r="Y188" s="26">
        <f t="shared" si="90"/>
        <v>0.12451674925097178</v>
      </c>
      <c r="Z188" s="26">
        <f t="shared" si="91"/>
        <v>0.53108902957212589</v>
      </c>
      <c r="AA188" s="26">
        <f t="shared" si="92"/>
        <v>0.25503194159183762</v>
      </c>
      <c r="AB188" s="26">
        <f t="shared" si="93"/>
        <v>0.56341464322560753</v>
      </c>
      <c r="AC188" s="26">
        <f t="shared" si="94"/>
        <v>0.50550714968553023</v>
      </c>
      <c r="AD188" s="26">
        <f t="shared" si="95"/>
        <v>0.62375265633198396</v>
      </c>
      <c r="AE188" s="26">
        <f t="shared" si="96"/>
        <v>7.0781031808619083E-2</v>
      </c>
      <c r="AF188" s="26">
        <f t="shared" si="97"/>
        <v>-1.8694570931966943</v>
      </c>
      <c r="AG188" s="26">
        <f t="shared" si="98"/>
        <v>0.13360455387216497</v>
      </c>
      <c r="AH188" s="26">
        <f t="shared" si="99"/>
        <v>0.80619083408258452</v>
      </c>
      <c r="AI188" s="26">
        <f t="shared" si="100"/>
        <v>0.69129720069170464</v>
      </c>
      <c r="AJ188" s="26">
        <f t="shared" si="101"/>
        <v>-0.17190709789099645</v>
      </c>
      <c r="AK188" s="26">
        <f t="shared" si="102"/>
        <v>0.4571287513379102</v>
      </c>
      <c r="AL188" s="26">
        <f t="shared" si="103"/>
        <v>0.10448334764987847</v>
      </c>
      <c r="AM188" s="27">
        <f t="shared" si="104"/>
        <v>0.46727987858902414</v>
      </c>
    </row>
    <row r="189" spans="1:39" ht="15" customHeight="1" x14ac:dyDescent="0.2">
      <c r="A189" s="24">
        <v>178</v>
      </c>
      <c r="B189" s="29">
        <f t="shared" si="105"/>
        <v>1.5442276698935868</v>
      </c>
      <c r="C189" s="29">
        <f t="shared" si="106"/>
        <v>-2.0074820439039702</v>
      </c>
      <c r="D189" s="29">
        <f t="shared" si="107"/>
        <v>-1.4149512700200539</v>
      </c>
      <c r="E189" s="29">
        <f t="shared" si="108"/>
        <v>-0.44082897837480423</v>
      </c>
      <c r="F189" s="29">
        <f t="shared" si="109"/>
        <v>0.55091115964401327</v>
      </c>
      <c r="G189" s="29">
        <f t="shared" si="110"/>
        <v>0.69905771147633744</v>
      </c>
      <c r="H189" s="29">
        <f t="shared" si="111"/>
        <v>1.5713247470851095</v>
      </c>
      <c r="I189" s="29">
        <f t="shared" si="112"/>
        <v>-0.45055005745563903</v>
      </c>
      <c r="J189" s="29">
        <f t="shared" si="113"/>
        <v>-7.0858171348051252E-2</v>
      </c>
      <c r="K189" s="26">
        <f t="shared" si="76"/>
        <v>-1.4149512700200539</v>
      </c>
      <c r="L189" s="26">
        <f t="shared" si="77"/>
        <v>0.19545428549502919</v>
      </c>
      <c r="M189" s="26">
        <f t="shared" si="78"/>
        <v>0.69905771147633744</v>
      </c>
      <c r="N189" s="26">
        <f t="shared" si="79"/>
        <v>0.66797882157278998</v>
      </c>
      <c r="O189" s="26">
        <f t="shared" si="80"/>
        <v>-6.4693912064644282E-2</v>
      </c>
      <c r="P189" s="26">
        <f t="shared" si="81"/>
        <v>0.48383216053178674</v>
      </c>
      <c r="Q189" s="26">
        <f t="shared" si="82"/>
        <v>0.11704677978242832</v>
      </c>
      <c r="R189" s="26">
        <f t="shared" si="83"/>
        <v>-3.4224333139240244</v>
      </c>
      <c r="S189" s="26">
        <f t="shared" si="84"/>
        <v>3.1601676712667524E-2</v>
      </c>
      <c r="T189" s="26">
        <f t="shared" si="85"/>
        <v>1.2499688711203507</v>
      </c>
      <c r="U189" s="26">
        <f t="shared" si="86"/>
        <v>0.77729447257009598</v>
      </c>
      <c r="V189" s="26">
        <f t="shared" si="87"/>
        <v>-0.37141174395646093</v>
      </c>
      <c r="W189" s="26">
        <f t="shared" si="88"/>
        <v>0.40819993855208153</v>
      </c>
      <c r="X189" s="26">
        <f t="shared" si="89"/>
        <v>0.17511365636487999</v>
      </c>
      <c r="Y189" s="26">
        <f t="shared" si="90"/>
        <v>0.1292763998735329</v>
      </c>
      <c r="Z189" s="26">
        <f t="shared" si="91"/>
        <v>0.53227416428810648</v>
      </c>
      <c r="AA189" s="26">
        <f t="shared" si="92"/>
        <v>0.25822873310153321</v>
      </c>
      <c r="AB189" s="26">
        <f t="shared" si="93"/>
        <v>0.56420082542433381</v>
      </c>
      <c r="AC189" s="26">
        <f t="shared" si="94"/>
        <v>0.51131668092044313</v>
      </c>
      <c r="AD189" s="26">
        <f t="shared" si="95"/>
        <v>0.62511508445413155</v>
      </c>
      <c r="AE189" s="26">
        <f t="shared" si="96"/>
        <v>7.0269349951916457E-2</v>
      </c>
      <c r="AF189" s="26">
        <f t="shared" si="97"/>
        <v>-1.8782056440304373</v>
      </c>
      <c r="AG189" s="26">
        <f t="shared" si="98"/>
        <v>0.13259511294995077</v>
      </c>
      <c r="AH189" s="26">
        <f t="shared" si="99"/>
        <v>0.80913989274554643</v>
      </c>
      <c r="AI189" s="26">
        <f t="shared" si="100"/>
        <v>0.69192619038099334</v>
      </c>
      <c r="AJ189" s="26">
        <f t="shared" si="101"/>
        <v>-0.17425557385846632</v>
      </c>
      <c r="AK189" s="26">
        <f t="shared" si="102"/>
        <v>0.45654600765295872</v>
      </c>
      <c r="AL189" s="26">
        <f t="shared" si="103"/>
        <v>0.10421712855192772</v>
      </c>
      <c r="AM189" s="27">
        <f t="shared" si="104"/>
        <v>0.46664691465115249</v>
      </c>
    </row>
    <row r="190" spans="1:39" ht="15" customHeight="1" x14ac:dyDescent="0.2">
      <c r="A190" s="24">
        <v>179</v>
      </c>
      <c r="B190" s="29">
        <f t="shared" si="105"/>
        <v>1.5581238381126785</v>
      </c>
      <c r="C190" s="29">
        <f t="shared" si="106"/>
        <v>-2.0210787394464464</v>
      </c>
      <c r="D190" s="29">
        <f t="shared" si="107"/>
        <v>-1.4240371456047889</v>
      </c>
      <c r="E190" s="29">
        <f t="shared" si="108"/>
        <v>-0.43968234627268227</v>
      </c>
      <c r="F190" s="29">
        <f t="shared" si="109"/>
        <v>0.55063997445546964</v>
      </c>
      <c r="G190" s="29">
        <f t="shared" si="110"/>
        <v>0.70112816704476255</v>
      </c>
      <c r="H190" s="29">
        <f t="shared" si="111"/>
        <v>1.5839677352558361</v>
      </c>
      <c r="I190" s="29">
        <f t="shared" si="112"/>
        <v>-0.44894970351746244</v>
      </c>
      <c r="J190" s="29">
        <f t="shared" si="113"/>
        <v>-7.4148538592039626E-2</v>
      </c>
      <c r="K190" s="26">
        <f t="shared" si="76"/>
        <v>-1.4240371456047889</v>
      </c>
      <c r="L190" s="26">
        <f t="shared" si="77"/>
        <v>0.19402946659319584</v>
      </c>
      <c r="M190" s="26">
        <f t="shared" si="78"/>
        <v>0.70112816704476255</v>
      </c>
      <c r="N190" s="26">
        <f t="shared" si="79"/>
        <v>0.66843785384721688</v>
      </c>
      <c r="O190" s="26">
        <f t="shared" si="80"/>
        <v>-6.6907100124074192E-2</v>
      </c>
      <c r="P190" s="26">
        <f t="shared" si="81"/>
        <v>0.48327946204466682</v>
      </c>
      <c r="Q190" s="26">
        <f t="shared" si="82"/>
        <v>0.11677951921709127</v>
      </c>
      <c r="R190" s="26">
        <f t="shared" si="83"/>
        <v>-3.4451158850512353</v>
      </c>
      <c r="S190" s="26">
        <f t="shared" si="84"/>
        <v>3.0914848384923557E-2</v>
      </c>
      <c r="T190" s="26">
        <f t="shared" si="85"/>
        <v>1.2517681415002322</v>
      </c>
      <c r="U190" s="26">
        <f t="shared" si="86"/>
        <v>0.77760578485672904</v>
      </c>
      <c r="V190" s="26">
        <f t="shared" si="87"/>
        <v>-0.37428630277488689</v>
      </c>
      <c r="W190" s="26">
        <f t="shared" si="88"/>
        <v>0.40750570715203177</v>
      </c>
      <c r="X190" s="26">
        <f t="shared" si="89"/>
        <v>0.17552474352870692</v>
      </c>
      <c r="Y190" s="26">
        <f t="shared" si="90"/>
        <v>0.13408669250788963</v>
      </c>
      <c r="Z190" s="26">
        <f t="shared" si="91"/>
        <v>0.53347153874257169</v>
      </c>
      <c r="AA190" s="26">
        <f t="shared" si="92"/>
        <v>0.26144582077208028</v>
      </c>
      <c r="AB190" s="26">
        <f t="shared" si="93"/>
        <v>0.56499167330022693</v>
      </c>
      <c r="AC190" s="26">
        <f t="shared" si="94"/>
        <v>0.51720032223550583</v>
      </c>
      <c r="AD190" s="26">
        <f t="shared" si="95"/>
        <v>0.62649287531957354</v>
      </c>
      <c r="AE190" s="26">
        <f t="shared" si="96"/>
        <v>6.9753786093519815E-2</v>
      </c>
      <c r="AF190" s="26">
        <f t="shared" si="97"/>
        <v>-1.8869920469385568</v>
      </c>
      <c r="AG190" s="26">
        <f t="shared" si="98"/>
        <v>0.13158781489720514</v>
      </c>
      <c r="AH190" s="26">
        <f t="shared" si="99"/>
        <v>0.81208579522754998</v>
      </c>
      <c r="AI190" s="26">
        <f t="shared" si="100"/>
        <v>0.6925537964320172</v>
      </c>
      <c r="AJ190" s="26">
        <f t="shared" si="101"/>
        <v>-0.17663950702009656</v>
      </c>
      <c r="AK190" s="26">
        <f t="shared" si="102"/>
        <v>0.45595458736919114</v>
      </c>
      <c r="AL190" s="26">
        <f t="shared" si="103"/>
        <v>0.10394729287150468</v>
      </c>
      <c r="AM190" s="27">
        <f t="shared" si="104"/>
        <v>0.4660053417108227</v>
      </c>
    </row>
    <row r="191" spans="1:39" ht="15" customHeight="1" x14ac:dyDescent="0.2">
      <c r="A191" s="24">
        <v>180</v>
      </c>
      <c r="B191" s="29">
        <f t="shared" si="105"/>
        <v>1.5721063496133956</v>
      </c>
      <c r="C191" s="29">
        <f t="shared" si="106"/>
        <v>-2.0347624646537281</v>
      </c>
      <c r="D191" s="29">
        <f t="shared" si="107"/>
        <v>-1.433160184888334</v>
      </c>
      <c r="E191" s="29">
        <f t="shared" si="108"/>
        <v>-0.43851439693799554</v>
      </c>
      <c r="F191" s="29">
        <f t="shared" si="109"/>
        <v>0.55034515101578341</v>
      </c>
      <c r="G191" s="29">
        <f t="shared" si="110"/>
        <v>0.7031976253919423</v>
      </c>
      <c r="H191" s="29">
        <f t="shared" si="111"/>
        <v>1.5967164090497767</v>
      </c>
      <c r="I191" s="29">
        <f t="shared" si="112"/>
        <v>-0.44732993769601509</v>
      </c>
      <c r="J191" s="29">
        <f t="shared" si="113"/>
        <v>-7.748221676334649E-2</v>
      </c>
      <c r="K191" s="26">
        <f t="shared" si="76"/>
        <v>-1.433160184888334</v>
      </c>
      <c r="L191" s="26">
        <f t="shared" si="77"/>
        <v>0.19260676832650905</v>
      </c>
      <c r="M191" s="26">
        <f t="shared" si="78"/>
        <v>0.7031976253919423</v>
      </c>
      <c r="N191" s="26">
        <f t="shared" si="79"/>
        <v>0.66889634520614061</v>
      </c>
      <c r="O191" s="26">
        <f t="shared" si="80"/>
        <v>-6.9161189708515758E-2</v>
      </c>
      <c r="P191" s="26">
        <f t="shared" si="81"/>
        <v>0.48271659129147743</v>
      </c>
      <c r="Q191" s="26">
        <f t="shared" si="82"/>
        <v>0.11650765375403163</v>
      </c>
      <c r="R191" s="26">
        <f t="shared" si="83"/>
        <v>-3.4679226495420621</v>
      </c>
      <c r="S191" s="26">
        <f t="shared" si="84"/>
        <v>3.0238839238890567E-2</v>
      </c>
      <c r="T191" s="26">
        <f t="shared" si="85"/>
        <v>1.2535427764077256</v>
      </c>
      <c r="U191" s="26">
        <f t="shared" si="86"/>
        <v>0.77791253019626339</v>
      </c>
      <c r="V191" s="26">
        <f t="shared" si="87"/>
        <v>-0.37718292962563565</v>
      </c>
      <c r="W191" s="26">
        <f t="shared" si="88"/>
        <v>0.40680651946086138</v>
      </c>
      <c r="X191" s="26">
        <f t="shared" si="89"/>
        <v>0.17593925267706867</v>
      </c>
      <c r="Y191" s="26">
        <f t="shared" si="90"/>
        <v>0.1389461647250616</v>
      </c>
      <c r="Z191" s="26">
        <f t="shared" si="91"/>
        <v>0.5346807634519305</v>
      </c>
      <c r="AA191" s="26">
        <f t="shared" si="92"/>
        <v>0.26468322845394676</v>
      </c>
      <c r="AB191" s="26">
        <f t="shared" si="93"/>
        <v>0.56578718260384375</v>
      </c>
      <c r="AC191" s="26">
        <f t="shared" si="94"/>
        <v>0.52315778670023172</v>
      </c>
      <c r="AD191" s="26">
        <f t="shared" si="95"/>
        <v>0.62788586549329706</v>
      </c>
      <c r="AE191" s="26">
        <f t="shared" si="96"/>
        <v>6.9234464549836311E-2</v>
      </c>
      <c r="AF191" s="26">
        <f t="shared" si="97"/>
        <v>-1.8958162999286665</v>
      </c>
      <c r="AG191" s="26">
        <f t="shared" si="98"/>
        <v>0.1305827198320785</v>
      </c>
      <c r="AH191" s="26">
        <f t="shared" si="99"/>
        <v>0.81502837946973017</v>
      </c>
      <c r="AI191" s="26">
        <f t="shared" si="100"/>
        <v>0.6931799851470426</v>
      </c>
      <c r="AJ191" s="26">
        <f t="shared" si="101"/>
        <v>-0.17905880483706824</v>
      </c>
      <c r="AK191" s="26">
        <f t="shared" si="102"/>
        <v>0.45535452058396053</v>
      </c>
      <c r="AL191" s="26">
        <f t="shared" si="103"/>
        <v>0.10367386970812427</v>
      </c>
      <c r="AM191" s="27">
        <f t="shared" si="104"/>
        <v>0.46535524068906081</v>
      </c>
    </row>
    <row r="192" spans="1:39" ht="15" customHeight="1" x14ac:dyDescent="0.2">
      <c r="A192" s="24">
        <v>181</v>
      </c>
      <c r="B192" s="29">
        <f t="shared" si="105"/>
        <v>1.5861733317984688</v>
      </c>
      <c r="C192" s="29">
        <f t="shared" si="106"/>
        <v>-2.0485316915722254</v>
      </c>
      <c r="D192" s="29">
        <f t="shared" si="107"/>
        <v>-1.4423200399614955</v>
      </c>
      <c r="E192" s="29">
        <f t="shared" si="108"/>
        <v>-0.43732496959981981</v>
      </c>
      <c r="F192" s="29">
        <f t="shared" si="109"/>
        <v>0.55002651312797579</v>
      </c>
      <c r="G192" s="29">
        <f t="shared" si="110"/>
        <v>0.70526592845552194</v>
      </c>
      <c r="H192" s="29">
        <f t="shared" si="111"/>
        <v>1.6095688864955879</v>
      </c>
      <c r="I192" s="29">
        <f t="shared" si="112"/>
        <v>-0.44569035344674063</v>
      </c>
      <c r="J192" s="29">
        <f t="shared" si="113"/>
        <v>-8.0859024824692122E-2</v>
      </c>
      <c r="K192" s="26">
        <f t="shared" si="76"/>
        <v>-1.4423200399614955</v>
      </c>
      <c r="L192" s="26">
        <f t="shared" si="77"/>
        <v>0.19118633416569997</v>
      </c>
      <c r="M192" s="26">
        <f t="shared" si="78"/>
        <v>0.70526592845552194</v>
      </c>
      <c r="N192" s="26">
        <f t="shared" si="79"/>
        <v>0.66935426048342517</v>
      </c>
      <c r="O192" s="26">
        <f t="shared" si="80"/>
        <v>-7.1456186764372515E-2</v>
      </c>
      <c r="P192" s="26">
        <f t="shared" si="81"/>
        <v>0.48214355056174224</v>
      </c>
      <c r="Q192" s="26">
        <f t="shared" si="82"/>
        <v>0.11623120167414165</v>
      </c>
      <c r="R192" s="26">
        <f t="shared" si="83"/>
        <v>-3.4908517315337209</v>
      </c>
      <c r="S192" s="26">
        <f t="shared" si="84"/>
        <v>2.9573650496978996E-2</v>
      </c>
      <c r="T192" s="26">
        <f t="shared" si="85"/>
        <v>1.2552924415834976</v>
      </c>
      <c r="U192" s="26">
        <f t="shared" si="86"/>
        <v>0.77821466345466561</v>
      </c>
      <c r="V192" s="26">
        <f t="shared" si="87"/>
        <v>-0.38010096553720618</v>
      </c>
      <c r="W192" s="26">
        <f t="shared" si="88"/>
        <v>0.40610254563679132</v>
      </c>
      <c r="X192" s="26">
        <f t="shared" si="89"/>
        <v>0.17635709314954981</v>
      </c>
      <c r="Y192" s="26">
        <f t="shared" si="90"/>
        <v>0.14385329183697326</v>
      </c>
      <c r="Z192" s="26">
        <f t="shared" si="91"/>
        <v>0.53590143296994208</v>
      </c>
      <c r="AA192" s="26">
        <f t="shared" si="92"/>
        <v>0.26794095885570213</v>
      </c>
      <c r="AB192" s="26">
        <f t="shared" si="93"/>
        <v>0.56658734370321751</v>
      </c>
      <c r="AC192" s="26">
        <f t="shared" si="94"/>
        <v>0.5291887344385906</v>
      </c>
      <c r="AD192" s="26">
        <f t="shared" si="95"/>
        <v>0.62929387728726516</v>
      </c>
      <c r="AE192" s="26">
        <f t="shared" si="96"/>
        <v>6.8711514708354612E-2</v>
      </c>
      <c r="AF192" s="26">
        <f t="shared" si="97"/>
        <v>-1.9046783997352521</v>
      </c>
      <c r="AG192" s="26">
        <f t="shared" si="98"/>
        <v>0.12957988755184408</v>
      </c>
      <c r="AH192" s="26">
        <f t="shared" si="99"/>
        <v>0.81796747198367792</v>
      </c>
      <c r="AI192" s="26">
        <f t="shared" si="100"/>
        <v>0.69380472057381271</v>
      </c>
      <c r="AJ192" s="26">
        <f t="shared" si="101"/>
        <v>-0.18151334064120667</v>
      </c>
      <c r="AK192" s="26">
        <f t="shared" si="102"/>
        <v>0.45474584606645213</v>
      </c>
      <c r="AL192" s="26">
        <f t="shared" si="103"/>
        <v>0.10339689225734669</v>
      </c>
      <c r="AM192" s="27">
        <f t="shared" si="104"/>
        <v>0.46469670178939282</v>
      </c>
    </row>
    <row r="193" spans="1:39" ht="15" customHeight="1" x14ac:dyDescent="0.2">
      <c r="A193" s="24">
        <v>182</v>
      </c>
      <c r="B193" s="29">
        <f t="shared" si="105"/>
        <v>1.6003228379826548</v>
      </c>
      <c r="C193" s="29">
        <f t="shared" si="106"/>
        <v>-2.0623848292039626</v>
      </c>
      <c r="D193" s="29">
        <f t="shared" si="107"/>
        <v>-1.451516349234488</v>
      </c>
      <c r="E193" s="29">
        <f t="shared" si="108"/>
        <v>-0.4361139178163243</v>
      </c>
      <c r="F193" s="29">
        <f t="shared" si="109"/>
        <v>0.5496838947800593</v>
      </c>
      <c r="G193" s="29">
        <f t="shared" si="110"/>
        <v>0.70733291078694649</v>
      </c>
      <c r="H193" s="29">
        <f t="shared" si="111"/>
        <v>1.6225232081640437</v>
      </c>
      <c r="I193" s="29">
        <f t="shared" si="112"/>
        <v>-0.44403054482048487</v>
      </c>
      <c r="J193" s="29">
        <f t="shared" si="113"/>
        <v>-8.4278749716317172E-2</v>
      </c>
      <c r="K193" s="26">
        <f t="shared" si="76"/>
        <v>-1.451516349234488</v>
      </c>
      <c r="L193" s="26">
        <f t="shared" si="77"/>
        <v>0.18976830808715039</v>
      </c>
      <c r="M193" s="26">
        <f t="shared" si="78"/>
        <v>0.70733291078694649</v>
      </c>
      <c r="N193" s="26">
        <f t="shared" si="79"/>
        <v>0.66981156298136169</v>
      </c>
      <c r="O193" s="26">
        <f t="shared" si="80"/>
        <v>-7.3792058908565841E-2</v>
      </c>
      <c r="P193" s="26">
        <f t="shared" si="81"/>
        <v>0.48156035191565039</v>
      </c>
      <c r="Q193" s="26">
        <f t="shared" si="82"/>
        <v>0.11595018626856252</v>
      </c>
      <c r="R193" s="26">
        <f t="shared" si="83"/>
        <v>-3.5139011784384504</v>
      </c>
      <c r="S193" s="26">
        <f t="shared" si="84"/>
        <v>2.8919277654388443E-2</v>
      </c>
      <c r="T193" s="26">
        <f t="shared" si="85"/>
        <v>1.2570168055670057</v>
      </c>
      <c r="U193" s="26">
        <f t="shared" si="86"/>
        <v>0.7785121400310544</v>
      </c>
      <c r="V193" s="26">
        <f t="shared" si="87"/>
        <v>-0.38303972024608279</v>
      </c>
      <c r="W193" s="26">
        <f t="shared" si="88"/>
        <v>0.40539396320938414</v>
      </c>
      <c r="X193" s="26">
        <f t="shared" si="89"/>
        <v>0.17677816949392161</v>
      </c>
      <c r="Y193" s="26">
        <f t="shared" si="90"/>
        <v>0.14880648874816682</v>
      </c>
      <c r="Z193" s="26">
        <f t="shared" si="91"/>
        <v>0.53713312641200006</v>
      </c>
      <c r="AA193" s="26">
        <f t="shared" si="92"/>
        <v>0.27121899297062219</v>
      </c>
      <c r="AB193" s="26">
        <f t="shared" si="93"/>
        <v>0.56739214145223282</v>
      </c>
      <c r="AC193" s="26">
        <f t="shared" si="94"/>
        <v>0.53529277206496739</v>
      </c>
      <c r="AD193" s="26">
        <f t="shared" si="95"/>
        <v>0.63071671872114388</v>
      </c>
      <c r="AE193" s="26">
        <f t="shared" si="96"/>
        <v>6.8185070916039384E-2</v>
      </c>
      <c r="AF193" s="26">
        <f t="shared" si="97"/>
        <v>-1.9135783404557958</v>
      </c>
      <c r="AG193" s="26">
        <f t="shared" si="98"/>
        <v>0.12857937767137187</v>
      </c>
      <c r="AH193" s="26">
        <f t="shared" si="99"/>
        <v>0.82090288775068143</v>
      </c>
      <c r="AI193" s="26">
        <f t="shared" si="100"/>
        <v>0.6944279644982323</v>
      </c>
      <c r="AJ193" s="26">
        <f t="shared" si="101"/>
        <v>-0.18400295276795708</v>
      </c>
      <c r="AK193" s="26">
        <f t="shared" si="102"/>
        <v>0.45412861146688577</v>
      </c>
      <c r="AL193" s="26">
        <f t="shared" si="103"/>
        <v>0.10311639787642085</v>
      </c>
      <c r="AM193" s="27">
        <f t="shared" si="104"/>
        <v>0.46402982455494435</v>
      </c>
    </row>
    <row r="194" spans="1:39" ht="15" customHeight="1" x14ac:dyDescent="0.2">
      <c r="A194" s="24">
        <v>183</v>
      </c>
      <c r="B194" s="29">
        <f t="shared" si="105"/>
        <v>1.6145528489161511</v>
      </c>
      <c r="C194" s="29">
        <f t="shared" si="106"/>
        <v>-2.0763202241282133</v>
      </c>
      <c r="D194" s="29">
        <f t="shared" si="107"/>
        <v>-1.4607487369230727</v>
      </c>
      <c r="E194" s="29">
        <f t="shared" si="108"/>
        <v>-0.434881109992445</v>
      </c>
      <c r="F194" s="29">
        <f t="shared" si="109"/>
        <v>0.54931714061829517</v>
      </c>
      <c r="G194" s="29">
        <f t="shared" si="110"/>
        <v>0.70939839951815653</v>
      </c>
      <c r="H194" s="29">
        <f t="shared" si="111"/>
        <v>1.6355773382052203</v>
      </c>
      <c r="I194" s="29">
        <f t="shared" si="112"/>
        <v>-0.44235010692215665</v>
      </c>
      <c r="J194" s="29">
        <f t="shared" si="113"/>
        <v>-8.7741145955815711E-2</v>
      </c>
      <c r="K194" s="26">
        <f t="shared" si="76"/>
        <v>-1.4607487369230727</v>
      </c>
      <c r="L194" s="26">
        <f t="shared" si="77"/>
        <v>0.18835283456471802</v>
      </c>
      <c r="M194" s="26">
        <f t="shared" si="78"/>
        <v>0.70939839951815653</v>
      </c>
      <c r="N194" s="26">
        <f t="shared" si="79"/>
        <v>0.67026821446937401</v>
      </c>
      <c r="O194" s="26">
        <f t="shared" si="80"/>
        <v>-7.6168734492096588E-2</v>
      </c>
      <c r="P194" s="26">
        <f t="shared" si="81"/>
        <v>0.48096701742068904</v>
      </c>
      <c r="Q194" s="26">
        <f t="shared" si="82"/>
        <v>0.11566463592327669</v>
      </c>
      <c r="R194" s="26">
        <f t="shared" si="83"/>
        <v>-3.5370689610512862</v>
      </c>
      <c r="S194" s="26">
        <f t="shared" si="84"/>
        <v>2.8275710513812627E-2</v>
      </c>
      <c r="T194" s="26">
        <f t="shared" si="85"/>
        <v>1.2587155401364516</v>
      </c>
      <c r="U194" s="26">
        <f t="shared" si="86"/>
        <v>0.77880491592295953</v>
      </c>
      <c r="V194" s="26">
        <f t="shared" si="87"/>
        <v>-0.38599847244779506</v>
      </c>
      <c r="W194" s="26">
        <f t="shared" si="88"/>
        <v>0.40468095698715995</v>
      </c>
      <c r="X194" s="26">
        <f t="shared" si="89"/>
        <v>0.17720238148686188</v>
      </c>
      <c r="Y194" s="26">
        <f t="shared" si="90"/>
        <v>0.15380411199307842</v>
      </c>
      <c r="Z194" s="26">
        <f t="shared" si="91"/>
        <v>0.53837540803008821</v>
      </c>
      <c r="AA194" s="26">
        <f t="shared" si="92"/>
        <v>0.27451728952571153</v>
      </c>
      <c r="AB194" s="26">
        <f t="shared" si="93"/>
        <v>0.56820155506548475</v>
      </c>
      <c r="AC194" s="26">
        <f t="shared" si="94"/>
        <v>0.54146945222863252</v>
      </c>
      <c r="AD194" s="26">
        <f t="shared" si="95"/>
        <v>0.632154183516908</v>
      </c>
      <c r="AE194" s="26">
        <f t="shared" si="96"/>
        <v>6.7655272352056303E-2</v>
      </c>
      <c r="AF194" s="26">
        <f t="shared" si="97"/>
        <v>-1.9225161121351348</v>
      </c>
      <c r="AG194" s="26">
        <f t="shared" si="98"/>
        <v>0.12758124976139548</v>
      </c>
      <c r="AH194" s="26">
        <f t="shared" si="99"/>
        <v>0.8238344301440067</v>
      </c>
      <c r="AI194" s="26">
        <f t="shared" si="100"/>
        <v>0.69504967644207294</v>
      </c>
      <c r="AJ194" s="26">
        <f t="shared" si="101"/>
        <v>-0.18652744375653846</v>
      </c>
      <c r="AK194" s="26">
        <f t="shared" si="102"/>
        <v>0.45350287350797935</v>
      </c>
      <c r="AL194" s="26">
        <f t="shared" si="103"/>
        <v>0.10283242813999716</v>
      </c>
      <c r="AM194" s="27">
        <f t="shared" si="104"/>
        <v>0.46335471790219201</v>
      </c>
    </row>
    <row r="195" spans="1:39" ht="15" customHeight="1" x14ac:dyDescent="0.2">
      <c r="A195" s="24">
        <v>184</v>
      </c>
      <c r="B195" s="29">
        <f t="shared" si="105"/>
        <v>1.6288612744852815</v>
      </c>
      <c r="C195" s="29">
        <f t="shared" si="106"/>
        <v>-2.0903361612591156</v>
      </c>
      <c r="D195" s="29">
        <f t="shared" si="107"/>
        <v>-1.470016812531447</v>
      </c>
      <c r="E195" s="29">
        <f t="shared" si="108"/>
        <v>-0.43362642988736727</v>
      </c>
      <c r="F195" s="29">
        <f t="shared" si="109"/>
        <v>0.5489261064198433</v>
      </c>
      <c r="G195" s="29">
        <f t="shared" si="110"/>
        <v>0.71146221434291446</v>
      </c>
      <c r="H195" s="29">
        <f t="shared" si="111"/>
        <v>1.6487291655512337</v>
      </c>
      <c r="I195" s="29">
        <f t="shared" si="112"/>
        <v>-0.44064863639292667</v>
      </c>
      <c r="J195" s="29">
        <f t="shared" si="113"/>
        <v>-9.1245935307973342E-2</v>
      </c>
      <c r="K195" s="26">
        <f t="shared" si="76"/>
        <v>-1.470016812531447</v>
      </c>
      <c r="L195" s="26">
        <f t="shared" si="77"/>
        <v>0.18694005855955081</v>
      </c>
      <c r="M195" s="26">
        <f t="shared" si="78"/>
        <v>0.71146221434291446</v>
      </c>
      <c r="N195" s="26">
        <f t="shared" si="79"/>
        <v>0.67072417518598171</v>
      </c>
      <c r="O195" s="26">
        <f t="shared" si="80"/>
        <v>-7.8586101742459641E-2</v>
      </c>
      <c r="P195" s="26">
        <f t="shared" si="81"/>
        <v>0.48036357936795016</v>
      </c>
      <c r="Q195" s="26">
        <f t="shared" si="82"/>
        <v>0.11537458419159448</v>
      </c>
      <c r="R195" s="26">
        <f t="shared" si="83"/>
        <v>-3.5603529737905628</v>
      </c>
      <c r="S195" s="26">
        <f t="shared" si="84"/>
        <v>2.7642933228367153E-2</v>
      </c>
      <c r="T195" s="26">
        <f t="shared" si="85"/>
        <v>1.2603883207627578</v>
      </c>
      <c r="U195" s="26">
        <f t="shared" si="86"/>
        <v>0.77909294779356697</v>
      </c>
      <c r="V195" s="26">
        <f t="shared" si="87"/>
        <v>-0.38897647014156</v>
      </c>
      <c r="W195" s="26">
        <f t="shared" si="88"/>
        <v>0.40396371894198813</v>
      </c>
      <c r="X195" s="26">
        <f t="shared" si="89"/>
        <v>0.17762962416873265</v>
      </c>
      <c r="Y195" s="26">
        <f t="shared" si="90"/>
        <v>0.1588444619538345</v>
      </c>
      <c r="Z195" s="26">
        <f t="shared" si="91"/>
        <v>0.53962782783691521</v>
      </c>
      <c r="AA195" s="26">
        <f t="shared" si="92"/>
        <v>0.27783578445554719</v>
      </c>
      <c r="AB195" s="26">
        <f t="shared" si="93"/>
        <v>0.56901555800023107</v>
      </c>
      <c r="AC195" s="26">
        <f t="shared" si="94"/>
        <v>0.5477182732706467</v>
      </c>
      <c r="AD195" s="26">
        <f t="shared" si="95"/>
        <v>0.63360605112820534</v>
      </c>
      <c r="AE195" s="26">
        <f t="shared" si="96"/>
        <v>6.7122262884933642E-2</v>
      </c>
      <c r="AF195" s="26">
        <f t="shared" si="97"/>
        <v>-1.9314916993052811</v>
      </c>
      <c r="AG195" s="26">
        <f t="shared" si="98"/>
        <v>0.12658556348550562</v>
      </c>
      <c r="AH195" s="26">
        <f t="shared" si="99"/>
        <v>0.82676189087539043</v>
      </c>
      <c r="AI195" s="26">
        <f t="shared" si="100"/>
        <v>0.69566981366590475</v>
      </c>
      <c r="AJ195" s="26">
        <f t="shared" si="101"/>
        <v>-0.18908657962328523</v>
      </c>
      <c r="AK195" s="26">
        <f t="shared" si="102"/>
        <v>0.45286869815714598</v>
      </c>
      <c r="AL195" s="26">
        <f t="shared" si="103"/>
        <v>0.1025450288852741</v>
      </c>
      <c r="AM195" s="27">
        <f t="shared" si="104"/>
        <v>0.46267150013053487</v>
      </c>
    </row>
    <row r="196" spans="1:39" ht="15" customHeight="1" x14ac:dyDescent="0.2">
      <c r="A196" s="24">
        <v>185</v>
      </c>
      <c r="B196" s="29">
        <f t="shared" si="105"/>
        <v>1.6432459555881798</v>
      </c>
      <c r="C196" s="29">
        <f t="shared" si="106"/>
        <v>-2.1044308647409484</v>
      </c>
      <c r="D196" s="29">
        <f t="shared" si="107"/>
        <v>-1.4793201703356891</v>
      </c>
      <c r="E196" s="29">
        <f t="shared" si="108"/>
        <v>-0.43234977711010675</v>
      </c>
      <c r="F196" s="29">
        <f t="shared" si="109"/>
        <v>0.54851065956352751</v>
      </c>
      <c r="G196" s="29">
        <f t="shared" si="110"/>
        <v>0.71352416751343184</v>
      </c>
      <c r="H196" s="29">
        <f t="shared" si="111"/>
        <v>1.66197650528497</v>
      </c>
      <c r="I196" s="29">
        <f t="shared" si="112"/>
        <v>-0.4389257319153903</v>
      </c>
      <c r="J196" s="29">
        <f t="shared" si="113"/>
        <v>-9.4792806527900009E-2</v>
      </c>
      <c r="K196" s="26">
        <f t="shared" si="76"/>
        <v>-1.4793201703356891</v>
      </c>
      <c r="L196" s="26">
        <f t="shared" si="77"/>
        <v>0.18553012550734177</v>
      </c>
      <c r="M196" s="26">
        <f t="shared" si="78"/>
        <v>0.71352416751343184</v>
      </c>
      <c r="N196" s="26">
        <f t="shared" si="79"/>
        <v>0.67117940384415098</v>
      </c>
      <c r="O196" s="26">
        <f t="shared" si="80"/>
        <v>-8.1044007990955569E-2</v>
      </c>
      <c r="P196" s="26">
        <f t="shared" si="81"/>
        <v>0.47975008046654316</v>
      </c>
      <c r="Q196" s="26">
        <f t="shared" si="82"/>
        <v>0.11508006985382732</v>
      </c>
      <c r="R196" s="26">
        <f t="shared" si="83"/>
        <v>-3.5837510350766375</v>
      </c>
      <c r="S196" s="26">
        <f t="shared" si="84"/>
        <v>2.7020924352683745E-2</v>
      </c>
      <c r="T196" s="26">
        <f t="shared" si="85"/>
        <v>1.2620348270769592</v>
      </c>
      <c r="U196" s="26">
        <f t="shared" si="86"/>
        <v>0.77937619304085837</v>
      </c>
      <c r="V196" s="26">
        <f t="shared" si="87"/>
        <v>-0.39197293107054643</v>
      </c>
      <c r="W196" s="26">
        <f t="shared" si="88"/>
        <v>0.4032424480698929</v>
      </c>
      <c r="X196" s="26">
        <f t="shared" si="89"/>
        <v>0.17805978789280727</v>
      </c>
      <c r="Y196" s="26">
        <f t="shared" si="90"/>
        <v>0.16392578525249069</v>
      </c>
      <c r="Z196" s="26">
        <f t="shared" si="91"/>
        <v>0.54088992227743948</v>
      </c>
      <c r="AA196" s="26">
        <f t="shared" si="92"/>
        <v>0.28117439040332509</v>
      </c>
      <c r="AB196" s="26">
        <f t="shared" si="93"/>
        <v>0.56983411784604154</v>
      </c>
      <c r="AC196" s="26">
        <f t="shared" si="94"/>
        <v>0.55403867899668335</v>
      </c>
      <c r="AD196" s="26">
        <f t="shared" si="95"/>
        <v>0.6350720868052111</v>
      </c>
      <c r="AE196" s="26">
        <f t="shared" si="96"/>
        <v>6.6586190914351695E-2</v>
      </c>
      <c r="AF196" s="26">
        <f t="shared" si="97"/>
        <v>-1.9405050794884577</v>
      </c>
      <c r="AG196" s="26">
        <f t="shared" si="98"/>
        <v>0.12559237873479295</v>
      </c>
      <c r="AH196" s="26">
        <f t="shared" si="99"/>
        <v>0.82968504996685266</v>
      </c>
      <c r="AI196" s="26">
        <f t="shared" si="100"/>
        <v>0.69628833117743671</v>
      </c>
      <c r="AJ196" s="26">
        <f t="shared" si="101"/>
        <v>-0.19168008921402452</v>
      </c>
      <c r="AK196" s="26">
        <f t="shared" si="102"/>
        <v>0.45222616077794792</v>
      </c>
      <c r="AL196" s="26">
        <f t="shared" si="103"/>
        <v>0.1022542502459812</v>
      </c>
      <c r="AM196" s="27">
        <f t="shared" si="104"/>
        <v>0.46198029890696746</v>
      </c>
    </row>
    <row r="197" spans="1:39" ht="15" customHeight="1" x14ac:dyDescent="0.2">
      <c r="A197" s="24">
        <v>186</v>
      </c>
      <c r="B197" s="29">
        <f t="shared" si="105"/>
        <v>1.6577046661823702</v>
      </c>
      <c r="C197" s="29">
        <f t="shared" si="106"/>
        <v>-2.1186024989821992</v>
      </c>
      <c r="D197" s="29">
        <f t="shared" si="107"/>
        <v>-1.4886583888717455</v>
      </c>
      <c r="E197" s="29">
        <f t="shared" si="108"/>
        <v>-0.43105106760146827</v>
      </c>
      <c r="F197" s="29">
        <f t="shared" si="109"/>
        <v>0.54807067949739086</v>
      </c>
      <c r="G197" s="29">
        <f t="shared" si="110"/>
        <v>0.71558406385292106</v>
      </c>
      <c r="H197" s="29">
        <f t="shared" si="111"/>
        <v>1.675317100174591</v>
      </c>
      <c r="I197" s="29">
        <f t="shared" si="112"/>
        <v>-0.43718099474094313</v>
      </c>
      <c r="J197" s="29">
        <f t="shared" si="113"/>
        <v>-9.8381415180465726E-2</v>
      </c>
      <c r="K197" s="26">
        <f t="shared" si="76"/>
        <v>-1.4886583888717455</v>
      </c>
      <c r="L197" s="26">
        <f t="shared" si="77"/>
        <v>0.18412318130247657</v>
      </c>
      <c r="M197" s="26">
        <f t="shared" si="78"/>
        <v>0.71558406385292106</v>
      </c>
      <c r="N197" s="26">
        <f t="shared" si="79"/>
        <v>0.6716338576401476</v>
      </c>
      <c r="O197" s="26">
        <f t="shared" si="80"/>
        <v>-8.3542258990696894E-2</v>
      </c>
      <c r="P197" s="26">
        <f t="shared" si="81"/>
        <v>0.47912657401461151</v>
      </c>
      <c r="Q197" s="26">
        <f t="shared" si="82"/>
        <v>0.1147811369634895</v>
      </c>
      <c r="R197" s="26">
        <f t="shared" si="83"/>
        <v>-3.6072608878539447</v>
      </c>
      <c r="S197" s="26">
        <f t="shared" si="84"/>
        <v>2.6409656902097352E-2</v>
      </c>
      <c r="T197" s="26">
        <f t="shared" si="85"/>
        <v>1.2636547433503118</v>
      </c>
      <c r="U197" s="26">
        <f t="shared" si="86"/>
        <v>0.77965460986853929</v>
      </c>
      <c r="V197" s="26">
        <f t="shared" si="87"/>
        <v>-0.39498704325932804</v>
      </c>
      <c r="W197" s="26">
        <f t="shared" si="88"/>
        <v>0.4025173502280327</v>
      </c>
      <c r="X197" s="26">
        <f t="shared" si="89"/>
        <v>0.17849275838926568</v>
      </c>
      <c r="Y197" s="26">
        <f t="shared" si="90"/>
        <v>0.16904627731062472</v>
      </c>
      <c r="Z197" s="26">
        <f t="shared" si="91"/>
        <v>0.5421612149456988</v>
      </c>
      <c r="AA197" s="26">
        <f t="shared" si="92"/>
        <v>0.28453299625145279</v>
      </c>
      <c r="AB197" s="26">
        <f t="shared" si="93"/>
        <v>0.57065719622273225</v>
      </c>
      <c r="AC197" s="26">
        <f t="shared" si="94"/>
        <v>0.56043005856876382</v>
      </c>
      <c r="AD197" s="26">
        <f t="shared" si="95"/>
        <v>0.63655204169554236</v>
      </c>
      <c r="AE197" s="26">
        <f t="shared" si="96"/>
        <v>6.6047209197839393E-2</v>
      </c>
      <c r="AF197" s="26">
        <f t="shared" si="97"/>
        <v>-1.9495562216715745</v>
      </c>
      <c r="AG197" s="26">
        <f t="shared" si="98"/>
        <v>0.1246017557590625</v>
      </c>
      <c r="AH197" s="26">
        <f t="shared" si="99"/>
        <v>0.83260367574884364</v>
      </c>
      <c r="AI197" s="26">
        <f t="shared" si="100"/>
        <v>0.6969051817454277</v>
      </c>
      <c r="AJ197" s="26">
        <f t="shared" si="101"/>
        <v>-0.19430766364111435</v>
      </c>
      <c r="AK197" s="26">
        <f t="shared" si="102"/>
        <v>0.45157534625938794</v>
      </c>
      <c r="AL197" s="26">
        <f t="shared" si="103"/>
        <v>0.10196014667464307</v>
      </c>
      <c r="AM197" s="27">
        <f t="shared" si="104"/>
        <v>0.46128125122523767</v>
      </c>
    </row>
    <row r="198" spans="1:39" ht="15" customHeight="1" x14ac:dyDescent="0.2">
      <c r="A198" s="24">
        <v>187</v>
      </c>
      <c r="B198" s="29">
        <f t="shared" si="105"/>
        <v>1.6722351155003201</v>
      </c>
      <c r="C198" s="29">
        <f t="shared" si="106"/>
        <v>-2.1328491698289826</v>
      </c>
      <c r="D198" s="29">
        <f t="shared" si="107"/>
        <v>-1.4980310304321038</v>
      </c>
      <c r="E198" s="29">
        <f t="shared" si="108"/>
        <v>-0.42973023410066002</v>
      </c>
      <c r="F198" s="29">
        <f t="shared" si="109"/>
        <v>0.54760605820167185</v>
      </c>
      <c r="G198" s="29">
        <f t="shared" si="110"/>
        <v>0.71764170078464529</v>
      </c>
      <c r="H198" s="29">
        <f t="shared" si="111"/>
        <v>1.6887486223729196</v>
      </c>
      <c r="I198" s="29">
        <f t="shared" si="112"/>
        <v>-0.4354140292384393</v>
      </c>
      <c r="J198" s="29">
        <f t="shared" si="113"/>
        <v>-0.10201138353873988</v>
      </c>
      <c r="K198" s="26">
        <f t="shared" si="76"/>
        <v>-1.4980310304321038</v>
      </c>
      <c r="L198" s="26">
        <f t="shared" si="77"/>
        <v>0.18271937227853624</v>
      </c>
      <c r="M198" s="26">
        <f t="shared" si="78"/>
        <v>0.71764170078464529</v>
      </c>
      <c r="N198" s="26">
        <f t="shared" si="79"/>
        <v>0.67208749226599829</v>
      </c>
      <c r="O198" s="26">
        <f t="shared" si="80"/>
        <v>-8.6080618330813916E-2</v>
      </c>
      <c r="P198" s="26">
        <f t="shared" si="81"/>
        <v>0.47849312404552341</v>
      </c>
      <c r="Q198" s="26">
        <f t="shared" si="82"/>
        <v>0.11447783487942233</v>
      </c>
      <c r="R198" s="26">
        <f t="shared" si="83"/>
        <v>-3.6308802002610863</v>
      </c>
      <c r="S198" s="26">
        <f t="shared" si="84"/>
        <v>2.5809098419833278E-2</v>
      </c>
      <c r="T198" s="26">
        <f t="shared" si="85"/>
        <v>1.2652477589863171</v>
      </c>
      <c r="U198" s="26">
        <f t="shared" si="86"/>
        <v>0.7799281573586333</v>
      </c>
      <c r="V198" s="26">
        <f t="shared" si="87"/>
        <v>-0.39801796564959341</v>
      </c>
      <c r="W198" s="26">
        <f t="shared" si="88"/>
        <v>0.401788637947747</v>
      </c>
      <c r="X198" s="26">
        <f t="shared" si="89"/>
        <v>0.17892841684420585</v>
      </c>
      <c r="Y198" s="26">
        <f t="shared" si="90"/>
        <v>0.17420408506821627</v>
      </c>
      <c r="Z198" s="26">
        <f t="shared" si="91"/>
        <v>0.54344121734457873</v>
      </c>
      <c r="AA198" s="26">
        <f t="shared" si="92"/>
        <v>0.28791146668398526</v>
      </c>
      <c r="AB198" s="26">
        <f t="shared" si="93"/>
        <v>0.57148474868715904</v>
      </c>
      <c r="AC198" s="26">
        <f t="shared" si="94"/>
        <v>0.56689174651838703</v>
      </c>
      <c r="AD198" s="26">
        <f t="shared" si="95"/>
        <v>0.63804565298163085</v>
      </c>
      <c r="AE198" s="26">
        <f t="shared" si="96"/>
        <v>6.5505474662747004E-2</v>
      </c>
      <c r="AF198" s="26">
        <f t="shared" si="97"/>
        <v>-1.9586450847607664</v>
      </c>
      <c r="AG198" s="26">
        <f t="shared" si="98"/>
        <v>0.12361375529355269</v>
      </c>
      <c r="AH198" s="26">
        <f t="shared" si="99"/>
        <v>0.83551752488565711</v>
      </c>
      <c r="AI198" s="26">
        <f t="shared" si="100"/>
        <v>0.69752031591930996</v>
      </c>
      <c r="AJ198" s="26">
        <f t="shared" si="101"/>
        <v>-0.19696895581050544</v>
      </c>
      <c r="AK198" s="26">
        <f t="shared" si="102"/>
        <v>0.4509163491216916</v>
      </c>
      <c r="AL198" s="26">
        <f t="shared" si="103"/>
        <v>0.10166277695261763</v>
      </c>
      <c r="AM198" s="27">
        <f t="shared" si="104"/>
        <v>0.46057450333899275</v>
      </c>
    </row>
    <row r="199" spans="1:39" ht="15" customHeight="1" x14ac:dyDescent="0.2">
      <c r="A199" s="24">
        <v>188</v>
      </c>
      <c r="B199" s="29">
        <f t="shared" si="105"/>
        <v>1.6868349504282254</v>
      </c>
      <c r="C199" s="29">
        <f t="shared" si="106"/>
        <v>-2.1471689258777729</v>
      </c>
      <c r="D199" s="29">
        <f t="shared" si="107"/>
        <v>-1.5074376405754109</v>
      </c>
      <c r="E199" s="29">
        <f t="shared" si="108"/>
        <v>-0.4283872265948504</v>
      </c>
      <c r="F199" s="29">
        <f t="shared" si="109"/>
        <v>0.54711670064579865</v>
      </c>
      <c r="G199" s="29">
        <f t="shared" si="110"/>
        <v>0.71969686837798263</v>
      </c>
      <c r="H199" s="29">
        <f t="shared" si="111"/>
        <v>1.702268675280123</v>
      </c>
      <c r="I199" s="29">
        <f t="shared" si="112"/>
        <v>-0.43362444346301765</v>
      </c>
      <c r="J199" s="29">
        <f t="shared" si="113"/>
        <v>-0.10568230056379209</v>
      </c>
      <c r="K199" s="26">
        <f t="shared" si="76"/>
        <v>-1.5074376405754109</v>
      </c>
      <c r="L199" s="26">
        <f t="shared" si="77"/>
        <v>0.18131884518463209</v>
      </c>
      <c r="M199" s="26">
        <f t="shared" si="78"/>
        <v>0.71969686837798263</v>
      </c>
      <c r="N199" s="26">
        <f t="shared" si="79"/>
        <v>0.67254026192564975</v>
      </c>
      <c r="O199" s="26">
        <f t="shared" si="80"/>
        <v>-8.8658806952008687E-2</v>
      </c>
      <c r="P199" s="26">
        <f t="shared" si="81"/>
        <v>0.47784980544790079</v>
      </c>
      <c r="Q199" s="26">
        <f t="shared" si="82"/>
        <v>0.11417021828329832</v>
      </c>
      <c r="R199" s="26">
        <f t="shared" si="83"/>
        <v>-3.6546065664531837</v>
      </c>
      <c r="S199" s="26">
        <f t="shared" si="84"/>
        <v>2.5219211052082569E-2</v>
      </c>
      <c r="T199" s="26">
        <f t="shared" si="85"/>
        <v>1.2668135690237814</v>
      </c>
      <c r="U199" s="26">
        <f t="shared" si="86"/>
        <v>0.78019679554561039</v>
      </c>
      <c r="V199" s="26">
        <f t="shared" si="87"/>
        <v>-0.40106482883464872</v>
      </c>
      <c r="W199" s="26">
        <f t="shared" si="88"/>
        <v>0.40105653022369697</v>
      </c>
      <c r="X199" s="26">
        <f t="shared" si="89"/>
        <v>0.17936663999383859</v>
      </c>
      <c r="Y199" s="26">
        <f t="shared" si="90"/>
        <v>0.17939730985281455</v>
      </c>
      <c r="Z199" s="26">
        <f t="shared" si="91"/>
        <v>0.54472942968588534</v>
      </c>
      <c r="AA199" s="26">
        <f t="shared" si="92"/>
        <v>0.29130964178313223</v>
      </c>
      <c r="AB199" s="26">
        <f t="shared" si="93"/>
        <v>0.57231672464942185</v>
      </c>
      <c r="AC199" s="26">
        <f t="shared" si="94"/>
        <v>0.57342302288301417</v>
      </c>
      <c r="AD199" s="26">
        <f t="shared" si="95"/>
        <v>0.63955264405478718</v>
      </c>
      <c r="AE199" s="26">
        <f t="shared" si="96"/>
        <v>6.496114820394748E-2</v>
      </c>
      <c r="AF199" s="26">
        <f t="shared" si="97"/>
        <v>-1.9677716160249583</v>
      </c>
      <c r="AG199" s="26">
        <f t="shared" si="98"/>
        <v>0.1226284386801116</v>
      </c>
      <c r="AH199" s="26">
        <f t="shared" si="99"/>
        <v>0.83842634242893088</v>
      </c>
      <c r="AI199" s="26">
        <f t="shared" si="100"/>
        <v>0.6981336820546441</v>
      </c>
      <c r="AJ199" s="26">
        <f t="shared" si="101"/>
        <v>-0.19966358004386109</v>
      </c>
      <c r="AK199" s="26">
        <f t="shared" si="102"/>
        <v>0.45024927359732153</v>
      </c>
      <c r="AL199" s="26">
        <f t="shared" si="103"/>
        <v>0.10136220418745785</v>
      </c>
      <c r="AM199" s="27">
        <f t="shared" si="104"/>
        <v>0.45986021066854227</v>
      </c>
    </row>
    <row r="200" spans="1:39" ht="15" customHeight="1" x14ac:dyDescent="0.2">
      <c r="A200" s="24">
        <v>189</v>
      </c>
      <c r="B200" s="29">
        <f t="shared" si="105"/>
        <v>1.7015017580424876</v>
      </c>
      <c r="C200" s="29">
        <f t="shared" si="106"/>
        <v>-2.1615597599267904</v>
      </c>
      <c r="D200" s="29">
        <f t="shared" si="107"/>
        <v>-1.5168777476533739</v>
      </c>
      <c r="E200" s="29">
        <f t="shared" si="108"/>
        <v>-0.42702201274997081</v>
      </c>
      <c r="F200" s="29">
        <f t="shared" si="109"/>
        <v>0.54660252523796393</v>
      </c>
      <c r="G200" s="29">
        <f t="shared" si="110"/>
        <v>0.72174934941195701</v>
      </c>
      <c r="H200" s="29">
        <f t="shared" si="111"/>
        <v>1.715874795567405</v>
      </c>
      <c r="I200" s="29">
        <f t="shared" si="112"/>
        <v>-0.43181184974379827</v>
      </c>
      <c r="J200" s="29">
        <f t="shared" si="113"/>
        <v>-0.10939372196785212</v>
      </c>
      <c r="K200" s="26">
        <f t="shared" si="76"/>
        <v>-1.5168777476533739</v>
      </c>
      <c r="L200" s="26">
        <f t="shared" si="77"/>
        <v>0.17992174715707526</v>
      </c>
      <c r="M200" s="26">
        <f t="shared" si="78"/>
        <v>0.72174934941195701</v>
      </c>
      <c r="N200" s="26">
        <f t="shared" si="79"/>
        <v>0.67299211935490344</v>
      </c>
      <c r="O200" s="26">
        <f t="shared" si="80"/>
        <v>-9.1276502768215181E-2</v>
      </c>
      <c r="P200" s="26">
        <f t="shared" si="81"/>
        <v>0.47719670405824749</v>
      </c>
      <c r="Q200" s="26">
        <f t="shared" si="82"/>
        <v>0.11385834718202732</v>
      </c>
      <c r="R200" s="26">
        <f t="shared" si="83"/>
        <v>-3.6784375075801643</v>
      </c>
      <c r="S200" s="26">
        <f t="shared" si="84"/>
        <v>2.4639951630834944E-2</v>
      </c>
      <c r="T200" s="26">
        <f t="shared" si="85"/>
        <v>1.2683518746499209</v>
      </c>
      <c r="U200" s="26">
        <f t="shared" si="86"/>
        <v>0.78046048549190017</v>
      </c>
      <c r="V200" s="26">
        <f t="shared" si="87"/>
        <v>-0.4041267358927027</v>
      </c>
      <c r="W200" s="26">
        <f t="shared" si="88"/>
        <v>0.40032125227926996</v>
      </c>
      <c r="X200" s="26">
        <f t="shared" si="89"/>
        <v>0.1798073002339515</v>
      </c>
      <c r="Y200" s="26">
        <f t="shared" si="90"/>
        <v>0.18462401038911369</v>
      </c>
      <c r="Z200" s="26">
        <f t="shared" si="91"/>
        <v>0.54602534172782979</v>
      </c>
      <c r="AA200" s="26">
        <f t="shared" si="92"/>
        <v>0.29472733666198619</v>
      </c>
      <c r="AB200" s="26">
        <f t="shared" si="93"/>
        <v>0.57315306729901028</v>
      </c>
      <c r="AC200" s="26">
        <f t="shared" si="94"/>
        <v>0.58002311346729296</v>
      </c>
      <c r="AD200" s="26">
        <f t="shared" si="95"/>
        <v>0.64107272472599652</v>
      </c>
      <c r="AE200" s="26">
        <f t="shared" si="96"/>
        <v>6.4414394467810138E-2</v>
      </c>
      <c r="AF200" s="26">
        <f t="shared" si="97"/>
        <v>-1.9769357495376767</v>
      </c>
      <c r="AG200" s="26">
        <f t="shared" si="98"/>
        <v>0.1216458679818145</v>
      </c>
      <c r="AH200" s="26">
        <f t="shared" si="99"/>
        <v>0.84132986189995007</v>
      </c>
      <c r="AI200" s="26">
        <f t="shared" si="100"/>
        <v>0.69874522634449232</v>
      </c>
      <c r="AJ200" s="26">
        <f t="shared" si="101"/>
        <v>-0.20239111180040087</v>
      </c>
      <c r="AK200" s="26">
        <f t="shared" si="102"/>
        <v>0.44957423368606575</v>
      </c>
      <c r="AL200" s="26">
        <f t="shared" si="103"/>
        <v>0.10105849579720663</v>
      </c>
      <c r="AM200" s="27">
        <f t="shared" si="104"/>
        <v>0.45913853768099555</v>
      </c>
    </row>
    <row r="201" spans="1:39" ht="15" customHeight="1" x14ac:dyDescent="0.2">
      <c r="A201" s="24">
        <v>190</v>
      </c>
      <c r="B201" s="29">
        <f t="shared" si="105"/>
        <v>1.7162330682975599</v>
      </c>
      <c r="C201" s="29">
        <f t="shared" si="106"/>
        <v>-2.1760196105647522</v>
      </c>
      <c r="D201" s="29">
        <f t="shared" si="107"/>
        <v>-1.5263508623593236</v>
      </c>
      <c r="E201" s="29">
        <f t="shared" si="108"/>
        <v>-0.42563457832109547</v>
      </c>
      <c r="F201" s="29">
        <f t="shared" si="109"/>
        <v>0.54606346426582186</v>
      </c>
      <c r="G201" s="29">
        <f t="shared" si="110"/>
        <v>0.72379891945662234</v>
      </c>
      <c r="H201" s="29">
        <f t="shared" si="111"/>
        <v>1.7295644553587171</v>
      </c>
      <c r="I201" s="29">
        <f t="shared" si="112"/>
        <v>-0.42997586528896575</v>
      </c>
      <c r="J201" s="29">
        <f t="shared" si="113"/>
        <v>-0.11314517036243388</v>
      </c>
      <c r="K201" s="26">
        <f t="shared" si="76"/>
        <v>-1.5263508623593236</v>
      </c>
      <c r="L201" s="26">
        <f t="shared" si="77"/>
        <v>0.17852822568590965</v>
      </c>
      <c r="M201" s="26">
        <f t="shared" si="78"/>
        <v>0.72379891945662234</v>
      </c>
      <c r="N201" s="26">
        <f t="shared" si="79"/>
        <v>0.67344301584518473</v>
      </c>
      <c r="O201" s="26">
        <f t="shared" si="80"/>
        <v>-9.3933340398669407E-2</v>
      </c>
      <c r="P201" s="26">
        <f t="shared" si="81"/>
        <v>0.47653391672506046</v>
      </c>
      <c r="Q201" s="26">
        <f t="shared" si="82"/>
        <v>0.11354228689466343</v>
      </c>
      <c r="R201" s="26">
        <f t="shared" si="83"/>
        <v>-3.7023704729240761</v>
      </c>
      <c r="S201" s="26">
        <f t="shared" si="84"/>
        <v>2.4071271764318454E-2</v>
      </c>
      <c r="T201" s="26">
        <f t="shared" si="85"/>
        <v>1.2698623837224443</v>
      </c>
      <c r="U201" s="26">
        <f t="shared" si="86"/>
        <v>0.78071918936463069</v>
      </c>
      <c r="V201" s="26">
        <f t="shared" si="87"/>
        <v>-0.40720276331834576</v>
      </c>
      <c r="W201" s="26">
        <f t="shared" si="88"/>
        <v>0.39958303530856015</v>
      </c>
      <c r="X201" s="26">
        <f t="shared" si="89"/>
        <v>0.1802502657446409</v>
      </c>
      <c r="Y201" s="26">
        <f t="shared" si="90"/>
        <v>0.18988220593823635</v>
      </c>
      <c r="Z201" s="26">
        <f t="shared" si="91"/>
        <v>0.54732843364680273</v>
      </c>
      <c r="AA201" s="26">
        <f t="shared" si="92"/>
        <v>0.29816434113552687</v>
      </c>
      <c r="AB201" s="26">
        <f t="shared" si="93"/>
        <v>0.57399371354139006</v>
      </c>
      <c r="AC201" s="26">
        <f t="shared" si="94"/>
        <v>0.58669119022985228</v>
      </c>
      <c r="AD201" s="26">
        <f t="shared" si="95"/>
        <v>0.64260559147331586</v>
      </c>
      <c r="AE201" s="26">
        <f t="shared" si="96"/>
        <v>6.3865381623069192E-2</v>
      </c>
      <c r="AF201" s="26">
        <f t="shared" si="97"/>
        <v>-1.9861374046265159</v>
      </c>
      <c r="AG201" s="26">
        <f t="shared" si="98"/>
        <v>0.12066610609004667</v>
      </c>
      <c r="AH201" s="26">
        <f t="shared" si="99"/>
        <v>0.84422780540134879</v>
      </c>
      <c r="AI201" s="26">
        <f t="shared" si="100"/>
        <v>0.69935489285678076</v>
      </c>
      <c r="AJ201" s="26">
        <f t="shared" si="101"/>
        <v>-0.20515108750271138</v>
      </c>
      <c r="AK201" s="26">
        <f t="shared" si="102"/>
        <v>0.44889135318315271</v>
      </c>
      <c r="AL201" s="26">
        <f t="shared" si="103"/>
        <v>0.10075172348130097</v>
      </c>
      <c r="AM201" s="27">
        <f t="shared" si="104"/>
        <v>0.45840965774367448</v>
      </c>
    </row>
    <row r="202" spans="1:39" ht="15" customHeight="1" x14ac:dyDescent="0.2">
      <c r="A202" s="24">
        <v>191</v>
      </c>
      <c r="B202" s="29">
        <f t="shared" si="105"/>
        <v>1.7310263568580921</v>
      </c>
      <c r="C202" s="29">
        <f t="shared" si="106"/>
        <v>-2.1905463638950349</v>
      </c>
      <c r="D202" s="29">
        <f t="shared" si="107"/>
        <v>-1.5358564773028112</v>
      </c>
      <c r="E202" s="29">
        <f t="shared" si="108"/>
        <v>-0.42422492754076585</v>
      </c>
      <c r="F202" s="29">
        <f t="shared" si="109"/>
        <v>0.54549946432682861</v>
      </c>
      <c r="G202" s="29">
        <f t="shared" si="110"/>
        <v>0.72584534697261371</v>
      </c>
      <c r="H202" s="29">
        <f t="shared" si="111"/>
        <v>1.7433350645667871</v>
      </c>
      <c r="I202" s="29">
        <f t="shared" si="112"/>
        <v>-0.42811611280657497</v>
      </c>
      <c r="J202" s="29">
        <f t="shared" si="113"/>
        <v>-0.11693613549262254</v>
      </c>
      <c r="K202" s="26">
        <f t="shared" si="76"/>
        <v>-1.5358564773028112</v>
      </c>
      <c r="L202" s="26">
        <f t="shared" si="77"/>
        <v>0.17713842857587575</v>
      </c>
      <c r="M202" s="26">
        <f t="shared" si="78"/>
        <v>0.72584534697261371</v>
      </c>
      <c r="N202" s="26">
        <f t="shared" si="79"/>
        <v>0.67389290127119195</v>
      </c>
      <c r="O202" s="26">
        <f t="shared" si="80"/>
        <v>-9.6628911014206662E-2</v>
      </c>
      <c r="P202" s="26">
        <f t="shared" si="81"/>
        <v>0.47586155134342623</v>
      </c>
      <c r="Q202" s="26">
        <f t="shared" si="82"/>
        <v>0.11322210802348613</v>
      </c>
      <c r="R202" s="26">
        <f t="shared" si="83"/>
        <v>-3.7264028411978458</v>
      </c>
      <c r="S202" s="26">
        <f t="shared" si="84"/>
        <v>2.3513117934875961E-2</v>
      </c>
      <c r="T202" s="26">
        <f t="shared" si="85"/>
        <v>1.2713448112994423</v>
      </c>
      <c r="U202" s="26">
        <f t="shared" si="86"/>
        <v>0.78097287051342112</v>
      </c>
      <c r="V202" s="26">
        <f t="shared" si="87"/>
        <v>-0.41029196205105756</v>
      </c>
      <c r="W202" s="26">
        <f t="shared" si="88"/>
        <v>0.39884211619538706</v>
      </c>
      <c r="X202" s="26">
        <f t="shared" si="89"/>
        <v>0.1806954006302203</v>
      </c>
      <c r="Y202" s="26">
        <f t="shared" si="90"/>
        <v>0.19516987955528098</v>
      </c>
      <c r="Z202" s="26">
        <f t="shared" si="91"/>
        <v>0.54863817694009798</v>
      </c>
      <c r="AA202" s="26">
        <f t="shared" si="92"/>
        <v>0.30162041943184786</v>
      </c>
      <c r="AB202" s="26">
        <f t="shared" si="93"/>
        <v>0.57483859394549996</v>
      </c>
      <c r="AC202" s="26">
        <f t="shared" si="94"/>
        <v>0.59342637179590307</v>
      </c>
      <c r="AD202" s="26">
        <f t="shared" si="95"/>
        <v>0.64415092772554805</v>
      </c>
      <c r="AE202" s="26">
        <f t="shared" si="96"/>
        <v>6.3314281119294061E-2</v>
      </c>
      <c r="AF202" s="26">
        <f t="shared" si="97"/>
        <v>-1.9953764843397539</v>
      </c>
      <c r="AG202" s="26">
        <f t="shared" si="98"/>
        <v>0.11968921682312894</v>
      </c>
      <c r="AH202" s="26">
        <f t="shared" si="99"/>
        <v>0.84711988375867642</v>
      </c>
      <c r="AI202" s="26">
        <f t="shared" si="100"/>
        <v>0.69996262357768213</v>
      </c>
      <c r="AJ202" s="26">
        <f t="shared" si="101"/>
        <v>-0.20794300447029396</v>
      </c>
      <c r="AK202" s="26">
        <f t="shared" si="102"/>
        <v>0.44820076567947276</v>
      </c>
      <c r="AL202" s="26">
        <f t="shared" si="103"/>
        <v>0.10044196317783283</v>
      </c>
      <c r="AM202" s="27">
        <f t="shared" si="104"/>
        <v>0.45767375295083329</v>
      </c>
    </row>
    <row r="203" spans="1:39" ht="15" customHeight="1" x14ac:dyDescent="0.2">
      <c r="A203" s="24">
        <v>192</v>
      </c>
      <c r="B203" s="29">
        <f t="shared" si="105"/>
        <v>1.7458790480675783</v>
      </c>
      <c r="C203" s="29">
        <f t="shared" si="106"/>
        <v>-2.2051378553926488</v>
      </c>
      <c r="D203" s="29">
        <f t="shared" si="107"/>
        <v>-1.5453940666145682</v>
      </c>
      <c r="E203" s="29">
        <f t="shared" si="108"/>
        <v>-0.42279308348367312</v>
      </c>
      <c r="F203" s="29">
        <f t="shared" si="109"/>
        <v>0.54491048674674047</v>
      </c>
      <c r="G203" s="29">
        <f t="shared" si="110"/>
        <v>0.72788839342910305</v>
      </c>
      <c r="H203" s="29">
        <f t="shared" si="111"/>
        <v>1.7571839733790626</v>
      </c>
      <c r="I203" s="29">
        <f t="shared" si="112"/>
        <v>-0.42623222113923603</v>
      </c>
      <c r="J203" s="29">
        <f t="shared" si="113"/>
        <v>-0.12076607455829459</v>
      </c>
      <c r="K203" s="26">
        <f t="shared" si="76"/>
        <v>-1.5453940666145682</v>
      </c>
      <c r="L203" s="26">
        <f t="shared" si="77"/>
        <v>0.17575250390141386</v>
      </c>
      <c r="M203" s="26">
        <f t="shared" si="78"/>
        <v>0.72788839342910305</v>
      </c>
      <c r="N203" s="26">
        <f t="shared" si="79"/>
        <v>0.67434172412245175</v>
      </c>
      <c r="O203" s="26">
        <f t="shared" si="80"/>
        <v>-9.9362762301063515E-2</v>
      </c>
      <c r="P203" s="26">
        <f t="shared" si="81"/>
        <v>0.47517972685925242</v>
      </c>
      <c r="Q203" s="26">
        <f t="shared" si="82"/>
        <v>0.11289788640901686</v>
      </c>
      <c r="R203" s="26">
        <f t="shared" si="83"/>
        <v>-3.7505319220072169</v>
      </c>
      <c r="S203" s="26">
        <f t="shared" si="84"/>
        <v>2.2965431604087688E-2</v>
      </c>
      <c r="T203" s="26">
        <f t="shared" si="85"/>
        <v>1.2727988801758436</v>
      </c>
      <c r="U203" s="26">
        <f t="shared" si="86"/>
        <v>0.78122149354903958</v>
      </c>
      <c r="V203" s="26">
        <f t="shared" si="87"/>
        <v>-0.41339335859897719</v>
      </c>
      <c r="W203" s="26">
        <f t="shared" si="88"/>
        <v>0.39809873720995692</v>
      </c>
      <c r="X203" s="26">
        <f t="shared" si="89"/>
        <v>0.18114256507412424</v>
      </c>
      <c r="Y203" s="26">
        <f t="shared" si="90"/>
        <v>0.20048498145301008</v>
      </c>
      <c r="Z203" s="26">
        <f t="shared" si="91"/>
        <v>0.54995403535605569</v>
      </c>
      <c r="AA203" s="26">
        <f t="shared" si="92"/>
        <v>0.30509530994542994</v>
      </c>
      <c r="AB203" s="26">
        <f t="shared" si="93"/>
        <v>0.5756876327025936</v>
      </c>
      <c r="AC203" s="26">
        <f t="shared" si="94"/>
        <v>0.60022772409529368</v>
      </c>
      <c r="AD203" s="26">
        <f t="shared" si="95"/>
        <v>0.64570840418168518</v>
      </c>
      <c r="AE203" s="26">
        <f t="shared" si="96"/>
        <v>6.2761267433744078E-2</v>
      </c>
      <c r="AF203" s="26">
        <f t="shared" si="97"/>
        <v>-2.004652873939639</v>
      </c>
      <c r="AG203" s="26">
        <f t="shared" si="98"/>
        <v>0.11871526501562191</v>
      </c>
      <c r="AH203" s="26">
        <f t="shared" si="99"/>
        <v>0.85000579669217036</v>
      </c>
      <c r="AI203" s="26">
        <f t="shared" si="100"/>
        <v>0.70056835846103027</v>
      </c>
      <c r="AJ203" s="26">
        <f t="shared" si="101"/>
        <v>-0.21076632096410908</v>
      </c>
      <c r="AK203" s="26">
        <f t="shared" si="102"/>
        <v>0.44750261453312123</v>
      </c>
      <c r="AL203" s="26">
        <f t="shared" si="103"/>
        <v>0.10012929500698964</v>
      </c>
      <c r="AM203" s="27">
        <f t="shared" si="104"/>
        <v>0.45693101392387481</v>
      </c>
    </row>
    <row r="204" spans="1:39" ht="15" customHeight="1" x14ac:dyDescent="0.2">
      <c r="A204" s="24">
        <v>193</v>
      </c>
      <c r="B204" s="29">
        <f t="shared" si="105"/>
        <v>1.7607885180450382</v>
      </c>
      <c r="C204" s="29">
        <f t="shared" si="106"/>
        <v>-2.219791871890759</v>
      </c>
      <c r="D204" s="29">
        <f t="shared" si="107"/>
        <v>-1.5549630855860679</v>
      </c>
      <c r="E204" s="29">
        <f t="shared" si="108"/>
        <v>-0.42133908840616768</v>
      </c>
      <c r="F204" s="29">
        <f t="shared" si="109"/>
        <v>0.54429650798477991</v>
      </c>
      <c r="G204" s="29">
        <f t="shared" si="110"/>
        <v>0.72992781344031543</v>
      </c>
      <c r="H204" s="29">
        <f t="shared" si="111"/>
        <v>1.7711084748884705</v>
      </c>
      <c r="I204" s="29">
        <f t="shared" si="112"/>
        <v>-0.42432382591066425</v>
      </c>
      <c r="J204" s="29">
        <f t="shared" si="113"/>
        <v>-0.12463441262260008</v>
      </c>
      <c r="K204" s="26">
        <f t="shared" ref="K204:K267" si="114">0*B204+0*C204+D204</f>
        <v>-1.5549630855860679</v>
      </c>
      <c r="L204" s="26">
        <f t="shared" ref="L204:L267" si="115">1/(1+EXP(-K204))</f>
        <v>0.17437059995536297</v>
      </c>
      <c r="M204" s="26">
        <f t="shared" ref="M204:M267" si="116">0*E204+0*F204+G204</f>
        <v>0.72992781344031543</v>
      </c>
      <c r="N204" s="26">
        <f t="shared" ref="N204:N267" si="117">1/(1+EXP(-M204))</f>
        <v>0.67478943153878934</v>
      </c>
      <c r="O204" s="26">
        <f t="shared" ref="O204:O267" si="118">L204*H204+N204*I204+J204</f>
        <v>-0.1021343985448909</v>
      </c>
      <c r="P204" s="26">
        <f t="shared" ref="P204:P267" si="119">1/(1+EXP(-O204))</f>
        <v>0.47448857324242522</v>
      </c>
      <c r="Q204" s="26">
        <f t="shared" ref="Q204:Q267" si="120">0.5*(0-P204)^2</f>
        <v>0.11256970306881615</v>
      </c>
      <c r="R204" s="26">
        <f t="shared" ref="R204:R267" si="121">0*B204+1*C204+D204</f>
        <v>-3.7747549574768269</v>
      </c>
      <c r="S204" s="26">
        <f t="shared" ref="S204:S267" si="122">1/(1+EXP(-R204))</f>
        <v>2.2428149324929474E-2</v>
      </c>
      <c r="T204" s="26">
        <f t="shared" ref="T204:T267" si="123">0*E204+1*F204+G204</f>
        <v>1.2742243214250952</v>
      </c>
      <c r="U204" s="26">
        <f t="shared" ref="U204:U267" si="124">1/(1+EXP(-T204))</f>
        <v>0.78146502442273347</v>
      </c>
      <c r="V204" s="26">
        <f t="shared" ref="V204:V267" si="125">S204*H204+U204*I204+J204</f>
        <v>-0.41650595625557829</v>
      </c>
      <c r="W204" s="26">
        <f t="shared" ref="W204:W267" si="126">1/(1+EXP(-V204))</f>
        <v>0.39735314568392405</v>
      </c>
      <c r="X204" s="26">
        <f t="shared" ref="X204:X267" si="127">0.5*(1-W204)^2</f>
        <v>0.18159161550853081</v>
      </c>
      <c r="Y204" s="26">
        <f t="shared" ref="Y204:Y267" si="128">1*B204+0*C204+D204</f>
        <v>0.20582543245897034</v>
      </c>
      <c r="Z204" s="26">
        <f t="shared" ref="Z204:Z267" si="129">1/(1+EXP(-Y204))</f>
        <v>0.55127546584793075</v>
      </c>
      <c r="AA204" s="26">
        <f t="shared" ref="AA204:AA267" si="130">1*E204+0*F204+G204</f>
        <v>0.30858872503414775</v>
      </c>
      <c r="AB204" s="26">
        <f t="shared" ref="AB204:AB267" si="131">1/(1+EXP(-AA204))</f>
        <v>0.57654074759681984</v>
      </c>
      <c r="AC204" s="26">
        <f t="shared" ref="AC204:AC267" si="132">Z204*H204+AB204*I204+J204</f>
        <v>0.60709426112508236</v>
      </c>
      <c r="AD204" s="26">
        <f t="shared" ref="AD204:AD267" si="133">1/(1+EXP(-AC204))</f>
        <v>0.647277679165431</v>
      </c>
      <c r="AE204" s="26">
        <f t="shared" ref="AE204:AE267" si="134">0.5*(1-AD204)^2</f>
        <v>6.2206517807462315E-2</v>
      </c>
      <c r="AF204" s="26">
        <f t="shared" ref="AF204:AF267" si="135">1*B204+1*C204+D204</f>
        <v>-2.0139664394317887</v>
      </c>
      <c r="AG204" s="26">
        <f t="shared" ref="AG204:AG267" si="136">1/(1+EXP(-AF204))</f>
        <v>0.11774431659751521</v>
      </c>
      <c r="AH204" s="26">
        <f t="shared" ref="AH204:AH267" si="137">1*E204+1*F204+G204</f>
        <v>0.8528852330189276</v>
      </c>
      <c r="AI204" s="26">
        <f t="shared" ref="AI204:AI267" si="138">1/(1+EXP(-AH204))</f>
        <v>0.70117203548374463</v>
      </c>
      <c r="AJ204" s="26">
        <f t="shared" ref="AJ204:AJ267" si="139">AG204*H204+AI204*I204+J204</f>
        <v>-0.21362045634482024</v>
      </c>
      <c r="AK204" s="26">
        <f t="shared" ref="AK204:AK267" si="140">1/(1+EXP(-AJ204))</f>
        <v>0.44679705281162596</v>
      </c>
      <c r="AL204" s="26">
        <f t="shared" ref="AL204:AL267" si="141">0.5*(0-AK204)^2</f>
        <v>9.9813803200577436E-2</v>
      </c>
      <c r="AM204" s="27">
        <f t="shared" ref="AM204:AM267" si="142">Q204+X204+AE204+AL204</f>
        <v>0.45618163958538671</v>
      </c>
    </row>
    <row r="205" spans="1:39" ht="15" customHeight="1" x14ac:dyDescent="0.2">
      <c r="A205" s="24">
        <v>194</v>
      </c>
      <c r="B205" s="29">
        <f t="shared" ref="B205:B268" si="143">B204-$C$6*(((((P204)-0)*(P204)*(1-(P204)))*H204*(L204)*(1-(L204))*0)+((((W204)-1)*(W204)*(1-(W204)))*H204*(S204)*(1-(S204))*0)+((((AD204)-1)*(AD204)*(1-(AD204)))*H204*(Z204)*(1-(Z204))*1)+((((AK204)-0)*(AK204)*(1-(AK204)))*H204*(AG204)*(1-(AG204))*1))</f>
        <v>1.7757520979006263</v>
      </c>
      <c r="C205" s="29">
        <f t="shared" ref="C205:C268" si="144">C204-$C$6*(((((P204)-0)*(P204)*(1-(P204)))*H204*(L204)*(1-(L204))*0)+((((W204)-1)*(W204)*(1-(W204)))*H204*(S204)*(1-(S204))*1)+((((AD204)-1)*(AD204)*(1-(AD204)))*H204*(Z204)*(1-(Z204))*0)+((((AK204)-0)*(AK204)*(1-(AK204)))*H204*(AG204)*(1-(AG204))*1))</f>
        <v>-2.2345061536928217</v>
      </c>
      <c r="D205" s="29">
        <f t="shared" ref="D205:D268" si="145">D204-$C$6*(((((P204)-0)*(P204)*(1-(P204)))*H204*(L204)*(1-(L204)))+((((W204)-1)*(W204)*(1-(W204)))*H204*(S204)*(1-(S204)))+((((AD204)-1)*(AD204)*(1-(AD204)))*H204*(Z204)*(1-(Z204)))+((((AK204)-0)*(AK204)*(1-(AK204)))*H204*(AG204)*(1-(AG204))))</f>
        <v>-1.5645629703477921</v>
      </c>
      <c r="E205" s="29">
        <f t="shared" ref="E205:E268" si="146">E204-$C$6*(((((P204)-0)*(P204)*(1-(P204)))*I204*(N204)*(1-(N204))*0)+((((W204)-1)*(W204)*(1-(W204)))*I204*(U204)*(1-(U204))*0)+((((AD204)-1)*(AD204)*(1-(AD204)))*I204*(AB204)*(1-(AB204))*1)+((((AK204)-0)*(AK204)*(1-(AK204)))*I204*(AI204)*(1-(AI204))*1))</f>
        <v>-0.41986300405913052</v>
      </c>
      <c r="F205" s="29">
        <f t="shared" ref="F205:F268" si="147">F204-$C$6*(((((P204)-0)*(P204)*(1-(P204)))*I204*(N204)*(1-(N204))*0)+((((W204)-1)*(W204)*(1-(W204)))*I204*(U204)*(1-(U204))*1)+((((AD204)-1)*(AD204)*(1-(AD204)))*I204*(AB204)*(1-(AB204))*0)+((((AK204)-0)*(AK204)*(1-(AK204)))*I204*(AI204)*(1-(AI204))*1))</f>
        <v>0.54365752002398626</v>
      </c>
      <c r="G205" s="29">
        <f t="shared" ref="G205:G268" si="148">G204-$C$6*(((((P204)-0)*(P204)*(1-(P204)))*I204*(N204)*(1-(N204)))+((((W204)-1)*(W204)*(1-(W204)))*I204*(U204)*(1-(U204)))+((((AD204)-1)*(AD204)*(1-(AD204)))*I204*(AB204)*(1-(AB204)))+((((AK204)-0)*(AK204)*(1-(AK204)))*I204*(AI204)*(1-(AI204))))</f>
        <v>0.73196335492068121</v>
      </c>
      <c r="H205" s="29">
        <f t="shared" ref="H205:H268" si="149">H204-$C$6*((((P204)-0)*(P204)*(1-(P204))*L204)+(((W204)-1)*(W204)*(1-(W204))*S204)+(((AD204)-1)*(AD204)*(1-(AD204))*Z204)+(((AK204)-0)*(AK204)*(1-(AK204))*AG204))</f>
        <v>1.7851058078632145</v>
      </c>
      <c r="I205" s="29">
        <f t="shared" ref="I205:I268" si="150">I204-$C$6*((((P204)-0)*(P204)*(1-(P204))*N204)+(((W204)-1)*(W204)*(1-(W204))*U204)+(((AD204)-1)*(AD204)*(1-(AD204))*AB204)+(((AK204)-0)*(AK204)*(1-(AK204))*AI204))</f>
        <v>-0.42239057018191634</v>
      </c>
      <c r="J205" s="29">
        <f t="shared" ref="J205:J268" si="151">J204-$C$6*((((P204)-0)*(P204)*(1-(P204)))+(((W204)-1)*(W204)*(1-(W204)))+(((AD204)-1)*(AD204)*(1-(AD204)))+(((AK204)-0)*(AK204)*(1-(AK204))))</f>
        <v>-0.12854054310758467</v>
      </c>
      <c r="K205" s="26">
        <f t="shared" si="114"/>
        <v>-1.5645629703477921</v>
      </c>
      <c r="L205" s="26">
        <f t="shared" si="115"/>
        <v>0.17299286519106574</v>
      </c>
      <c r="M205" s="26">
        <f t="shared" si="116"/>
        <v>0.73196335492068121</v>
      </c>
      <c r="N205" s="26">
        <f t="shared" si="117"/>
        <v>0.67523596934970442</v>
      </c>
      <c r="O205" s="26">
        <f t="shared" si="118"/>
        <v>-0.10494328083707571</v>
      </c>
      <c r="P205" s="26">
        <f t="shared" si="119"/>
        <v>0.47378823142834808</v>
      </c>
      <c r="Q205" s="26">
        <f t="shared" si="120"/>
        <v>0.11223764412000097</v>
      </c>
      <c r="R205" s="26">
        <f t="shared" si="121"/>
        <v>-3.7990691240406136</v>
      </c>
      <c r="S205" s="26">
        <f t="shared" si="122"/>
        <v>2.1901202860735641E-2</v>
      </c>
      <c r="T205" s="26">
        <f t="shared" si="123"/>
        <v>1.2756208749446674</v>
      </c>
      <c r="U205" s="26">
        <f t="shared" si="124"/>
        <v>0.78170343050602364</v>
      </c>
      <c r="V205" s="26">
        <f t="shared" si="125"/>
        <v>-0.41962873640629439</v>
      </c>
      <c r="W205" s="26">
        <f t="shared" si="126"/>
        <v>0.39660559366474746</v>
      </c>
      <c r="X205" s="26">
        <f t="shared" si="127"/>
        <v>0.18204240479833592</v>
      </c>
      <c r="Y205" s="26">
        <f t="shared" si="128"/>
        <v>0.21118912755283414</v>
      </c>
      <c r="Z205" s="26">
        <f t="shared" si="129"/>
        <v>0.55260191954764748</v>
      </c>
      <c r="AA205" s="26">
        <f t="shared" si="130"/>
        <v>0.31210035086155069</v>
      </c>
      <c r="AB205" s="26">
        <f t="shared" si="131"/>
        <v>0.57739784998789845</v>
      </c>
      <c r="AC205" s="26">
        <f t="shared" si="132"/>
        <v>0.6140249458350806</v>
      </c>
      <c r="AD205" s="26">
        <f t="shared" si="133"/>
        <v>0.64885839901392284</v>
      </c>
      <c r="AE205" s="26">
        <f t="shared" si="134"/>
        <v>6.1650211971532712E-2</v>
      </c>
      <c r="AF205" s="26">
        <f t="shared" si="135"/>
        <v>-2.0233170261399875</v>
      </c>
      <c r="AG205" s="26">
        <f t="shared" si="136"/>
        <v>0.11677643866258734</v>
      </c>
      <c r="AH205" s="26">
        <f t="shared" si="137"/>
        <v>0.8557578708855369</v>
      </c>
      <c r="AI205" s="26">
        <f t="shared" si="138"/>
        <v>0.70177359070720879</v>
      </c>
      <c r="AJ205" s="26">
        <f t="shared" si="139"/>
        <v>-0.2165047913468463</v>
      </c>
      <c r="AK205" s="26">
        <f t="shared" si="140"/>
        <v>0.44608424320437695</v>
      </c>
      <c r="AL205" s="26">
        <f t="shared" si="141"/>
        <v>9.9495576017610859E-2</v>
      </c>
      <c r="AM205" s="27">
        <f t="shared" si="142"/>
        <v>0.4554258369074804</v>
      </c>
    </row>
    <row r="206" spans="1:39" ht="15" customHeight="1" x14ac:dyDescent="0.2">
      <c r="A206" s="24">
        <v>195</v>
      </c>
      <c r="B206" s="29">
        <f t="shared" si="143"/>
        <v>1.7907670770604776</v>
      </c>
      <c r="C206" s="29">
        <f t="shared" si="144"/>
        <v>-2.2492783968057655</v>
      </c>
      <c r="D206" s="29">
        <f t="shared" si="145"/>
        <v>-1.5741931375901368</v>
      </c>
      <c r="E206" s="29">
        <f t="shared" si="146"/>
        <v>-0.41836491197281417</v>
      </c>
      <c r="F206" s="29">
        <f t="shared" si="147"/>
        <v>0.54299353074528289</v>
      </c>
      <c r="G206" s="29">
        <f t="shared" si="148"/>
        <v>0.73399475925861013</v>
      </c>
      <c r="H206" s="29">
        <f t="shared" si="149"/>
        <v>1.7991731596491727</v>
      </c>
      <c r="I206" s="29">
        <f t="shared" si="150"/>
        <v>-0.42043210511497991</v>
      </c>
      <c r="J206" s="29">
        <f t="shared" si="151"/>
        <v>-0.13248382837637013</v>
      </c>
      <c r="K206" s="26">
        <f t="shared" si="114"/>
        <v>-1.5741931375901368</v>
      </c>
      <c r="L206" s="26">
        <f t="shared" si="115"/>
        <v>0.17161944815764713</v>
      </c>
      <c r="M206" s="26">
        <f t="shared" si="116"/>
        <v>0.73399475925861013</v>
      </c>
      <c r="N206" s="26">
        <f t="shared" si="117"/>
        <v>0.67568128211762324</v>
      </c>
      <c r="O206" s="26">
        <f t="shared" si="118"/>
        <v>-0.10778882740482976</v>
      </c>
      <c r="P206" s="26">
        <f t="shared" si="119"/>
        <v>0.47307885322747845</v>
      </c>
      <c r="Q206" s="26">
        <f t="shared" si="120"/>
        <v>0.11190180068551304</v>
      </c>
      <c r="R206" s="26">
        <f t="shared" si="121"/>
        <v>-3.8234715343959023</v>
      </c>
      <c r="S206" s="26">
        <f t="shared" si="122"/>
        <v>2.1384519310715052E-2</v>
      </c>
      <c r="T206" s="26">
        <f t="shared" si="123"/>
        <v>1.2769882900038931</v>
      </c>
      <c r="U206" s="26">
        <f t="shared" si="124"/>
        <v>0.78193668067074307</v>
      </c>
      <c r="V206" s="26">
        <f t="shared" si="125"/>
        <v>-0.42276065992155248</v>
      </c>
      <c r="W206" s="26">
        <f t="shared" si="126"/>
        <v>0.39585633755038774</v>
      </c>
      <c r="X206" s="26">
        <f t="shared" si="127"/>
        <v>0.18249478243901551</v>
      </c>
      <c r="Y206" s="26">
        <f t="shared" si="128"/>
        <v>0.21657393947034076</v>
      </c>
      <c r="Z206" s="26">
        <f t="shared" si="129"/>
        <v>0.55393284275549959</v>
      </c>
      <c r="AA206" s="26">
        <f t="shared" si="130"/>
        <v>0.31562984728579596</v>
      </c>
      <c r="AB206" s="26">
        <f t="shared" si="131"/>
        <v>0.57825884480619583</v>
      </c>
      <c r="AC206" s="26">
        <f t="shared" si="132"/>
        <v>0.621018691134265</v>
      </c>
      <c r="AD206" s="26">
        <f t="shared" si="133"/>
        <v>0.65045019849960339</v>
      </c>
      <c r="AE206" s="26">
        <f t="shared" si="134"/>
        <v>6.1092531864483338E-2</v>
      </c>
      <c r="AF206" s="26">
        <f t="shared" si="135"/>
        <v>-2.0327044573354245</v>
      </c>
      <c r="AG206" s="26">
        <f t="shared" si="136"/>
        <v>0.11581169952530543</v>
      </c>
      <c r="AH206" s="26">
        <f t="shared" si="137"/>
        <v>0.8586233780310788</v>
      </c>
      <c r="AI206" s="26">
        <f t="shared" si="138"/>
        <v>0.70237295834452507</v>
      </c>
      <c r="AJ206" s="26">
        <f t="shared" si="139"/>
        <v>-0.21941866846971056</v>
      </c>
      <c r="AK206" s="26">
        <f t="shared" si="140"/>
        <v>0.445364357904942</v>
      </c>
      <c r="AL206" s="26">
        <f t="shared" si="141"/>
        <v>9.917470564604064E-2</v>
      </c>
      <c r="AM206" s="27">
        <f t="shared" si="142"/>
        <v>0.45466382063505251</v>
      </c>
    </row>
    <row r="207" spans="1:39" ht="15" customHeight="1" x14ac:dyDescent="0.2">
      <c r="A207" s="24">
        <v>196</v>
      </c>
      <c r="B207" s="29">
        <f t="shared" si="143"/>
        <v>1.8058307066905737</v>
      </c>
      <c r="C207" s="29">
        <f t="shared" si="144"/>
        <v>-2.2641062552889935</v>
      </c>
      <c r="D207" s="29">
        <f t="shared" si="145"/>
        <v>-1.5838529843306683</v>
      </c>
      <c r="E207" s="29">
        <f t="shared" si="146"/>
        <v>-0.41684491371234489</v>
      </c>
      <c r="F207" s="29">
        <f t="shared" si="147"/>
        <v>0.54230456428381457</v>
      </c>
      <c r="G207" s="29">
        <f t="shared" si="148"/>
        <v>0.7360217615087884</v>
      </c>
      <c r="H207" s="29">
        <f t="shared" si="149"/>
        <v>1.8133076691978163</v>
      </c>
      <c r="I207" s="29">
        <f t="shared" si="150"/>
        <v>-0.41844809064124266</v>
      </c>
      <c r="J207" s="29">
        <f t="shared" si="151"/>
        <v>-0.13646360040085165</v>
      </c>
      <c r="K207" s="26">
        <f t="shared" si="114"/>
        <v>-1.5838529843306683</v>
      </c>
      <c r="L207" s="26">
        <f t="shared" si="115"/>
        <v>0.17025049742829698</v>
      </c>
      <c r="M207" s="26">
        <f t="shared" si="116"/>
        <v>0.7360217615087884</v>
      </c>
      <c r="N207" s="26">
        <f t="shared" si="117"/>
        <v>0.67612531318497904</v>
      </c>
      <c r="O207" s="26">
        <f t="shared" si="118"/>
        <v>-0.11067041406584432</v>
      </c>
      <c r="P207" s="26">
        <f t="shared" si="119"/>
        <v>0.47236060120265505</v>
      </c>
      <c r="Q207" s="26">
        <f t="shared" si="120"/>
        <v>0.11156226878426687</v>
      </c>
      <c r="R207" s="26">
        <f t="shared" si="121"/>
        <v>-3.8479592396196618</v>
      </c>
      <c r="S207" s="26">
        <f t="shared" si="122"/>
        <v>2.0878021241749006E-2</v>
      </c>
      <c r="T207" s="26">
        <f t="shared" si="123"/>
        <v>1.278326325792603</v>
      </c>
      <c r="U207" s="26">
        <f t="shared" si="124"/>
        <v>0.78216474536909963</v>
      </c>
      <c r="V207" s="26">
        <f t="shared" si="125"/>
        <v>-0.42590066863210679</v>
      </c>
      <c r="W207" s="26">
        <f t="shared" si="126"/>
        <v>0.39510563770551471</v>
      </c>
      <c r="X207" s="26">
        <f t="shared" si="127"/>
        <v>0.18294859476782604</v>
      </c>
      <c r="Y207" s="26">
        <f t="shared" si="128"/>
        <v>0.22197772235990532</v>
      </c>
      <c r="Z207" s="26">
        <f t="shared" si="129"/>
        <v>0.55526767794176213</v>
      </c>
      <c r="AA207" s="26">
        <f t="shared" si="130"/>
        <v>0.31917684779644351</v>
      </c>
      <c r="AB207" s="26">
        <f t="shared" si="131"/>
        <v>0.57912363056046445</v>
      </c>
      <c r="AC207" s="26">
        <f t="shared" si="132"/>
        <v>0.62807436101535807</v>
      </c>
      <c r="AD207" s="26">
        <f t="shared" si="133"/>
        <v>0.65205270128401105</v>
      </c>
      <c r="AE207" s="26">
        <f t="shared" si="134"/>
        <v>6.0533661341876821E-2</v>
      </c>
      <c r="AF207" s="26">
        <f t="shared" si="135"/>
        <v>-2.0421285329290884</v>
      </c>
      <c r="AG207" s="26">
        <f t="shared" si="136"/>
        <v>0.11485016876572746</v>
      </c>
      <c r="AH207" s="26">
        <f t="shared" si="137"/>
        <v>0.86148141208025808</v>
      </c>
      <c r="AI207" s="26">
        <f t="shared" si="138"/>
        <v>0.70297007083352925</v>
      </c>
      <c r="AJ207" s="26">
        <f t="shared" si="139"/>
        <v>-0.22236139248752396</v>
      </c>
      <c r="AK207" s="26">
        <f t="shared" si="140"/>
        <v>0.44463757846312135</v>
      </c>
      <c r="AL207" s="26">
        <f t="shared" si="141"/>
        <v>9.8851288090774203E-2</v>
      </c>
      <c r="AM207" s="27">
        <f t="shared" si="142"/>
        <v>0.45389581298474391</v>
      </c>
    </row>
    <row r="208" spans="1:39" ht="15" customHeight="1" x14ac:dyDescent="0.2">
      <c r="A208" s="24">
        <v>197</v>
      </c>
      <c r="B208" s="29">
        <f t="shared" si="143"/>
        <v>1.8209402032089399</v>
      </c>
      <c r="C208" s="29">
        <f t="shared" si="144"/>
        <v>-2.2789873437133772</v>
      </c>
      <c r="D208" s="29">
        <f t="shared" si="145"/>
        <v>-1.59354188773119</v>
      </c>
      <c r="E208" s="29">
        <f t="shared" si="146"/>
        <v>-0.41530313110266859</v>
      </c>
      <c r="F208" s="29">
        <f t="shared" si="147"/>
        <v>0.5415906613661412</v>
      </c>
      <c r="G208" s="29">
        <f t="shared" si="148"/>
        <v>0.73804409060280762</v>
      </c>
      <c r="H208" s="29">
        <f t="shared" si="149"/>
        <v>1.8275064302119683</v>
      </c>
      <c r="I208" s="29">
        <f t="shared" si="150"/>
        <v>-0.41643819613223571</v>
      </c>
      <c r="J208" s="29">
        <f t="shared" si="151"/>
        <v>-0.14047916151340833</v>
      </c>
      <c r="K208" s="26">
        <f t="shared" si="114"/>
        <v>-1.59354188773119</v>
      </c>
      <c r="L208" s="26">
        <f t="shared" si="115"/>
        <v>0.1688861615214515</v>
      </c>
      <c r="M208" s="26">
        <f t="shared" si="116"/>
        <v>0.73804409060280762</v>
      </c>
      <c r="N208" s="26">
        <f t="shared" si="117"/>
        <v>0.67656800472505541</v>
      </c>
      <c r="O208" s="26">
        <f t="shared" si="118"/>
        <v>-0.1135873748076266</v>
      </c>
      <c r="P208" s="26">
        <f t="shared" si="119"/>
        <v>0.47163364851418388</v>
      </c>
      <c r="Q208" s="26">
        <f t="shared" si="120"/>
        <v>0.11121914920540037</v>
      </c>
      <c r="R208" s="26">
        <f t="shared" si="121"/>
        <v>-3.8725292314445672</v>
      </c>
      <c r="S208" s="26">
        <f t="shared" si="122"/>
        <v>2.0381626826178965E-2</v>
      </c>
      <c r="T208" s="26">
        <f t="shared" si="123"/>
        <v>1.2796347519689488</v>
      </c>
      <c r="U208" s="26">
        <f t="shared" si="124"/>
        <v>0.78238759671352343</v>
      </c>
      <c r="V208" s="26">
        <f t="shared" si="125"/>
        <v>-0.42904768688200029</v>
      </c>
      <c r="W208" s="26">
        <f t="shared" si="126"/>
        <v>0.39435375806053713</v>
      </c>
      <c r="X208" s="26">
        <f t="shared" si="127"/>
        <v>0.18340368518769717</v>
      </c>
      <c r="Y208" s="26">
        <f t="shared" si="128"/>
        <v>0.22739831547774991</v>
      </c>
      <c r="Z208" s="26">
        <f t="shared" si="129"/>
        <v>0.55660586475613771</v>
      </c>
      <c r="AA208" s="26">
        <f t="shared" si="130"/>
        <v>0.32274095950013904</v>
      </c>
      <c r="AB208" s="26">
        <f t="shared" si="131"/>
        <v>0.57999209935845608</v>
      </c>
      <c r="AC208" s="26">
        <f t="shared" si="132"/>
        <v>0.63519077179434258</v>
      </c>
      <c r="AD208" s="26">
        <f t="shared" si="133"/>
        <v>0.65366552040209958</v>
      </c>
      <c r="AE208" s="26">
        <f t="shared" si="134"/>
        <v>5.9973785879174256E-2</v>
      </c>
      <c r="AF208" s="26">
        <f t="shared" si="135"/>
        <v>-2.0515890282356271</v>
      </c>
      <c r="AG208" s="26">
        <f t="shared" si="136"/>
        <v>0.11389191726196703</v>
      </c>
      <c r="AH208" s="26">
        <f t="shared" si="137"/>
        <v>0.86433162086628024</v>
      </c>
      <c r="AI208" s="26">
        <f t="shared" si="138"/>
        <v>0.70356485891542186</v>
      </c>
      <c r="AJ208" s="26">
        <f t="shared" si="139"/>
        <v>-0.22533223107676328</v>
      </c>
      <c r="AK208" s="26">
        <f t="shared" si="140"/>
        <v>0.44390409560677113</v>
      </c>
      <c r="AL208" s="26">
        <f t="shared" si="141"/>
        <v>9.8525423048232696E-2</v>
      </c>
      <c r="AM208" s="27">
        <f t="shared" si="142"/>
        <v>0.45312204332050449</v>
      </c>
    </row>
    <row r="209" spans="1:39" ht="15" customHeight="1" x14ac:dyDescent="0.2">
      <c r="A209" s="24">
        <v>198</v>
      </c>
      <c r="B209" s="29">
        <f t="shared" si="143"/>
        <v>1.836092751875076</v>
      </c>
      <c r="C209" s="29">
        <f t="shared" si="144"/>
        <v>-2.2939192397238077</v>
      </c>
      <c r="D209" s="29">
        <f t="shared" si="145"/>
        <v>-1.6032592049677878</v>
      </c>
      <c r="E209" s="29">
        <f t="shared" si="146"/>
        <v>-0.41373970642182228</v>
      </c>
      <c r="F209" s="29">
        <f t="shared" si="147"/>
        <v>0.54085187962691328</v>
      </c>
      <c r="G209" s="29">
        <f t="shared" si="148"/>
        <v>0.74006146957784646</v>
      </c>
      <c r="H209" s="29">
        <f t="shared" si="149"/>
        <v>1.8417664944011443</v>
      </c>
      <c r="I209" s="29">
        <f t="shared" si="150"/>
        <v>-0.41440210106993702</v>
      </c>
      <c r="J209" s="29">
        <f t="shared" si="151"/>
        <v>-0.14452978524067203</v>
      </c>
      <c r="K209" s="26">
        <f t="shared" si="114"/>
        <v>-1.6032592049677878</v>
      </c>
      <c r="L209" s="26">
        <f t="shared" si="115"/>
        <v>0.16752658881483695</v>
      </c>
      <c r="M209" s="26">
        <f t="shared" si="116"/>
        <v>0.74006146957784646</v>
      </c>
      <c r="N209" s="26">
        <f t="shared" si="117"/>
        <v>0.67700929779650187</v>
      </c>
      <c r="O209" s="26">
        <f t="shared" si="118"/>
        <v>-0.11653900249094087</v>
      </c>
      <c r="P209" s="26">
        <f t="shared" si="119"/>
        <v>0.47089817873283402</v>
      </c>
      <c r="Q209" s="26">
        <f t="shared" si="120"/>
        <v>0.11087254736695004</v>
      </c>
      <c r="R209" s="26">
        <f t="shared" si="121"/>
        <v>-3.8971784446915958</v>
      </c>
      <c r="S209" s="26">
        <f t="shared" si="122"/>
        <v>1.9895249985272947E-2</v>
      </c>
      <c r="T209" s="26">
        <f t="shared" si="123"/>
        <v>1.2809133492047597</v>
      </c>
      <c r="U209" s="26">
        <f t="shared" si="124"/>
        <v>0.78260520855606341</v>
      </c>
      <c r="V209" s="26">
        <f t="shared" si="125"/>
        <v>-0.43220062315397045</v>
      </c>
      <c r="W209" s="26">
        <f t="shared" si="126"/>
        <v>0.39360096569487907</v>
      </c>
      <c r="X209" s="26">
        <f t="shared" si="127"/>
        <v>0.18385989440309158</v>
      </c>
      <c r="Y209" s="26">
        <f t="shared" si="128"/>
        <v>0.23283354690728819</v>
      </c>
      <c r="Z209" s="26">
        <f t="shared" si="129"/>
        <v>0.55794684104093306</v>
      </c>
      <c r="AA209" s="26">
        <f t="shared" si="130"/>
        <v>0.32632176315602418</v>
      </c>
      <c r="AB209" s="26">
        <f t="shared" si="131"/>
        <v>0.58086413694056793</v>
      </c>
      <c r="AC209" s="26">
        <f t="shared" si="132"/>
        <v>0.64236669346113262</v>
      </c>
      <c r="AD209" s="26">
        <f t="shared" si="133"/>
        <v>0.65528825877553198</v>
      </c>
      <c r="AE209" s="26">
        <f t="shared" si="134"/>
        <v>5.94130922690023E-2</v>
      </c>
      <c r="AF209" s="26">
        <f t="shared" si="135"/>
        <v>-2.0610856928165195</v>
      </c>
      <c r="AG209" s="26">
        <f t="shared" si="136"/>
        <v>0.11293701720988046</v>
      </c>
      <c r="AH209" s="26">
        <f t="shared" si="137"/>
        <v>0.86717364278293751</v>
      </c>
      <c r="AI209" s="26">
        <f t="shared" si="138"/>
        <v>0.70415725171884302</v>
      </c>
      <c r="AJ209" s="26">
        <f t="shared" si="139"/>
        <v>-0.22833041556182987</v>
      </c>
      <c r="AK209" s="26">
        <f t="shared" si="140"/>
        <v>0.44316410903360526</v>
      </c>
      <c r="AL209" s="26">
        <f t="shared" si="141"/>
        <v>9.8197213767774585E-2</v>
      </c>
      <c r="AM209" s="27">
        <f t="shared" si="142"/>
        <v>0.45234274780681855</v>
      </c>
    </row>
    <row r="210" spans="1:39" ht="15" customHeight="1" x14ac:dyDescent="0.2">
      <c r="A210" s="24">
        <v>199</v>
      </c>
      <c r="B210" s="29">
        <f t="shared" si="143"/>
        <v>1.8512855104451869</v>
      </c>
      <c r="C210" s="29">
        <f t="shared" si="144"/>
        <v>-2.3088994866983068</v>
      </c>
      <c r="D210" s="29">
        <f t="shared" si="145"/>
        <v>-1.6130042731566943</v>
      </c>
      <c r="E210" s="29">
        <f t="shared" si="146"/>
        <v>-0.41215480256152021</v>
      </c>
      <c r="F210" s="29">
        <f t="shared" si="147"/>
        <v>0.54008829390370428</v>
      </c>
      <c r="G210" s="29">
        <f t="shared" si="148"/>
        <v>0.74207361582303444</v>
      </c>
      <c r="H210" s="29">
        <f t="shared" si="149"/>
        <v>1.8560848748376821</v>
      </c>
      <c r="I210" s="29">
        <f t="shared" si="150"/>
        <v>-0.41233949571381917</v>
      </c>
      <c r="J210" s="29">
        <f t="shared" si="151"/>
        <v>-0.14861471721695163</v>
      </c>
      <c r="K210" s="26">
        <f t="shared" si="114"/>
        <v>-1.6130042731566943</v>
      </c>
      <c r="L210" s="26">
        <f t="shared" si="115"/>
        <v>0.16617192745240847</v>
      </c>
      <c r="M210" s="26">
        <f t="shared" si="116"/>
        <v>0.74207361582303444</v>
      </c>
      <c r="N210" s="26">
        <f t="shared" si="117"/>
        <v>0.67744913240142057</v>
      </c>
      <c r="O210" s="26">
        <f t="shared" si="118"/>
        <v>-0.11952454967607773</v>
      </c>
      <c r="P210" s="26">
        <f t="shared" si="119"/>
        <v>0.47015438562107631</v>
      </c>
      <c r="Q210" s="26">
        <f t="shared" si="120"/>
        <v>0.11052257315936587</v>
      </c>
      <c r="R210" s="26">
        <f t="shared" si="121"/>
        <v>-3.9219037598550011</v>
      </c>
      <c r="S210" s="26">
        <f t="shared" si="122"/>
        <v>1.9418800538040019E-2</v>
      </c>
      <c r="T210" s="26">
        <f t="shared" si="123"/>
        <v>1.2821619097267387</v>
      </c>
      <c r="U210" s="26">
        <f t="shared" si="124"/>
        <v>0.78281755656708552</v>
      </c>
      <c r="V210" s="26">
        <f t="shared" si="125"/>
        <v>-0.43535837176160186</v>
      </c>
      <c r="W210" s="26">
        <f t="shared" si="126"/>
        <v>0.3928475304060447</v>
      </c>
      <c r="X210" s="26">
        <f t="shared" si="127"/>
        <v>0.18431706066701942</v>
      </c>
      <c r="Y210" s="26">
        <f t="shared" si="128"/>
        <v>0.2382812372884926</v>
      </c>
      <c r="Z210" s="26">
        <f t="shared" si="129"/>
        <v>0.55929004384387071</v>
      </c>
      <c r="AA210" s="26">
        <f t="shared" si="130"/>
        <v>0.32991881326151423</v>
      </c>
      <c r="AB210" s="26">
        <f t="shared" si="131"/>
        <v>0.58173962272662538</v>
      </c>
      <c r="AC210" s="26">
        <f t="shared" si="132"/>
        <v>0.64960085113711685</v>
      </c>
      <c r="AD210" s="26">
        <f t="shared" si="133"/>
        <v>0.65692050975325389</v>
      </c>
      <c r="AE210" s="26">
        <f t="shared" si="134"/>
        <v>5.8851768313983581E-2</v>
      </c>
      <c r="AF210" s="26">
        <f t="shared" si="135"/>
        <v>-2.0706182494098142</v>
      </c>
      <c r="AG210" s="26">
        <f t="shared" si="136"/>
        <v>0.11198554212974596</v>
      </c>
      <c r="AH210" s="26">
        <f t="shared" si="137"/>
        <v>0.87000710716521845</v>
      </c>
      <c r="AI210" s="26">
        <f t="shared" si="138"/>
        <v>0.70474717684918597</v>
      </c>
      <c r="AJ210" s="26">
        <f t="shared" si="139"/>
        <v>-0.23135514177716324</v>
      </c>
      <c r="AK210" s="26">
        <f t="shared" si="140"/>
        <v>0.4424178271733647</v>
      </c>
      <c r="AL210" s="26">
        <f t="shared" si="141"/>
        <v>9.7866766900400595E-2</v>
      </c>
      <c r="AM210" s="27">
        <f t="shared" si="142"/>
        <v>0.45155816904076945</v>
      </c>
    </row>
    <row r="211" spans="1:39" ht="15" customHeight="1" x14ac:dyDescent="0.2">
      <c r="A211" s="24">
        <v>200</v>
      </c>
      <c r="B211" s="29">
        <f t="shared" si="143"/>
        <v>1.8665156128815006</v>
      </c>
      <c r="C211" s="29">
        <f t="shared" si="144"/>
        <v>-2.3239255964961734</v>
      </c>
      <c r="D211" s="29">
        <f t="shared" si="145"/>
        <v>-1.6227764093384587</v>
      </c>
      <c r="E211" s="29">
        <f t="shared" si="146"/>
        <v>-0.41054860315415609</v>
      </c>
      <c r="F211" s="29">
        <f t="shared" si="147"/>
        <v>0.53929999650873151</v>
      </c>
      <c r="G211" s="29">
        <f t="shared" si="148"/>
        <v>0.7440802413430383</v>
      </c>
      <c r="H211" s="29">
        <f t="shared" si="149"/>
        <v>1.8704585494043768</v>
      </c>
      <c r="I211" s="29">
        <f t="shared" si="150"/>
        <v>-0.41025008176175148</v>
      </c>
      <c r="J211" s="29">
        <f t="shared" si="151"/>
        <v>-0.15273317617448112</v>
      </c>
      <c r="K211" s="26">
        <f t="shared" si="114"/>
        <v>-1.6227764093384587</v>
      </c>
      <c r="L211" s="26">
        <f t="shared" si="115"/>
        <v>0.16482232524428619</v>
      </c>
      <c r="M211" s="26">
        <f t="shared" si="116"/>
        <v>0.7440802413430383</v>
      </c>
      <c r="N211" s="26">
        <f t="shared" si="117"/>
        <v>0.67788744754689523</v>
      </c>
      <c r="O211" s="26">
        <f t="shared" si="118"/>
        <v>-0.12254322956997599</v>
      </c>
      <c r="P211" s="26">
        <f t="shared" si="119"/>
        <v>0.46940247288308318</v>
      </c>
      <c r="Q211" s="26">
        <f t="shared" si="120"/>
        <v>0.11016934077437682</v>
      </c>
      <c r="R211" s="26">
        <f t="shared" si="121"/>
        <v>-3.946702005834632</v>
      </c>
      <c r="S211" s="26">
        <f t="shared" si="122"/>
        <v>1.8952184355043589E-2</v>
      </c>
      <c r="T211" s="26">
        <f t="shared" si="123"/>
        <v>1.2833802378517698</v>
      </c>
      <c r="U211" s="26">
        <f t="shared" si="124"/>
        <v>0.78302461831302494</v>
      </c>
      <c r="V211" s="26">
        <f t="shared" si="125"/>
        <v>-0.43851981460208472</v>
      </c>
      <c r="W211" s="26">
        <f t="shared" si="126"/>
        <v>0.39209372426611483</v>
      </c>
      <c r="X211" s="26">
        <f t="shared" si="127"/>
        <v>0.18477502003832119</v>
      </c>
      <c r="Y211" s="26">
        <f t="shared" si="128"/>
        <v>0.2437392035430419</v>
      </c>
      <c r="Z211" s="26">
        <f t="shared" si="129"/>
        <v>0.56063491042647851</v>
      </c>
      <c r="AA211" s="26">
        <f t="shared" si="130"/>
        <v>0.33353163818888221</v>
      </c>
      <c r="AB211" s="26">
        <f t="shared" si="131"/>
        <v>0.58261842987585311</v>
      </c>
      <c r="AC211" s="26">
        <f t="shared" si="132"/>
        <v>0.65689192663481066</v>
      </c>
      <c r="AD211" s="26">
        <f t="shared" si="133"/>
        <v>0.65856185767750675</v>
      </c>
      <c r="AE211" s="26">
        <f t="shared" si="134"/>
        <v>5.8290002516317579E-2</v>
      </c>
      <c r="AF211" s="26">
        <f t="shared" si="135"/>
        <v>-2.0801863929531317</v>
      </c>
      <c r="AG211" s="26">
        <f t="shared" si="136"/>
        <v>0.1110375668598052</v>
      </c>
      <c r="AH211" s="26">
        <f t="shared" si="137"/>
        <v>0.87283163469761371</v>
      </c>
      <c r="AI211" s="26">
        <f t="shared" si="138"/>
        <v>0.70533456048292176</v>
      </c>
      <c r="AJ211" s="26">
        <f t="shared" si="139"/>
        <v>-0.23440557104400608</v>
      </c>
      <c r="AK211" s="26">
        <f t="shared" si="140"/>
        <v>0.44166546692092873</v>
      </c>
      <c r="AL211" s="26">
        <f t="shared" si="141"/>
        <v>9.7534192335240993E-2</v>
      </c>
      <c r="AM211" s="27">
        <f t="shared" si="142"/>
        <v>0.45076855566425655</v>
      </c>
    </row>
    <row r="212" spans="1:39" ht="15" customHeight="1" x14ac:dyDescent="0.2">
      <c r="A212" s="24">
        <v>201</v>
      </c>
      <c r="B212" s="29">
        <f t="shared" si="143"/>
        <v>1.8817801731037604</v>
      </c>
      <c r="C212" s="29">
        <f t="shared" si="144"/>
        <v>-2.3389950522871508</v>
      </c>
      <c r="D212" s="29">
        <f t="shared" si="145"/>
        <v>-1.6325749105225253</v>
      </c>
      <c r="E212" s="29">
        <f t="shared" si="146"/>
        <v>-0.40892131266544346</v>
      </c>
      <c r="F212" s="29">
        <f t="shared" si="147"/>
        <v>0.53848709747626322</v>
      </c>
      <c r="G212" s="29">
        <f t="shared" si="148"/>
        <v>0.74608105303832328</v>
      </c>
      <c r="H212" s="29">
        <f t="shared" si="149"/>
        <v>1.8848844643238876</v>
      </c>
      <c r="I212" s="29">
        <f t="shared" si="150"/>
        <v>-0.40813357300180597</v>
      </c>
      <c r="J212" s="29">
        <f t="shared" si="151"/>
        <v>-0.15688435500724585</v>
      </c>
      <c r="K212" s="26">
        <f t="shared" si="114"/>
        <v>-1.6325749105225253</v>
      </c>
      <c r="L212" s="26">
        <f t="shared" si="115"/>
        <v>0.16347792955986323</v>
      </c>
      <c r="M212" s="26">
        <f t="shared" si="116"/>
        <v>0.74608105303832328</v>
      </c>
      <c r="N212" s="26">
        <f t="shared" si="117"/>
        <v>0.67832418130982197</v>
      </c>
      <c r="O212" s="26">
        <f t="shared" si="118"/>
        <v>-0.12559421709152735</v>
      </c>
      <c r="P212" s="26">
        <f t="shared" si="119"/>
        <v>0.46864265388418613</v>
      </c>
      <c r="Q212" s="26">
        <f t="shared" si="120"/>
        <v>0.10981296851980654</v>
      </c>
      <c r="R212" s="26">
        <f t="shared" si="121"/>
        <v>-3.9715699628096761</v>
      </c>
      <c r="S212" s="26">
        <f t="shared" si="122"/>
        <v>1.8495303516846934E-2</v>
      </c>
      <c r="T212" s="26">
        <f t="shared" si="123"/>
        <v>1.2845681505145865</v>
      </c>
      <c r="U212" s="26">
        <f t="shared" si="124"/>
        <v>0.78322637333293954</v>
      </c>
      <c r="V212" s="26">
        <f t="shared" si="125"/>
        <v>-0.44168382296300512</v>
      </c>
      <c r="W212" s="26">
        <f t="shared" si="126"/>
        <v>0.3913398211674089</v>
      </c>
      <c r="X212" s="26">
        <f t="shared" si="127"/>
        <v>0.18523360664826091</v>
      </c>
      <c r="Y212" s="26">
        <f t="shared" si="128"/>
        <v>0.2492052625812351</v>
      </c>
      <c r="Z212" s="26">
        <f t="shared" si="129"/>
        <v>0.56198087926406426</v>
      </c>
      <c r="AA212" s="26">
        <f t="shared" si="130"/>
        <v>0.33715974037287982</v>
      </c>
      <c r="AB212" s="26">
        <f t="shared" si="131"/>
        <v>0.58350042536002678</v>
      </c>
      <c r="AC212" s="26">
        <f t="shared" si="132"/>
        <v>0.66423856011440585</v>
      </c>
      <c r="AD212" s="26">
        <f t="shared" si="133"/>
        <v>0.66021187847332119</v>
      </c>
      <c r="AE212" s="26">
        <f t="shared" si="134"/>
        <v>5.7727983765314524E-2</v>
      </c>
      <c r="AF212" s="26">
        <f t="shared" si="135"/>
        <v>-2.0897897897059154</v>
      </c>
      <c r="AG212" s="26">
        <f t="shared" si="136"/>
        <v>0.11009316753665152</v>
      </c>
      <c r="AH212" s="26">
        <f t="shared" si="137"/>
        <v>0.8756468378491431</v>
      </c>
      <c r="AI212" s="26">
        <f t="shared" si="138"/>
        <v>0.70591932746667141</v>
      </c>
      <c r="AJ212" s="26">
        <f t="shared" si="139"/>
        <v>-0.23748083125920896</v>
      </c>
      <c r="AK212" s="26">
        <f t="shared" si="140"/>
        <v>0.44090725334111586</v>
      </c>
      <c r="AL212" s="26">
        <f t="shared" si="141"/>
        <v>9.7199603024403461E-2</v>
      </c>
      <c r="AM212" s="27">
        <f t="shared" si="142"/>
        <v>0.44997416195778539</v>
      </c>
    </row>
    <row r="213" spans="1:39" ht="15" customHeight="1" x14ac:dyDescent="0.2">
      <c r="A213" s="24">
        <v>202</v>
      </c>
      <c r="B213" s="29">
        <f t="shared" si="143"/>
        <v>1.8970762887708441</v>
      </c>
      <c r="C213" s="29">
        <f t="shared" si="144"/>
        <v>-2.3541053114531474</v>
      </c>
      <c r="D213" s="29">
        <f t="shared" si="145"/>
        <v>-1.642399053793921</v>
      </c>
      <c r="E213" s="29">
        <f t="shared" si="146"/>
        <v>-0.40727315645204104</v>
      </c>
      <c r="F213" s="29">
        <f t="shared" si="147"/>
        <v>0.53764972478458173</v>
      </c>
      <c r="G213" s="29">
        <f t="shared" si="148"/>
        <v>0.74807575300145646</v>
      </c>
      <c r="H213" s="29">
        <f t="shared" si="149"/>
        <v>1.8993595377597927</v>
      </c>
      <c r="I213" s="29">
        <f t="shared" si="150"/>
        <v>-0.40598969595197731</v>
      </c>
      <c r="J213" s="29">
        <f t="shared" si="151"/>
        <v>-0.16106742190474677</v>
      </c>
      <c r="K213" s="26">
        <f t="shared" si="114"/>
        <v>-1.642399053793921</v>
      </c>
      <c r="L213" s="26">
        <f t="shared" si="115"/>
        <v>0.16213888721432723</v>
      </c>
      <c r="M213" s="26">
        <f t="shared" si="116"/>
        <v>0.74807575300145646</v>
      </c>
      <c r="N213" s="26">
        <f t="shared" si="117"/>
        <v>0.67875927090488031</v>
      </c>
      <c r="O213" s="26">
        <f t="shared" si="118"/>
        <v>-0.12867665005171319</v>
      </c>
      <c r="P213" s="26">
        <f t="shared" si="119"/>
        <v>0.46787515134067215</v>
      </c>
      <c r="Q213" s="26">
        <f t="shared" si="120"/>
        <v>0.10945357862102843</v>
      </c>
      <c r="R213" s="26">
        <f t="shared" si="121"/>
        <v>-3.9965043652470684</v>
      </c>
      <c r="S213" s="26">
        <f t="shared" si="122"/>
        <v>1.8048056476707337E-2</v>
      </c>
      <c r="T213" s="26">
        <f t="shared" si="123"/>
        <v>1.2857254777860381</v>
      </c>
      <c r="U213" s="26">
        <f t="shared" si="124"/>
        <v>0.78342280321361368</v>
      </c>
      <c r="V213" s="26">
        <f t="shared" si="125"/>
        <v>-0.44484925937622605</v>
      </c>
      <c r="W213" s="26">
        <f t="shared" si="126"/>
        <v>0.39058609635912578</v>
      </c>
      <c r="X213" s="26">
        <f t="shared" si="127"/>
        <v>0.18569265297540435</v>
      </c>
      <c r="Y213" s="26">
        <f t="shared" si="128"/>
        <v>0.25467723497692307</v>
      </c>
      <c r="Z213" s="26">
        <f t="shared" si="129"/>
        <v>0.56332739103338092</v>
      </c>
      <c r="AA213" s="26">
        <f t="shared" si="130"/>
        <v>0.34080259654941542</v>
      </c>
      <c r="AB213" s="26">
        <f t="shared" si="131"/>
        <v>0.58438547004974184</v>
      </c>
      <c r="AC213" s="26">
        <f t="shared" si="132"/>
        <v>0.67163935183159762</v>
      </c>
      <c r="AD213" s="26">
        <f t="shared" si="133"/>
        <v>0.66187014025941859</v>
      </c>
      <c r="AE213" s="26">
        <f t="shared" si="134"/>
        <v>5.7165901024092629E-2</v>
      </c>
      <c r="AF213" s="26">
        <f t="shared" si="135"/>
        <v>-2.0994280764762241</v>
      </c>
      <c r="AG213" s="26">
        <f t="shared" si="136"/>
        <v>0.10915242156255117</v>
      </c>
      <c r="AH213" s="26">
        <f t="shared" si="137"/>
        <v>0.8784523213339972</v>
      </c>
      <c r="AI213" s="26">
        <f t="shared" si="138"/>
        <v>0.70650140142074569</v>
      </c>
      <c r="AJ213" s="26">
        <f t="shared" si="139"/>
        <v>-0.24058001809279195</v>
      </c>
      <c r="AK213" s="26">
        <f t="shared" si="140"/>
        <v>0.44014341934610529</v>
      </c>
      <c r="AL213" s="26">
        <f t="shared" si="141"/>
        <v>9.6863114796840746E-2</v>
      </c>
      <c r="AM213" s="27">
        <f t="shared" si="142"/>
        <v>0.44917524741736614</v>
      </c>
    </row>
    <row r="214" spans="1:39" ht="15" customHeight="1" x14ac:dyDescent="0.2">
      <c r="A214" s="24">
        <v>203</v>
      </c>
      <c r="B214" s="29">
        <f t="shared" si="143"/>
        <v>1.9124010450804012</v>
      </c>
      <c r="C214" s="29">
        <f t="shared" si="144"/>
        <v>-2.3692538085536556</v>
      </c>
      <c r="D214" s="29">
        <f t="shared" si="145"/>
        <v>-1.6522480964833297</v>
      </c>
      <c r="E214" s="29">
        <f t="shared" si="146"/>
        <v>-0.40560438078363908</v>
      </c>
      <c r="F214" s="29">
        <f t="shared" si="147"/>
        <v>0.53678802455145613</v>
      </c>
      <c r="G214" s="29">
        <f t="shared" si="148"/>
        <v>0.75006403882873385</v>
      </c>
      <c r="H214" s="29">
        <f t="shared" si="149"/>
        <v>1.9138806634788199</v>
      </c>
      <c r="I214" s="29">
        <f t="shared" si="150"/>
        <v>-0.40381819048481343</v>
      </c>
      <c r="J214" s="29">
        <f t="shared" si="151"/>
        <v>-0.1652815215516994</v>
      </c>
      <c r="K214" s="26">
        <f t="shared" si="114"/>
        <v>-1.6522480964833297</v>
      </c>
      <c r="L214" s="26">
        <f t="shared" si="115"/>
        <v>0.16080534434890636</v>
      </c>
      <c r="M214" s="26">
        <f t="shared" si="116"/>
        <v>0.75006403882873385</v>
      </c>
      <c r="N214" s="26">
        <f t="shared" si="117"/>
        <v>0.67919265275546681</v>
      </c>
      <c r="O214" s="26">
        <f t="shared" si="118"/>
        <v>-0.13178963044456721</v>
      </c>
      <c r="P214" s="26">
        <f t="shared" si="119"/>
        <v>0.46710019698096655</v>
      </c>
      <c r="Q214" s="26">
        <f t="shared" si="120"/>
        <v>0.10909129700982888</v>
      </c>
      <c r="R214" s="26">
        <f t="shared" si="121"/>
        <v>-4.0215019050369856</v>
      </c>
      <c r="S214" s="26">
        <f t="shared" si="122"/>
        <v>1.7610338227119937E-2</v>
      </c>
      <c r="T214" s="26">
        <f t="shared" si="123"/>
        <v>1.2868520633801901</v>
      </c>
      <c r="U214" s="26">
        <f t="shared" si="124"/>
        <v>0.78361389166295936</v>
      </c>
      <c r="V214" s="26">
        <f t="shared" si="125"/>
        <v>-0.44801497951159153</v>
      </c>
      <c r="W214" s="26">
        <f t="shared" si="126"/>
        <v>0.38983282597684132</v>
      </c>
      <c r="X214" s="26">
        <f t="shared" si="127"/>
        <v>0.18615199012770381</v>
      </c>
      <c r="Y214" s="26">
        <f t="shared" si="128"/>
        <v>0.2601529485970715</v>
      </c>
      <c r="Z214" s="26">
        <f t="shared" si="129"/>
        <v>0.56467388958420139</v>
      </c>
      <c r="AA214" s="26">
        <f t="shared" si="130"/>
        <v>0.34445965804509476</v>
      </c>
      <c r="AB214" s="26">
        <f t="shared" si="131"/>
        <v>0.585273418813678</v>
      </c>
      <c r="AC214" s="26">
        <f t="shared" si="132"/>
        <v>0.67909286397067814</v>
      </c>
      <c r="AD214" s="26">
        <f t="shared" si="133"/>
        <v>0.66353620397834434</v>
      </c>
      <c r="AE214" s="26">
        <f t="shared" si="134"/>
        <v>5.6603943016651156E-2</v>
      </c>
      <c r="AF214" s="26">
        <f t="shared" si="135"/>
        <v>-2.1091008599565839</v>
      </c>
      <c r="AG214" s="26">
        <f t="shared" si="136"/>
        <v>0.10821540755989417</v>
      </c>
      <c r="AH214" s="26">
        <f t="shared" si="137"/>
        <v>0.88124768259655095</v>
      </c>
      <c r="AI214" s="26">
        <f t="shared" si="138"/>
        <v>0.70708070484684116</v>
      </c>
      <c r="AJ214" s="26">
        <f t="shared" si="139"/>
        <v>-0.24370219629031606</v>
      </c>
      <c r="AK214" s="26">
        <f t="shared" si="140"/>
        <v>0.43937420534657434</v>
      </c>
      <c r="AL214" s="26">
        <f t="shared" si="141"/>
        <v>9.652484616196684E-2</v>
      </c>
      <c r="AM214" s="27">
        <f t="shared" si="142"/>
        <v>0.44837207631615067</v>
      </c>
    </row>
    <row r="215" spans="1:39" ht="15" customHeight="1" x14ac:dyDescent="0.2">
      <c r="A215" s="24">
        <v>204</v>
      </c>
      <c r="B215" s="29">
        <f t="shared" si="143"/>
        <v>1.9277515185744107</v>
      </c>
      <c r="C215" s="29">
        <f t="shared" si="144"/>
        <v>-2.3844379583456683</v>
      </c>
      <c r="D215" s="29">
        <f t="shared" si="145"/>
        <v>-1.6621212764013964</v>
      </c>
      <c r="E215" s="29">
        <f t="shared" si="146"/>
        <v>-0.40391525282911639</v>
      </c>
      <c r="F215" s="29">
        <f t="shared" si="147"/>
        <v>0.53590216120216283</v>
      </c>
      <c r="G215" s="29">
        <f t="shared" si="148"/>
        <v>0.7520456039463369</v>
      </c>
      <c r="H215" s="29">
        <f t="shared" si="149"/>
        <v>1.9284447145634986</v>
      </c>
      <c r="I215" s="29">
        <f t="shared" si="150"/>
        <v>-0.40161881043395437</v>
      </c>
      <c r="J215" s="29">
        <f t="shared" si="151"/>
        <v>-0.16952577638931932</v>
      </c>
      <c r="K215" s="26">
        <f t="shared" si="114"/>
        <v>-1.6621212764013964</v>
      </c>
      <c r="L215" s="26">
        <f t="shared" si="115"/>
        <v>0.15947744630521521</v>
      </c>
      <c r="M215" s="26">
        <f t="shared" si="116"/>
        <v>0.7520456039463369</v>
      </c>
      <c r="N215" s="26">
        <f t="shared" si="117"/>
        <v>0.67962426256739739</v>
      </c>
      <c r="O215" s="26">
        <f t="shared" si="118"/>
        <v>-0.13493222584431447</v>
      </c>
      <c r="P215" s="26">
        <f t="shared" si="119"/>
        <v>0.46631803117942472</v>
      </c>
      <c r="Q215" s="26">
        <f t="shared" si="120"/>
        <v>0.10872625310152746</v>
      </c>
      <c r="R215" s="26">
        <f t="shared" si="121"/>
        <v>-4.0465592347470647</v>
      </c>
      <c r="S215" s="26">
        <f t="shared" si="122"/>
        <v>1.7182040469798234E-2</v>
      </c>
      <c r="T215" s="26">
        <f t="shared" si="123"/>
        <v>1.2879477651484996</v>
      </c>
      <c r="U215" s="26">
        <f t="shared" si="124"/>
        <v>0.78379962458146502</v>
      </c>
      <c r="V215" s="26">
        <f t="shared" si="125"/>
        <v>-0.45117983410290879</v>
      </c>
      <c r="W215" s="26">
        <f t="shared" si="126"/>
        <v>0.389080286566792</v>
      </c>
      <c r="X215" s="26">
        <f t="shared" si="127"/>
        <v>0.18661144813065653</v>
      </c>
      <c r="Y215" s="26">
        <f t="shared" si="128"/>
        <v>0.26563024217301434</v>
      </c>
      <c r="Z215" s="26">
        <f t="shared" si="129"/>
        <v>0.56601982289117614</v>
      </c>
      <c r="AA215" s="26">
        <f t="shared" si="130"/>
        <v>0.34813035111722052</v>
      </c>
      <c r="AB215" s="26">
        <f t="shared" si="131"/>
        <v>0.58616412063068402</v>
      </c>
      <c r="AC215" s="26">
        <f t="shared" si="132"/>
        <v>0.68659762255657664</v>
      </c>
      <c r="AD215" s="26">
        <f t="shared" si="133"/>
        <v>0.66520962404357997</v>
      </c>
      <c r="AE215" s="26">
        <f t="shared" si="134"/>
        <v>5.6042297916520531E-2</v>
      </c>
      <c r="AF215" s="26">
        <f t="shared" si="135"/>
        <v>-2.118807716172654</v>
      </c>
      <c r="AG215" s="26">
        <f t="shared" si="136"/>
        <v>0.10728220531306944</v>
      </c>
      <c r="AH215" s="26">
        <f t="shared" si="137"/>
        <v>0.88403251231938329</v>
      </c>
      <c r="AI215" s="26">
        <f t="shared" si="138"/>
        <v>0.70765715923956385</v>
      </c>
      <c r="AJ215" s="26">
        <f t="shared" si="139"/>
        <v>-0.24684640107547953</v>
      </c>
      <c r="AK215" s="26">
        <f t="shared" si="140"/>
        <v>0.43859985887781644</v>
      </c>
      <c r="AL215" s="26">
        <f t="shared" si="141"/>
        <v>9.6184918103820252E-2</v>
      </c>
      <c r="AM215" s="27">
        <f t="shared" si="142"/>
        <v>0.44756491725252479</v>
      </c>
    </row>
    <row r="216" spans="1:39" ht="15" customHeight="1" x14ac:dyDescent="0.2">
      <c r="A216" s="24">
        <v>205</v>
      </c>
      <c r="B216" s="29">
        <f t="shared" si="143"/>
        <v>1.9431247809386358</v>
      </c>
      <c r="C216" s="29">
        <f t="shared" si="144"/>
        <v>-2.3996551588485957</v>
      </c>
      <c r="D216" s="29">
        <f t="shared" si="145"/>
        <v>-1.6720178121376639</v>
      </c>
      <c r="E216" s="29">
        <f t="shared" si="146"/>
        <v>-0.4022060606065142</v>
      </c>
      <c r="F216" s="29">
        <f t="shared" si="147"/>
        <v>0.53499231760918931</v>
      </c>
      <c r="G216" s="29">
        <f t="shared" si="148"/>
        <v>0.75402013795014411</v>
      </c>
      <c r="H216" s="29">
        <f t="shared" si="149"/>
        <v>1.9430485471642487</v>
      </c>
      <c r="I216" s="29">
        <f t="shared" si="150"/>
        <v>-0.39939132417960654</v>
      </c>
      <c r="J216" s="29">
        <f t="shared" si="151"/>
        <v>-0.17379928793354113</v>
      </c>
      <c r="K216" s="26">
        <f t="shared" si="114"/>
        <v>-1.6720178121376639</v>
      </c>
      <c r="L216" s="26">
        <f t="shared" si="115"/>
        <v>0.15815533749413685</v>
      </c>
      <c r="M216" s="26">
        <f t="shared" si="116"/>
        <v>0.75402013795014411</v>
      </c>
      <c r="N216" s="26">
        <f t="shared" si="117"/>
        <v>0.68005403540516896</v>
      </c>
      <c r="O216" s="26">
        <f t="shared" si="118"/>
        <v>-0.13810347090344252</v>
      </c>
      <c r="P216" s="26">
        <f t="shared" si="119"/>
        <v>0.46552890256410617</v>
      </c>
      <c r="Q216" s="26">
        <f t="shared" si="120"/>
        <v>0.10835857956127053</v>
      </c>
      <c r="R216" s="26">
        <f t="shared" si="121"/>
        <v>-4.0716729709862598</v>
      </c>
      <c r="S216" s="26">
        <f t="shared" si="122"/>
        <v>1.6763051788665582E-2</v>
      </c>
      <c r="T216" s="26">
        <f t="shared" si="123"/>
        <v>1.2890124555593334</v>
      </c>
      <c r="U216" s="26">
        <f t="shared" si="124"/>
        <v>0.78397999013144726</v>
      </c>
      <c r="V216" s="26">
        <f t="shared" si="125"/>
        <v>-0.45434267089844904</v>
      </c>
      <c r="W216" s="26">
        <f t="shared" si="126"/>
        <v>0.3883287546069128</v>
      </c>
      <c r="X216" s="26">
        <f t="shared" si="127"/>
        <v>0.18707085622036518</v>
      </c>
      <c r="Y216" s="26">
        <f t="shared" si="128"/>
        <v>0.27110696880097196</v>
      </c>
      <c r="Z216" s="26">
        <f t="shared" si="129"/>
        <v>0.56736464398250863</v>
      </c>
      <c r="AA216" s="26">
        <f t="shared" si="130"/>
        <v>0.35181407734362991</v>
      </c>
      <c r="AB216" s="26">
        <f t="shared" si="131"/>
        <v>0.5870574187144465</v>
      </c>
      <c r="AC216" s="26">
        <f t="shared" si="132"/>
        <v>0.69415211943920885</v>
      </c>
      <c r="AD216" s="26">
        <f t="shared" si="133"/>
        <v>0.6668899490013066</v>
      </c>
      <c r="AE216" s="26">
        <f t="shared" si="134"/>
        <v>5.5481153038176058E-2</v>
      </c>
      <c r="AF216" s="26">
        <f t="shared" si="135"/>
        <v>-2.1285481900476237</v>
      </c>
      <c r="AG216" s="26">
        <f t="shared" si="136"/>
        <v>0.10635289569816089</v>
      </c>
      <c r="AH216" s="26">
        <f t="shared" si="137"/>
        <v>0.88680639495281921</v>
      </c>
      <c r="AI216" s="26">
        <f t="shared" si="138"/>
        <v>0.70823068520142796</v>
      </c>
      <c r="AJ216" s="26">
        <f t="shared" si="139"/>
        <v>-0.25001163964774714</v>
      </c>
      <c r="AK216" s="26">
        <f t="shared" si="140"/>
        <v>0.43782063420225364</v>
      </c>
      <c r="AL216" s="26">
        <f t="shared" si="141"/>
        <v>9.5843453866631803E-2</v>
      </c>
      <c r="AM216" s="27">
        <f t="shared" si="142"/>
        <v>0.44675404268644359</v>
      </c>
    </row>
    <row r="217" spans="1:39" ht="15" customHeight="1" x14ac:dyDescent="0.2">
      <c r="A217" s="24">
        <v>206</v>
      </c>
      <c r="B217" s="29">
        <f t="shared" si="143"/>
        <v>1.9585179027841044</v>
      </c>
      <c r="C217" s="29">
        <f t="shared" si="144"/>
        <v>-2.4149027944444668</v>
      </c>
      <c r="D217" s="29">
        <f t="shared" si="145"/>
        <v>-1.6819369034240972</v>
      </c>
      <c r="E217" s="29">
        <f t="shared" si="146"/>
        <v>-0.40047711289671162</v>
      </c>
      <c r="F217" s="29">
        <f t="shared" si="147"/>
        <v>0.53405869520285709</v>
      </c>
      <c r="G217" s="29">
        <f t="shared" si="148"/>
        <v>0.75598732695825577</v>
      </c>
      <c r="H217" s="29">
        <f t="shared" si="149"/>
        <v>1.9576890042797528</v>
      </c>
      <c r="I217" s="29">
        <f t="shared" si="150"/>
        <v>-0.39713551521002816</v>
      </c>
      <c r="J217" s="29">
        <f t="shared" si="151"/>
        <v>-0.17810113814523976</v>
      </c>
      <c r="K217" s="26">
        <f t="shared" si="114"/>
        <v>-1.6819369034240972</v>
      </c>
      <c r="L217" s="26">
        <f t="shared" si="115"/>
        <v>0.15683916125973671</v>
      </c>
      <c r="M217" s="26">
        <f t="shared" si="116"/>
        <v>0.75598732695825577</v>
      </c>
      <c r="N217" s="26">
        <f t="shared" si="117"/>
        <v>0.68048190577056011</v>
      </c>
      <c r="O217" s="26">
        <f t="shared" si="118"/>
        <v>-0.14130236894588744</v>
      </c>
      <c r="P217" s="26">
        <f t="shared" si="119"/>
        <v>0.46473306760006272</v>
      </c>
      <c r="Q217" s="26">
        <f t="shared" si="120"/>
        <v>0.10798841206048224</v>
      </c>
      <c r="R217" s="26">
        <f t="shared" si="121"/>
        <v>-4.0968396978685639</v>
      </c>
      <c r="S217" s="26">
        <f t="shared" si="122"/>
        <v>1.6353257825421262E-2</v>
      </c>
      <c r="T217" s="26">
        <f t="shared" si="123"/>
        <v>1.2900460221611127</v>
      </c>
      <c r="U217" s="26">
        <f t="shared" si="124"/>
        <v>0.78415497880386142</v>
      </c>
      <c r="V217" s="26">
        <f t="shared" si="125"/>
        <v>-0.45750233662804096</v>
      </c>
      <c r="W217" s="26">
        <f t="shared" si="126"/>
        <v>0.38757850602661731</v>
      </c>
      <c r="X217" s="26">
        <f t="shared" si="127"/>
        <v>0.18753004314029503</v>
      </c>
      <c r="Y217" s="26">
        <f t="shared" si="128"/>
        <v>0.27658099936000724</v>
      </c>
      <c r="Z217" s="26">
        <f t="shared" si="129"/>
        <v>0.56870781184217378</v>
      </c>
      <c r="AA217" s="26">
        <f t="shared" si="130"/>
        <v>0.35551021406154415</v>
      </c>
      <c r="AB217" s="26">
        <f t="shared" si="131"/>
        <v>0.58795315065045406</v>
      </c>
      <c r="AC217" s="26">
        <f t="shared" si="132"/>
        <v>0.70175481434325515</v>
      </c>
      <c r="AD217" s="26">
        <f t="shared" si="133"/>
        <v>0.66857672220443676</v>
      </c>
      <c r="AE217" s="26">
        <f t="shared" si="134"/>
        <v>5.4920694532377544E-2</v>
      </c>
      <c r="AF217" s="26">
        <f t="shared" si="135"/>
        <v>-2.1383217950844595</v>
      </c>
      <c r="AG217" s="26">
        <f t="shared" si="136"/>
        <v>0.10542756060095271</v>
      </c>
      <c r="AH217" s="26">
        <f t="shared" si="137"/>
        <v>0.88956890926440124</v>
      </c>
      <c r="AI217" s="26">
        <f t="shared" si="138"/>
        <v>0.70880120256095924</v>
      </c>
      <c r="AJ217" s="26">
        <f t="shared" si="139"/>
        <v>-0.25319689276925145</v>
      </c>
      <c r="AK217" s="26">
        <f t="shared" si="140"/>
        <v>0.43703679188991057</v>
      </c>
      <c r="AL217" s="26">
        <f t="shared" si="141"/>
        <v>9.5500578732712504E-2</v>
      </c>
      <c r="AM217" s="27">
        <f t="shared" si="142"/>
        <v>0.44593972846586727</v>
      </c>
    </row>
    <row r="218" spans="1:39" ht="15" customHeight="1" x14ac:dyDescent="0.2">
      <c r="A218" s="24">
        <v>207</v>
      </c>
      <c r="B218" s="29">
        <f t="shared" si="143"/>
        <v>1.9739279573989545</v>
      </c>
      <c r="C218" s="29">
        <f t="shared" si="144"/>
        <v>-2.4301782390035216</v>
      </c>
      <c r="D218" s="29">
        <f t="shared" si="145"/>
        <v>-1.6918777315627076</v>
      </c>
      <c r="E218" s="29">
        <f t="shared" si="146"/>
        <v>-0.39872873912082601</v>
      </c>
      <c r="F218" s="29">
        <f t="shared" si="147"/>
        <v>0.53310151405220396</v>
      </c>
      <c r="G218" s="29">
        <f t="shared" si="148"/>
        <v>0.75794685397522299</v>
      </c>
      <c r="H218" s="29">
        <f t="shared" si="149"/>
        <v>1.9723629195543531</v>
      </c>
      <c r="I218" s="29">
        <f t="shared" si="150"/>
        <v>-0.39485118265617281</v>
      </c>
      <c r="J218" s="29">
        <f t="shared" si="151"/>
        <v>-0.18243039084728371</v>
      </c>
      <c r="K218" s="26">
        <f t="shared" si="114"/>
        <v>-1.6918777315627076</v>
      </c>
      <c r="L218" s="26">
        <f t="shared" si="115"/>
        <v>0.15552905973875406</v>
      </c>
      <c r="M218" s="26">
        <f t="shared" si="116"/>
        <v>0.75794685397522299</v>
      </c>
      <c r="N218" s="26">
        <f t="shared" si="117"/>
        <v>0.68090780768333248</v>
      </c>
      <c r="O218" s="26">
        <f t="shared" si="118"/>
        <v>-0.14452789364899707</v>
      </c>
      <c r="P218" s="26">
        <f t="shared" si="119"/>
        <v>0.46393079014980237</v>
      </c>
      <c r="Q218" s="26">
        <f t="shared" si="120"/>
        <v>0.10761588902450998</v>
      </c>
      <c r="R218" s="26">
        <f t="shared" si="121"/>
        <v>-4.1220559705662296</v>
      </c>
      <c r="S218" s="26">
        <f t="shared" si="122"/>
        <v>1.5952541457235483E-2</v>
      </c>
      <c r="T218" s="26">
        <f t="shared" si="123"/>
        <v>1.291048368027427</v>
      </c>
      <c r="U218" s="26">
        <f t="shared" si="124"/>
        <v>0.78432458348243872</v>
      </c>
      <c r="V218" s="26">
        <f t="shared" si="125"/>
        <v>-0.46065767897873</v>
      </c>
      <c r="W218" s="26">
        <f t="shared" si="126"/>
        <v>0.38682981572731784</v>
      </c>
      <c r="X218" s="26">
        <f t="shared" si="127"/>
        <v>0.18798883744049755</v>
      </c>
      <c r="Y218" s="26">
        <f t="shared" si="128"/>
        <v>0.28205022583624695</v>
      </c>
      <c r="Z218" s="26">
        <f t="shared" si="129"/>
        <v>0.57004879228261873</v>
      </c>
      <c r="AA218" s="26">
        <f t="shared" si="130"/>
        <v>0.35921811485439697</v>
      </c>
      <c r="AB218" s="26">
        <f t="shared" si="131"/>
        <v>0.58885114854491427</v>
      </c>
      <c r="AC218" s="26">
        <f t="shared" si="132"/>
        <v>0.70940413697629001</v>
      </c>
      <c r="AD218" s="26">
        <f t="shared" si="133"/>
        <v>0.67026948249650031</v>
      </c>
      <c r="AE218" s="26">
        <f t="shared" si="134"/>
        <v>5.436110708656286E-2</v>
      </c>
      <c r="AF218" s="26">
        <f t="shared" si="135"/>
        <v>-2.1481280131672746</v>
      </c>
      <c r="AG218" s="26">
        <f t="shared" si="136"/>
        <v>0.10450628282381989</v>
      </c>
      <c r="AH218" s="26">
        <f t="shared" si="137"/>
        <v>0.89231962890660088</v>
      </c>
      <c r="AI218" s="26">
        <f t="shared" si="138"/>
        <v>0.70936863049352195</v>
      </c>
      <c r="AJ218" s="26">
        <f t="shared" si="139"/>
        <v>-0.25640111643467811</v>
      </c>
      <c r="AK218" s="26">
        <f t="shared" si="140"/>
        <v>0.43624859837854107</v>
      </c>
      <c r="AL218" s="26">
        <f t="shared" si="141"/>
        <v>9.5156419793620814E-2</v>
      </c>
      <c r="AM218" s="27">
        <f t="shared" si="142"/>
        <v>0.44512225334519123</v>
      </c>
    </row>
    <row r="219" spans="1:39" ht="15" customHeight="1" x14ac:dyDescent="0.2">
      <c r="A219" s="24">
        <v>208</v>
      </c>
      <c r="B219" s="29">
        <f t="shared" si="143"/>
        <v>1.9893520244592604</v>
      </c>
      <c r="C219" s="29">
        <f t="shared" si="144"/>
        <v>-2.4454788590251968</v>
      </c>
      <c r="D219" s="29">
        <f t="shared" si="145"/>
        <v>-1.7018394599163533</v>
      </c>
      <c r="E219" s="29">
        <f t="shared" si="146"/>
        <v>-0.3969612891815032</v>
      </c>
      <c r="F219" s="29">
        <f t="shared" si="147"/>
        <v>0.53212101291557989</v>
      </c>
      <c r="G219" s="29">
        <f t="shared" si="148"/>
        <v>0.75989839926691016</v>
      </c>
      <c r="H219" s="29">
        <f t="shared" si="149"/>
        <v>1.9870671210811666</v>
      </c>
      <c r="I219" s="29">
        <f t="shared" si="150"/>
        <v>-0.39253814179673224</v>
      </c>
      <c r="J219" s="29">
        <f t="shared" si="151"/>
        <v>-0.1867860931830469</v>
      </c>
      <c r="K219" s="26">
        <f t="shared" si="114"/>
        <v>-1.7018394599163533</v>
      </c>
      <c r="L219" s="26">
        <f t="shared" si="115"/>
        <v>0.15422517371626648</v>
      </c>
      <c r="M219" s="26">
        <f t="shared" si="116"/>
        <v>0.75989839926691016</v>
      </c>
      <c r="N219" s="26">
        <f t="shared" si="117"/>
        <v>0.6813316747637892</v>
      </c>
      <c r="O219" s="26">
        <f t="shared" si="118"/>
        <v>-0.14777899080745582</v>
      </c>
      <c r="P219" s="26">
        <f t="shared" si="119"/>
        <v>0.46312234101272248</v>
      </c>
      <c r="Q219" s="26">
        <f t="shared" si="120"/>
        <v>0.1072411513725522</v>
      </c>
      <c r="R219" s="26">
        <f t="shared" si="121"/>
        <v>-4.1473183189415499</v>
      </c>
      <c r="S219" s="26">
        <f t="shared" si="122"/>
        <v>1.5560782976121018E-2</v>
      </c>
      <c r="T219" s="26">
        <f t="shared" si="123"/>
        <v>1.2920194121824902</v>
      </c>
      <c r="U219" s="26">
        <f t="shared" si="124"/>
        <v>0.78448879950492179</v>
      </c>
      <c r="V219" s="26">
        <f t="shared" si="125"/>
        <v>-0.46380754857092849</v>
      </c>
      <c r="W219" s="26">
        <f t="shared" si="126"/>
        <v>0.38608295710567547</v>
      </c>
      <c r="X219" s="26">
        <f t="shared" si="127"/>
        <v>0.18844706777805598</v>
      </c>
      <c r="Y219" s="26">
        <f t="shared" si="128"/>
        <v>0.28751256454290708</v>
      </c>
      <c r="Z219" s="26">
        <f t="shared" si="129"/>
        <v>0.57138705878509921</v>
      </c>
      <c r="AA219" s="26">
        <f t="shared" si="130"/>
        <v>0.36293711008540697</v>
      </c>
      <c r="AB219" s="26">
        <f t="shared" si="131"/>
        <v>0.58975123918522621</v>
      </c>
      <c r="AC219" s="26">
        <f t="shared" si="132"/>
        <v>0.71709848918800656</v>
      </c>
      <c r="AD219" s="26">
        <f t="shared" si="133"/>
        <v>0.67196776490293531</v>
      </c>
      <c r="AE219" s="26">
        <f t="shared" si="134"/>
        <v>5.3802573631387962E-2</v>
      </c>
      <c r="AF219" s="26">
        <f t="shared" si="135"/>
        <v>-2.1579662944822897</v>
      </c>
      <c r="AG219" s="26">
        <f t="shared" si="136"/>
        <v>0.10358914598216024</v>
      </c>
      <c r="AH219" s="26">
        <f t="shared" si="137"/>
        <v>0.89505812300098686</v>
      </c>
      <c r="AI219" s="26">
        <f t="shared" si="138"/>
        <v>0.70993288764446394</v>
      </c>
      <c r="AJ219" s="26">
        <f t="shared" si="139"/>
        <v>-0.25962324361736522</v>
      </c>
      <c r="AK219" s="26">
        <f t="shared" si="140"/>
        <v>0.43545632551522817</v>
      </c>
      <c r="AL219" s="26">
        <f t="shared" si="141"/>
        <v>9.4811105715612173E-2</v>
      </c>
      <c r="AM219" s="27">
        <f t="shared" si="142"/>
        <v>0.44430189849760832</v>
      </c>
    </row>
    <row r="220" spans="1:39" ht="15" customHeight="1" x14ac:dyDescent="0.2">
      <c r="A220" s="24">
        <v>209</v>
      </c>
      <c r="B220" s="29">
        <f t="shared" si="143"/>
        <v>2.0047871936877932</v>
      </c>
      <c r="C220" s="29">
        <f t="shared" si="144"/>
        <v>-2.4608020167844584</v>
      </c>
      <c r="D220" s="29">
        <f t="shared" si="145"/>
        <v>-1.7118212344613668</v>
      </c>
      <c r="E220" s="29">
        <f t="shared" si="146"/>
        <v>-0.39517513326839998</v>
      </c>
      <c r="F220" s="29">
        <f t="shared" si="147"/>
        <v>0.53111744926052151</v>
      </c>
      <c r="G220" s="29">
        <f t="shared" si="148"/>
        <v>0.76184164074486871</v>
      </c>
      <c r="H220" s="29">
        <f t="shared" si="149"/>
        <v>2.001798435199631</v>
      </c>
      <c r="I220" s="29">
        <f t="shared" si="150"/>
        <v>-0.39019622453093261</v>
      </c>
      <c r="J220" s="29">
        <f t="shared" si="151"/>
        <v>-0.191167277110841</v>
      </c>
      <c r="K220" s="26">
        <f t="shared" si="114"/>
        <v>-1.7118212344613668</v>
      </c>
      <c r="L220" s="26">
        <f t="shared" si="115"/>
        <v>0.15292764247816226</v>
      </c>
      <c r="M220" s="26">
        <f t="shared" si="116"/>
        <v>0.76184164074486871</v>
      </c>
      <c r="N220" s="26">
        <f t="shared" si="117"/>
        <v>0.68175344031693219</v>
      </c>
      <c r="O220" s="26">
        <f t="shared" si="118"/>
        <v>-0.1510545801719286</v>
      </c>
      <c r="P220" s="26">
        <f t="shared" si="119"/>
        <v>0.46230799744541545</v>
      </c>
      <c r="Q220" s="26">
        <f t="shared" si="120"/>
        <v>0.10686434225099513</v>
      </c>
      <c r="R220" s="26">
        <f t="shared" si="121"/>
        <v>-4.1726232512458257</v>
      </c>
      <c r="S220" s="26">
        <f t="shared" si="122"/>
        <v>1.5177860269523738E-2</v>
      </c>
      <c r="T220" s="26">
        <f t="shared" si="123"/>
        <v>1.2929590900053902</v>
      </c>
      <c r="U220" s="26">
        <f t="shared" si="124"/>
        <v>0.78464762472118255</v>
      </c>
      <c r="V220" s="26">
        <f t="shared" si="125"/>
        <v>-0.46695080092699925</v>
      </c>
      <c r="W220" s="26">
        <f t="shared" si="126"/>
        <v>0.38533820158154664</v>
      </c>
      <c r="X220" s="26">
        <f t="shared" si="127"/>
        <v>0.18890456321750371</v>
      </c>
      <c r="Y220" s="26">
        <f t="shared" si="128"/>
        <v>0.29296595922642643</v>
      </c>
      <c r="Z220" s="26">
        <f t="shared" si="129"/>
        <v>0.57272209330505253</v>
      </c>
      <c r="AA220" s="26">
        <f t="shared" si="130"/>
        <v>0.36666650747646873</v>
      </c>
      <c r="AB220" s="26">
        <f t="shared" si="131"/>
        <v>0.59065324421156362</v>
      </c>
      <c r="AC220" s="26">
        <f t="shared" si="132"/>
        <v>0.72483624717317108</v>
      </c>
      <c r="AD220" s="26">
        <f t="shared" si="133"/>
        <v>0.67367110132733476</v>
      </c>
      <c r="AE220" s="26">
        <f t="shared" si="134"/>
        <v>5.3245275054457308E-2</v>
      </c>
      <c r="AF220" s="26">
        <f t="shared" si="135"/>
        <v>-2.167836057558032</v>
      </c>
      <c r="AG220" s="26">
        <f t="shared" si="136"/>
        <v>0.1026762343910969</v>
      </c>
      <c r="AH220" s="26">
        <f t="shared" si="137"/>
        <v>0.8977839567369903</v>
      </c>
      <c r="AI220" s="26">
        <f t="shared" si="138"/>
        <v>0.71049389225417536</v>
      </c>
      <c r="AJ220" s="26">
        <f t="shared" si="139"/>
        <v>-0.26286218608441914</v>
      </c>
      <c r="AK220" s="26">
        <f t="shared" si="140"/>
        <v>0.43466025008137826</v>
      </c>
      <c r="AL220" s="26">
        <f t="shared" si="141"/>
        <v>9.4464766500403141E-2</v>
      </c>
      <c r="AM220" s="27">
        <f t="shared" si="142"/>
        <v>0.44347894702335927</v>
      </c>
    </row>
    <row r="221" spans="1:39" ht="15" customHeight="1" x14ac:dyDescent="0.2">
      <c r="A221" s="24">
        <v>210</v>
      </c>
      <c r="B221" s="29">
        <f t="shared" si="143"/>
        <v>2.0202305684500614</v>
      </c>
      <c r="C221" s="29">
        <f t="shared" si="144"/>
        <v>-2.4761450734734547</v>
      </c>
      <c r="D221" s="29">
        <f t="shared" si="145"/>
        <v>-1.721822184400247</v>
      </c>
      <c r="E221" s="29">
        <f t="shared" si="146"/>
        <v>-0.39337066162830076</v>
      </c>
      <c r="F221" s="29">
        <f t="shared" si="147"/>
        <v>0.53009109925259235</v>
      </c>
      <c r="G221" s="29">
        <f t="shared" si="148"/>
        <v>0.76377625435904994</v>
      </c>
      <c r="H221" s="29">
        <f t="shared" si="149"/>
        <v>2.0165536902762708</v>
      </c>
      <c r="I221" s="29">
        <f t="shared" si="150"/>
        <v>-0.38782527981657194</v>
      </c>
      <c r="J221" s="29">
        <f t="shared" si="151"/>
        <v>-0.1955729609286038</v>
      </c>
      <c r="K221" s="26">
        <f t="shared" si="114"/>
        <v>-1.721822184400247</v>
      </c>
      <c r="L221" s="26">
        <f t="shared" si="115"/>
        <v>0.15163660366109194</v>
      </c>
      <c r="M221" s="26">
        <f t="shared" si="116"/>
        <v>0.76377625435904994</v>
      </c>
      <c r="N221" s="26">
        <f t="shared" si="117"/>
        <v>0.68217303741795576</v>
      </c>
      <c r="O221" s="26">
        <f t="shared" si="118"/>
        <v>-0.15435355735480807</v>
      </c>
      <c r="P221" s="26">
        <f t="shared" si="119"/>
        <v>0.46148804266485033</v>
      </c>
      <c r="Q221" s="26">
        <f t="shared" si="120"/>
        <v>0.10648560676131735</v>
      </c>
      <c r="R221" s="26">
        <f t="shared" si="121"/>
        <v>-4.1979672578737013</v>
      </c>
      <c r="S221" s="26">
        <f t="shared" si="122"/>
        <v>1.4803649001672416E-2</v>
      </c>
      <c r="T221" s="26">
        <f t="shared" si="123"/>
        <v>1.2938673536116423</v>
      </c>
      <c r="U221" s="26">
        <f t="shared" si="124"/>
        <v>0.78480105954801294</v>
      </c>
      <c r="V221" s="26">
        <f t="shared" si="125"/>
        <v>-0.47008629842427696</v>
      </c>
      <c r="W221" s="26">
        <f t="shared" si="126"/>
        <v>0.38459581813255833</v>
      </c>
      <c r="X221" s="26">
        <f t="shared" si="127"/>
        <v>0.18936115352996757</v>
      </c>
      <c r="Y221" s="26">
        <f t="shared" si="128"/>
        <v>0.2984083840498144</v>
      </c>
      <c r="Z221" s="26">
        <f t="shared" si="129"/>
        <v>0.57405338704015141</v>
      </c>
      <c r="AA221" s="26">
        <f t="shared" si="130"/>
        <v>0.37040559273074919</v>
      </c>
      <c r="AB221" s="26">
        <f t="shared" si="131"/>
        <v>0.59155698029907566</v>
      </c>
      <c r="AC221" s="26">
        <f t="shared" si="132"/>
        <v>0.73261576371087067</v>
      </c>
      <c r="AD221" s="26">
        <f t="shared" si="133"/>
        <v>0.67537902125020566</v>
      </c>
      <c r="AE221" s="26">
        <f t="shared" si="134"/>
        <v>5.2689389922237213E-2</v>
      </c>
      <c r="AF221" s="26">
        <f t="shared" si="135"/>
        <v>-2.1777366894236403</v>
      </c>
      <c r="AG221" s="26">
        <f t="shared" si="136"/>
        <v>0.10176763294324473</v>
      </c>
      <c r="AH221" s="26">
        <f t="shared" si="137"/>
        <v>0.90049669198334148</v>
      </c>
      <c r="AI221" s="26">
        <f t="shared" si="138"/>
        <v>0.71105156228463939</v>
      </c>
      <c r="AJ221" s="26">
        <f t="shared" si="139"/>
        <v>-0.26611683627327354</v>
      </c>
      <c r="AK221" s="26">
        <f t="shared" si="140"/>
        <v>0.43386065330312701</v>
      </c>
      <c r="AL221" s="26">
        <f t="shared" si="141"/>
        <v>9.411753324230808E-2</v>
      </c>
      <c r="AM221" s="27">
        <f t="shared" si="142"/>
        <v>0.44265368345583023</v>
      </c>
    </row>
    <row r="222" spans="1:39" ht="15" customHeight="1" x14ac:dyDescent="0.2">
      <c r="A222" s="24">
        <v>211</v>
      </c>
      <c r="B222" s="29">
        <f t="shared" si="143"/>
        <v>2.0356792692774253</v>
      </c>
      <c r="C222" s="29">
        <f t="shared" si="144"/>
        <v>-2.4915053923285422</v>
      </c>
      <c r="D222" s="29">
        <f t="shared" si="145"/>
        <v>-1.7318414228322698</v>
      </c>
      <c r="E222" s="29">
        <f t="shared" si="146"/>
        <v>-0.39154828430044458</v>
      </c>
      <c r="F222" s="29">
        <f t="shared" si="147"/>
        <v>0.52904225771299151</v>
      </c>
      <c r="G222" s="29">
        <f t="shared" si="148"/>
        <v>0.76570191449764491</v>
      </c>
      <c r="H222" s="29">
        <f t="shared" si="149"/>
        <v>2.0313297204576131</v>
      </c>
      <c r="I222" s="29">
        <f t="shared" si="150"/>
        <v>-0.38542517407094223</v>
      </c>
      <c r="J222" s="29">
        <f t="shared" si="151"/>
        <v>-0.20000215082309514</v>
      </c>
      <c r="K222" s="26">
        <f t="shared" si="114"/>
        <v>-1.7318414228322698</v>
      </c>
      <c r="L222" s="26">
        <f t="shared" si="115"/>
        <v>0.15035219310059775</v>
      </c>
      <c r="M222" s="26">
        <f t="shared" si="116"/>
        <v>0.76570191449764491</v>
      </c>
      <c r="N222" s="26">
        <f t="shared" si="117"/>
        <v>0.68259039899880369</v>
      </c>
      <c r="O222" s="26">
        <f t="shared" si="118"/>
        <v>-0.15767479579513671</v>
      </c>
      <c r="P222" s="26">
        <f t="shared" si="119"/>
        <v>0.46066276533651646</v>
      </c>
      <c r="Q222" s="26">
        <f t="shared" si="120"/>
        <v>0.10610509168374321</v>
      </c>
      <c r="R222" s="26">
        <f t="shared" si="121"/>
        <v>-4.223346815160812</v>
      </c>
      <c r="S222" s="26">
        <f t="shared" si="122"/>
        <v>1.4438022795226643E-2</v>
      </c>
      <c r="T222" s="26">
        <f t="shared" si="123"/>
        <v>1.2947441722106365</v>
      </c>
      <c r="U222" s="26">
        <f t="shared" si="124"/>
        <v>0.78494910702039655</v>
      </c>
      <c r="V222" s="26">
        <f t="shared" si="125"/>
        <v>-0.47321291222467377</v>
      </c>
      <c r="W222" s="26">
        <f t="shared" si="126"/>
        <v>0.38385607283719347</v>
      </c>
      <c r="X222" s="26">
        <f t="shared" si="127"/>
        <v>0.18981666948980291</v>
      </c>
      <c r="Y222" s="26">
        <f t="shared" si="128"/>
        <v>0.30383784644515544</v>
      </c>
      <c r="Z222" s="26">
        <f t="shared" si="129"/>
        <v>0.57538044115894138</v>
      </c>
      <c r="AA222" s="26">
        <f t="shared" si="130"/>
        <v>0.37415363019720033</v>
      </c>
      <c r="AB222" s="26">
        <f t="shared" si="131"/>
        <v>0.59246225935016428</v>
      </c>
      <c r="AC222" s="26">
        <f t="shared" si="132"/>
        <v>0.74043537043257457</v>
      </c>
      <c r="AD222" s="26">
        <f t="shared" si="133"/>
        <v>0.67709105242781409</v>
      </c>
      <c r="AE222" s="26">
        <f t="shared" si="134"/>
        <v>5.2135094211088355E-2</v>
      </c>
      <c r="AF222" s="26">
        <f t="shared" si="135"/>
        <v>-2.1876675458833867</v>
      </c>
      <c r="AG222" s="26">
        <f t="shared" si="136"/>
        <v>0.10086342697838911</v>
      </c>
      <c r="AH222" s="26">
        <f t="shared" si="137"/>
        <v>0.90319588791019179</v>
      </c>
      <c r="AI222" s="26">
        <f t="shared" si="138"/>
        <v>0.7116058155470486</v>
      </c>
      <c r="AJ222" s="26">
        <f t="shared" si="139"/>
        <v>-0.26938606922180314</v>
      </c>
      <c r="AK222" s="26">
        <f t="shared" si="140"/>
        <v>0.43305782034924711</v>
      </c>
      <c r="AL222" s="26">
        <f t="shared" si="141"/>
        <v>9.37695378828204E-2</v>
      </c>
      <c r="AM222" s="27">
        <f t="shared" si="142"/>
        <v>0.44182639326745488</v>
      </c>
    </row>
    <row r="223" spans="1:39" ht="15" customHeight="1" x14ac:dyDescent="0.2">
      <c r="A223" s="24">
        <v>212</v>
      </c>
      <c r="B223" s="29">
        <f t="shared" si="143"/>
        <v>2.0511304373075645</v>
      </c>
      <c r="C223" s="29">
        <f t="shared" si="144"/>
        <v>-2.506880341732876</v>
      </c>
      <c r="D223" s="29">
        <f t="shared" si="145"/>
        <v>-1.7418780474794961</v>
      </c>
      <c r="E223" s="29">
        <f t="shared" si="146"/>
        <v>-0.38970843081777135</v>
      </c>
      <c r="F223" s="29">
        <f t="shared" si="147"/>
        <v>0.52797123804485968</v>
      </c>
      <c r="G223" s="29">
        <f t="shared" si="148"/>
        <v>0.7676182943928046</v>
      </c>
      <c r="H223" s="29">
        <f t="shared" si="149"/>
        <v>2.0461233693843792</v>
      </c>
      <c r="I223" s="29">
        <f t="shared" si="150"/>
        <v>-0.38299579153244728</v>
      </c>
      <c r="J223" s="29">
        <f t="shared" si="151"/>
        <v>-0.20445384243780546</v>
      </c>
      <c r="K223" s="26">
        <f t="shared" si="114"/>
        <v>-1.7418780474794961</v>
      </c>
      <c r="L223" s="26">
        <f t="shared" si="115"/>
        <v>0.14907454467814196</v>
      </c>
      <c r="M223" s="26">
        <f t="shared" si="116"/>
        <v>0.7676182943928046</v>
      </c>
      <c r="N223" s="26">
        <f t="shared" si="117"/>
        <v>0.68300545793551426</v>
      </c>
      <c r="O223" s="26">
        <f t="shared" si="118"/>
        <v>-0.16101714877451739</v>
      </c>
      <c r="P223" s="26">
        <f t="shared" si="119"/>
        <v>0.4598324590496824</v>
      </c>
      <c r="Q223" s="26">
        <f t="shared" si="120"/>
        <v>0.10572294519783892</v>
      </c>
      <c r="R223" s="26">
        <f t="shared" si="121"/>
        <v>-4.2487583892123721</v>
      </c>
      <c r="S223" s="26">
        <f t="shared" si="122"/>
        <v>1.408085341276495E-2</v>
      </c>
      <c r="T223" s="26">
        <f t="shared" si="123"/>
        <v>1.2955895324376643</v>
      </c>
      <c r="U223" s="26">
        <f t="shared" si="124"/>
        <v>0.78509177283907627</v>
      </c>
      <c r="V223" s="26">
        <f t="shared" si="125"/>
        <v>-0.47632952417318558</v>
      </c>
      <c r="W223" s="26">
        <f t="shared" si="126"/>
        <v>0.3831192284282039</v>
      </c>
      <c r="X223" s="26">
        <f t="shared" si="127"/>
        <v>0.19027094316750726</v>
      </c>
      <c r="Y223" s="26">
        <f t="shared" si="128"/>
        <v>0.30925238982806835</v>
      </c>
      <c r="Z223" s="26">
        <f t="shared" si="129"/>
        <v>0.5767027674882319</v>
      </c>
      <c r="AA223" s="26">
        <f t="shared" si="130"/>
        <v>0.37790986357503326</v>
      </c>
      <c r="AB223" s="26">
        <f t="shared" si="131"/>
        <v>0.59336888869626025</v>
      </c>
      <c r="AC223" s="26">
        <f t="shared" si="132"/>
        <v>0.74829338011155899</v>
      </c>
      <c r="AD223" s="26">
        <f t="shared" si="133"/>
        <v>0.67880672158873023</v>
      </c>
      <c r="AE223" s="26">
        <f t="shared" si="134"/>
        <v>5.1582561048289725E-2</v>
      </c>
      <c r="AF223" s="26">
        <f t="shared" si="135"/>
        <v>-2.1976279519048076</v>
      </c>
      <c r="AG223" s="26">
        <f t="shared" si="136"/>
        <v>9.9963702145971722E-2</v>
      </c>
      <c r="AH223" s="26">
        <f t="shared" si="137"/>
        <v>0.90588110161989288</v>
      </c>
      <c r="AI223" s="26">
        <f t="shared" si="138"/>
        <v>0.71215656983006193</v>
      </c>
      <c r="AJ223" s="26">
        <f t="shared" si="139"/>
        <v>-0.27266874454385043</v>
      </c>
      <c r="AK223" s="26">
        <f t="shared" si="140"/>
        <v>0.43225203981871169</v>
      </c>
      <c r="AL223" s="26">
        <f t="shared" si="141"/>
        <v>9.3420912963718558E-2</v>
      </c>
      <c r="AM223" s="27">
        <f t="shared" si="142"/>
        <v>0.44099736237735448</v>
      </c>
    </row>
    <row r="224" spans="1:39" ht="15" customHeight="1" x14ac:dyDescent="0.2">
      <c r="A224" s="24">
        <v>213</v>
      </c>
      <c r="B224" s="29">
        <f t="shared" si="143"/>
        <v>2.066581237633129</v>
      </c>
      <c r="C224" s="29">
        <f t="shared" si="144"/>
        <v>-2.5222672982849539</v>
      </c>
      <c r="D224" s="29">
        <f t="shared" si="145"/>
        <v>-1.7519311414653234</v>
      </c>
      <c r="E224" s="29">
        <f t="shared" si="146"/>
        <v>-0.38785154987492459</v>
      </c>
      <c r="F224" s="29">
        <f t="shared" si="147"/>
        <v>0.52687837212833</v>
      </c>
      <c r="G224" s="29">
        <f t="shared" si="148"/>
        <v>0.76952506653096797</v>
      </c>
      <c r="H224" s="29">
        <f t="shared" si="149"/>
        <v>2.060931493856339</v>
      </c>
      <c r="I224" s="29">
        <f t="shared" si="150"/>
        <v>-0.38053703458091592</v>
      </c>
      <c r="J224" s="29">
        <f t="shared" si="151"/>
        <v>-0.2089270224537747</v>
      </c>
      <c r="K224" s="26">
        <f t="shared" si="114"/>
        <v>-1.7519311414653234</v>
      </c>
      <c r="L224" s="26">
        <f t="shared" si="115"/>
        <v>0.14780379016776865</v>
      </c>
      <c r="M224" s="26">
        <f t="shared" si="116"/>
        <v>0.76952506653096797</v>
      </c>
      <c r="N224" s="26">
        <f t="shared" si="117"/>
        <v>0.68341814713607352</v>
      </c>
      <c r="O224" s="26">
        <f t="shared" si="118"/>
        <v>-0.16437945147563188</v>
      </c>
      <c r="P224" s="26">
        <f t="shared" si="119"/>
        <v>0.45899742178197506</v>
      </c>
      <c r="Q224" s="26">
        <f t="shared" si="120"/>
        <v>0.10533931660125015</v>
      </c>
      <c r="R224" s="26">
        <f t="shared" si="121"/>
        <v>-4.2741984397502772</v>
      </c>
      <c r="S224" s="26">
        <f t="shared" si="122"/>
        <v>1.3732010937658247E-2</v>
      </c>
      <c r="T224" s="26">
        <f t="shared" si="123"/>
        <v>1.296403438659298</v>
      </c>
      <c r="U224" s="26">
        <f t="shared" si="124"/>
        <v>0.78522906541425219</v>
      </c>
      <c r="V224" s="26">
        <f t="shared" si="125"/>
        <v>-0.4794350286578587</v>
      </c>
      <c r="W224" s="26">
        <f t="shared" si="126"/>
        <v>0.38238554385809304</v>
      </c>
      <c r="X224" s="26">
        <f t="shared" si="127"/>
        <v>0.1907238082177318</v>
      </c>
      <c r="Y224" s="26">
        <f t="shared" si="128"/>
        <v>0.31465009616780559</v>
      </c>
      <c r="Z224" s="26">
        <f t="shared" si="129"/>
        <v>0.57801988915767188</v>
      </c>
      <c r="AA224" s="26">
        <f t="shared" si="130"/>
        <v>0.38167351665604338</v>
      </c>
      <c r="AB224" s="26">
        <f t="shared" si="131"/>
        <v>0.59427667130847706</v>
      </c>
      <c r="AC224" s="26">
        <f t="shared" si="132"/>
        <v>0.75618808896627587</v>
      </c>
      <c r="AD224" s="26">
        <f t="shared" si="133"/>
        <v>0.68052555512573498</v>
      </c>
      <c r="AE224" s="26">
        <f t="shared" si="134"/>
        <v>5.1031960463859896E-2</v>
      </c>
      <c r="AF224" s="26">
        <f t="shared" si="135"/>
        <v>-2.2076172021171483</v>
      </c>
      <c r="AG224" s="26">
        <f t="shared" si="136"/>
        <v>9.9068544261316005E-2</v>
      </c>
      <c r="AH224" s="26">
        <f t="shared" si="137"/>
        <v>0.90855188878437332</v>
      </c>
      <c r="AI224" s="26">
        <f t="shared" si="138"/>
        <v>0.71270374302826922</v>
      </c>
      <c r="AJ224" s="26">
        <f t="shared" si="139"/>
        <v>-0.27596370844182455</v>
      </c>
      <c r="AK224" s="26">
        <f t="shared" si="140"/>
        <v>0.43144360322010794</v>
      </c>
      <c r="AL224" s="26">
        <f t="shared" si="141"/>
        <v>9.3071791379774962E-2</v>
      </c>
      <c r="AM224" s="27">
        <f t="shared" si="142"/>
        <v>0.44016687666261678</v>
      </c>
    </row>
    <row r="225" spans="1:39" ht="15" customHeight="1" x14ac:dyDescent="0.2">
      <c r="A225" s="24">
        <v>214</v>
      </c>
      <c r="B225" s="29">
        <f t="shared" si="143"/>
        <v>2.0820288625499601</v>
      </c>
      <c r="C225" s="29">
        <f t="shared" si="144"/>
        <v>-2.5376636498237621</v>
      </c>
      <c r="D225" s="29">
        <f t="shared" si="145"/>
        <v>-1.7619997741424109</v>
      </c>
      <c r="E225" s="29">
        <f t="shared" si="146"/>
        <v>-0.38597810896397117</v>
      </c>
      <c r="F225" s="29">
        <f t="shared" si="147"/>
        <v>0.52576401018449481</v>
      </c>
      <c r="G225" s="29">
        <f t="shared" si="148"/>
        <v>0.77142190306650382</v>
      </c>
      <c r="H225" s="29">
        <f t="shared" si="149"/>
        <v>2.0757509674375165</v>
      </c>
      <c r="I225" s="29">
        <f t="shared" si="150"/>
        <v>-0.37804882401481082</v>
      </c>
      <c r="J225" s="29">
        <f t="shared" si="151"/>
        <v>-0.21342067017755267</v>
      </c>
      <c r="K225" s="26">
        <f t="shared" si="114"/>
        <v>-1.7619997741424109</v>
      </c>
      <c r="L225" s="26">
        <f t="shared" si="115"/>
        <v>0.14654005908314197</v>
      </c>
      <c r="M225" s="26">
        <f t="shared" si="116"/>
        <v>0.77142190306650382</v>
      </c>
      <c r="N225" s="26">
        <f t="shared" si="117"/>
        <v>0.68382839962849451</v>
      </c>
      <c r="O225" s="26">
        <f t="shared" si="118"/>
        <v>-0.16776052307485234</v>
      </c>
      <c r="P225" s="26">
        <f t="shared" si="119"/>
        <v>0.4581579553555204</v>
      </c>
      <c r="Q225" s="26">
        <f t="shared" si="120"/>
        <v>0.10495435602777552</v>
      </c>
      <c r="R225" s="26">
        <f t="shared" si="121"/>
        <v>-4.2996634239661731</v>
      </c>
      <c r="S225" s="26">
        <f t="shared" si="122"/>
        <v>1.3391363953881259E-2</v>
      </c>
      <c r="T225" s="26">
        <f t="shared" si="123"/>
        <v>1.2971859132509986</v>
      </c>
      <c r="U225" s="26">
        <f t="shared" si="124"/>
        <v>0.78536099590525366</v>
      </c>
      <c r="V225" s="26">
        <f t="shared" si="125"/>
        <v>-0.48252833442405757</v>
      </c>
      <c r="W225" s="26">
        <f t="shared" si="126"/>
        <v>0.38165527387832598</v>
      </c>
      <c r="X225" s="26">
        <f t="shared" si="127"/>
        <v>0.19117510016124403</v>
      </c>
      <c r="Y225" s="26">
        <f t="shared" si="128"/>
        <v>0.32002908840754918</v>
      </c>
      <c r="Z225" s="26">
        <f t="shared" si="129"/>
        <v>0.57933134120021634</v>
      </c>
      <c r="AA225" s="26">
        <f t="shared" si="130"/>
        <v>0.38544379410253266</v>
      </c>
      <c r="AB225" s="26">
        <f t="shared" si="131"/>
        <v>0.59518540601648784</v>
      </c>
      <c r="AC225" s="26">
        <f t="shared" si="132"/>
        <v>0.76411777897035948</v>
      </c>
      <c r="AD225" s="26">
        <f t="shared" si="133"/>
        <v>0.68224707978081089</v>
      </c>
      <c r="AE225" s="26">
        <f t="shared" si="134"/>
        <v>5.0483459153911177E-2</v>
      </c>
      <c r="AF225" s="26">
        <f t="shared" si="135"/>
        <v>-2.217634561416213</v>
      </c>
      <c r="AG225" s="26">
        <f t="shared" si="136"/>
        <v>9.8178039156550378E-2</v>
      </c>
      <c r="AH225" s="26">
        <f t="shared" si="137"/>
        <v>0.91120780428702752</v>
      </c>
      <c r="AI225" s="26">
        <f t="shared" si="138"/>
        <v>0.71324725327043559</v>
      </c>
      <c r="AJ225" s="26">
        <f t="shared" si="139"/>
        <v>-0.279269795747907</v>
      </c>
      <c r="AK225" s="26">
        <f t="shared" si="140"/>
        <v>0.43063280444512431</v>
      </c>
      <c r="AL225" s="26">
        <f t="shared" si="141"/>
        <v>9.2722306132136334E-2</v>
      </c>
      <c r="AM225" s="27">
        <f t="shared" si="142"/>
        <v>0.43933522147506704</v>
      </c>
    </row>
    <row r="226" spans="1:39" ht="15" customHeight="1" x14ac:dyDescent="0.2">
      <c r="A226" s="24">
        <v>215</v>
      </c>
      <c r="B226" s="29">
        <f t="shared" si="143"/>
        <v>2.0974705346968947</v>
      </c>
      <c r="C226" s="29">
        <f t="shared" si="144"/>
        <v>-2.5530667984014821</v>
      </c>
      <c r="D226" s="29">
        <f t="shared" si="145"/>
        <v>-1.772083001966533</v>
      </c>
      <c r="E226" s="29">
        <f t="shared" si="146"/>
        <v>-0.38408859397891654</v>
      </c>
      <c r="F226" s="29">
        <f t="shared" si="147"/>
        <v>0.52462852060858045</v>
      </c>
      <c r="G226" s="29">
        <f t="shared" si="148"/>
        <v>0.7733084762373621</v>
      </c>
      <c r="H226" s="29">
        <f t="shared" si="149"/>
        <v>2.0905786839918101</v>
      </c>
      <c r="I226" s="29">
        <f t="shared" si="150"/>
        <v>-0.37553109928374706</v>
      </c>
      <c r="J226" s="29">
        <f t="shared" si="151"/>
        <v>-0.21793375913060054</v>
      </c>
      <c r="K226" s="26">
        <f t="shared" si="114"/>
        <v>-1.772083001966533</v>
      </c>
      <c r="L226" s="26">
        <f t="shared" si="115"/>
        <v>0.14528347852570403</v>
      </c>
      <c r="M226" s="26">
        <f t="shared" si="116"/>
        <v>0.7733084762373621</v>
      </c>
      <c r="N226" s="26">
        <f t="shared" si="117"/>
        <v>0.68423614864884064</v>
      </c>
      <c r="O226" s="26">
        <f t="shared" si="118"/>
        <v>-0.17115916886035826</v>
      </c>
      <c r="P226" s="26">
        <f t="shared" si="119"/>
        <v>0.45731436488690508</v>
      </c>
      <c r="Q226" s="26">
        <f t="shared" si="120"/>
        <v>0.10456821416595669</v>
      </c>
      <c r="R226" s="26">
        <f t="shared" si="121"/>
        <v>-4.3251498003680151</v>
      </c>
      <c r="S226" s="26">
        <f t="shared" si="122"/>
        <v>1.305877972432307E-2</v>
      </c>
      <c r="T226" s="26">
        <f t="shared" si="123"/>
        <v>1.2979369968459427</v>
      </c>
      <c r="U226" s="26">
        <f t="shared" si="124"/>
        <v>0.78548757825605109</v>
      </c>
      <c r="V226" s="26">
        <f t="shared" si="125"/>
        <v>-0.48560836633620941</v>
      </c>
      <c r="W226" s="26">
        <f t="shared" si="126"/>
        <v>0.38092866863382085</v>
      </c>
      <c r="X226" s="26">
        <f t="shared" si="127"/>
        <v>0.19162465665974676</v>
      </c>
      <c r="Y226" s="26">
        <f t="shared" si="128"/>
        <v>0.32538753273036169</v>
      </c>
      <c r="Z226" s="26">
        <f t="shared" si="129"/>
        <v>0.58063667110745054</v>
      </c>
      <c r="AA226" s="26">
        <f t="shared" si="130"/>
        <v>0.38921988225844556</v>
      </c>
      <c r="AB226" s="26">
        <f t="shared" si="131"/>
        <v>0.59609488773494168</v>
      </c>
      <c r="AC226" s="26">
        <f t="shared" si="132"/>
        <v>0.77208072016207452</v>
      </c>
      <c r="AD226" s="26">
        <f t="shared" si="133"/>
        <v>0.68397082332101466</v>
      </c>
      <c r="AE226" s="26">
        <f t="shared" si="134"/>
        <v>4.9937220256198664E-2</v>
      </c>
      <c r="AF226" s="26">
        <f t="shared" si="135"/>
        <v>-2.2276792656711204</v>
      </c>
      <c r="AG226" s="26">
        <f t="shared" si="136"/>
        <v>9.729227252720668E-2</v>
      </c>
      <c r="AH226" s="26">
        <f t="shared" si="137"/>
        <v>0.91384840286702596</v>
      </c>
      <c r="AI226" s="26">
        <f t="shared" si="138"/>
        <v>0.7137870190471024</v>
      </c>
      <c r="AJ226" s="26">
        <f t="shared" si="139"/>
        <v>-0.2825858319853275</v>
      </c>
      <c r="AK226" s="26">
        <f t="shared" si="140"/>
        <v>0.42981993923834216</v>
      </c>
      <c r="AL226" s="26">
        <f t="shared" si="141"/>
        <v>9.2372590083426076E-2</v>
      </c>
      <c r="AM226" s="27">
        <f t="shared" si="142"/>
        <v>0.4385026811653282</v>
      </c>
    </row>
    <row r="227" spans="1:39" ht="15" customHeight="1" x14ac:dyDescent="0.2">
      <c r="A227" s="24">
        <v>216</v>
      </c>
      <c r="B227" s="29">
        <f t="shared" si="143"/>
        <v>2.1129035100797853</v>
      </c>
      <c r="C227" s="29">
        <f t="shared" si="144"/>
        <v>-2.5684741631950683</v>
      </c>
      <c r="D227" s="29">
        <f t="shared" si="145"/>
        <v>-1.7821798694126685</v>
      </c>
      <c r="E227" s="29">
        <f t="shared" si="146"/>
        <v>-0.38218350879020591</v>
      </c>
      <c r="F227" s="29">
        <f t="shared" si="147"/>
        <v>0.52347228977274041</v>
      </c>
      <c r="G227" s="29">
        <f t="shared" si="148"/>
        <v>0.77518445878142483</v>
      </c>
      <c r="H227" s="29">
        <f t="shared" si="149"/>
        <v>2.105411561139491</v>
      </c>
      <c r="I227" s="29">
        <f t="shared" si="150"/>
        <v>-0.3729838186749575</v>
      </c>
      <c r="J227" s="29">
        <f t="shared" si="151"/>
        <v>-0.22246525863453753</v>
      </c>
      <c r="K227" s="26">
        <f t="shared" si="114"/>
        <v>-1.7821798694126685</v>
      </c>
      <c r="L227" s="26">
        <f t="shared" si="115"/>
        <v>0.14403417303468899</v>
      </c>
      <c r="M227" s="26">
        <f t="shared" si="116"/>
        <v>0.77518445878142483</v>
      </c>
      <c r="N227" s="26">
        <f t="shared" si="117"/>
        <v>0.68464132772891273</v>
      </c>
      <c r="O227" s="26">
        <f t="shared" si="118"/>
        <v>-0.17457418236716032</v>
      </c>
      <c r="P227" s="26">
        <f t="shared" si="119"/>
        <v>0.45646695823321987</v>
      </c>
      <c r="Q227" s="26">
        <f t="shared" si="120"/>
        <v>0.10418104197934404</v>
      </c>
      <c r="R227" s="26">
        <f t="shared" si="121"/>
        <v>-4.3506540326077365</v>
      </c>
      <c r="S227" s="26">
        <f t="shared" si="122"/>
        <v>1.273412436716939E-2</v>
      </c>
      <c r="T227" s="26">
        <f t="shared" si="123"/>
        <v>1.2986567485541651</v>
      </c>
      <c r="U227" s="26">
        <f t="shared" si="124"/>
        <v>0.78560882922648201</v>
      </c>
      <c r="V227" s="26">
        <f t="shared" si="125"/>
        <v>-0.48867406708056682</v>
      </c>
      <c r="W227" s="26">
        <f t="shared" si="126"/>
        <v>0.38020597327417743</v>
      </c>
      <c r="X227" s="26">
        <f t="shared" si="127"/>
        <v>0.19207231778250486</v>
      </c>
      <c r="Y227" s="26">
        <f t="shared" si="128"/>
        <v>0.33072364066711679</v>
      </c>
      <c r="Z227" s="26">
        <f t="shared" si="129"/>
        <v>0.58193543933900582</v>
      </c>
      <c r="AA227" s="26">
        <f t="shared" si="130"/>
        <v>0.39300094999121893</v>
      </c>
      <c r="AB227" s="26">
        <f t="shared" si="131"/>
        <v>0.59700490769670134</v>
      </c>
      <c r="AC227" s="26">
        <f t="shared" si="132"/>
        <v>0.78007517294618833</v>
      </c>
      <c r="AD227" s="26">
        <f t="shared" si="133"/>
        <v>0.6856963152031168</v>
      </c>
      <c r="AE227" s="26">
        <f t="shared" si="134"/>
        <v>4.9393403138449254E-2</v>
      </c>
      <c r="AF227" s="26">
        <f t="shared" si="135"/>
        <v>-2.2377505225279517</v>
      </c>
      <c r="AG227" s="26">
        <f t="shared" si="136"/>
        <v>9.6411329775479102E-2</v>
      </c>
      <c r="AH227" s="26">
        <f t="shared" si="137"/>
        <v>0.91647323976395934</v>
      </c>
      <c r="AI227" s="26">
        <f t="shared" si="138"/>
        <v>0.71432295933712375</v>
      </c>
      <c r="AJ227" s="26">
        <f t="shared" si="139"/>
        <v>-0.28591063544116857</v>
      </c>
      <c r="AK227" s="26">
        <f t="shared" si="140"/>
        <v>0.42900530466556114</v>
      </c>
      <c r="AL227" s="26">
        <f t="shared" si="141"/>
        <v>9.2022775715595473E-2</v>
      </c>
      <c r="AM227" s="27">
        <f t="shared" si="142"/>
        <v>0.43766953861589364</v>
      </c>
    </row>
    <row r="228" spans="1:39" ht="15" customHeight="1" x14ac:dyDescent="0.2">
      <c r="A228" s="24">
        <v>217</v>
      </c>
      <c r="B228" s="29">
        <f t="shared" si="143"/>
        <v>2.1283250809730401</v>
      </c>
      <c r="C228" s="29">
        <f t="shared" si="144"/>
        <v>-2.5838831833484281</v>
      </c>
      <c r="D228" s="29">
        <f t="shared" si="145"/>
        <v>-1.792289409929426</v>
      </c>
      <c r="E228" s="29">
        <f t="shared" si="146"/>
        <v>-0.38026337479050676</v>
      </c>
      <c r="F228" s="29">
        <f t="shared" si="147"/>
        <v>0.52229572179899386</v>
      </c>
      <c r="G228" s="29">
        <f t="shared" si="148"/>
        <v>0.7770495243522475</v>
      </c>
      <c r="H228" s="29">
        <f t="shared" si="149"/>
        <v>2.120246543625512</v>
      </c>
      <c r="I228" s="29">
        <f t="shared" si="150"/>
        <v>-0.37040695945257729</v>
      </c>
      <c r="J228" s="29">
        <f t="shared" si="151"/>
        <v>-0.227014135386778</v>
      </c>
      <c r="K228" s="26">
        <f t="shared" si="114"/>
        <v>-1.792289409929426</v>
      </c>
      <c r="L228" s="26">
        <f t="shared" si="115"/>
        <v>0.14279226443971774</v>
      </c>
      <c r="M228" s="26">
        <f t="shared" si="116"/>
        <v>0.7770495243522475</v>
      </c>
      <c r="N228" s="26">
        <f t="shared" si="117"/>
        <v>0.68504387078332007</v>
      </c>
      <c r="O228" s="26">
        <f t="shared" si="118"/>
        <v>-0.17800434752048017</v>
      </c>
      <c r="P228" s="26">
        <f t="shared" si="119"/>
        <v>0.45561604543643508</v>
      </c>
      <c r="Q228" s="26">
        <f t="shared" si="120"/>
        <v>0.10379299042956784</v>
      </c>
      <c r="R228" s="26">
        <f t="shared" si="121"/>
        <v>-4.3761725932778539</v>
      </c>
      <c r="S228" s="26">
        <f t="shared" si="122"/>
        <v>1.2417263029942349E-2</v>
      </c>
      <c r="T228" s="26">
        <f t="shared" si="123"/>
        <v>1.2993452461512414</v>
      </c>
      <c r="U228" s="26">
        <f t="shared" si="124"/>
        <v>0.78572476841909145</v>
      </c>
      <c r="V228" s="26">
        <f t="shared" si="125"/>
        <v>-0.49172439880294994</v>
      </c>
      <c r="W228" s="26">
        <f t="shared" si="126"/>
        <v>0.37948742758297616</v>
      </c>
      <c r="X228" s="26">
        <f t="shared" si="127"/>
        <v>0.19251792626379613</v>
      </c>
      <c r="Y228" s="26">
        <f t="shared" si="128"/>
        <v>0.33603567104361409</v>
      </c>
      <c r="Z228" s="26">
        <f t="shared" si="129"/>
        <v>0.5832272197855588</v>
      </c>
      <c r="AA228" s="26">
        <f t="shared" si="130"/>
        <v>0.39678614956174074</v>
      </c>
      <c r="AB228" s="26">
        <f t="shared" si="131"/>
        <v>0.5979152536921718</v>
      </c>
      <c r="AC228" s="26">
        <f t="shared" si="132"/>
        <v>0.78809939038143595</v>
      </c>
      <c r="AD228" s="26">
        <f t="shared" si="133"/>
        <v>0.68742308722498469</v>
      </c>
      <c r="AE228" s="26">
        <f t="shared" si="134"/>
        <v>4.8852163199979766E-2</v>
      </c>
      <c r="AF228" s="26">
        <f t="shared" si="135"/>
        <v>-2.2478475123048138</v>
      </c>
      <c r="AG228" s="26">
        <f t="shared" si="136"/>
        <v>9.5535295851128466E-2</v>
      </c>
      <c r="AH228" s="26">
        <f t="shared" si="137"/>
        <v>0.9190818713607346</v>
      </c>
      <c r="AI228" s="26">
        <f t="shared" si="138"/>
        <v>0.71485499373273098</v>
      </c>
      <c r="AJ228" s="26">
        <f t="shared" si="139"/>
        <v>-0.28924301924221429</v>
      </c>
      <c r="AK228" s="26">
        <f t="shared" si="140"/>
        <v>0.42818919858285842</v>
      </c>
      <c r="AL228" s="26">
        <f t="shared" si="141"/>
        <v>9.1672994891515286E-2</v>
      </c>
      <c r="AM228" s="27">
        <f t="shared" si="142"/>
        <v>0.43683607478485897</v>
      </c>
    </row>
    <row r="229" spans="1:39" ht="15" customHeight="1" x14ac:dyDescent="0.2">
      <c r="A229" s="24">
        <v>218</v>
      </c>
      <c r="B229" s="29">
        <f t="shared" si="143"/>
        <v>2.1437325786926555</v>
      </c>
      <c r="C229" s="29">
        <f t="shared" si="144"/>
        <v>-2.599291320737374</v>
      </c>
      <c r="D229" s="29">
        <f t="shared" si="145"/>
        <v>-1.8024106469277292</v>
      </c>
      <c r="E229" s="29">
        <f t="shared" si="146"/>
        <v>-0.3783287304131655</v>
      </c>
      <c r="F229" s="29">
        <f t="shared" si="147"/>
        <v>0.52109923830294913</v>
      </c>
      <c r="G229" s="29">
        <f t="shared" si="148"/>
        <v>0.77890334793289351</v>
      </c>
      <c r="H229" s="29">
        <f t="shared" si="149"/>
        <v>2.1350806065910448</v>
      </c>
      <c r="I229" s="29">
        <f t="shared" si="150"/>
        <v>-0.36780051794885632</v>
      </c>
      <c r="J229" s="29">
        <f t="shared" si="151"/>
        <v>-0.23157935502127264</v>
      </c>
      <c r="K229" s="26">
        <f t="shared" si="114"/>
        <v>-1.8024106469277292</v>
      </c>
      <c r="L229" s="26">
        <f t="shared" si="115"/>
        <v>0.14155787171667819</v>
      </c>
      <c r="M229" s="26">
        <f t="shared" si="116"/>
        <v>0.77890334793289351</v>
      </c>
      <c r="N229" s="26">
        <f t="shared" si="117"/>
        <v>0.68544371219566502</v>
      </c>
      <c r="O229" s="26">
        <f t="shared" si="118"/>
        <v>-0.18144844077904243</v>
      </c>
      <c r="P229" s="26">
        <f t="shared" si="119"/>
        <v>0.45476193816832672</v>
      </c>
      <c r="Q229" s="26">
        <f t="shared" si="120"/>
        <v>0.10340421020330651</v>
      </c>
      <c r="R229" s="26">
        <f t="shared" si="121"/>
        <v>-4.4017019676651028</v>
      </c>
      <c r="S229" s="26">
        <f t="shared" si="122"/>
        <v>1.2108060060799394E-2</v>
      </c>
      <c r="T229" s="26">
        <f t="shared" si="123"/>
        <v>1.3000025862358426</v>
      </c>
      <c r="U229" s="26">
        <f t="shared" si="124"/>
        <v>0.78583541830149417</v>
      </c>
      <c r="V229" s="26">
        <f t="shared" si="125"/>
        <v>-0.49475834467586599</v>
      </c>
      <c r="W229" s="26">
        <f t="shared" si="126"/>
        <v>0.37877326562636304</v>
      </c>
      <c r="X229" s="26">
        <f t="shared" si="127"/>
        <v>0.19296132775026664</v>
      </c>
      <c r="Y229" s="26">
        <f t="shared" si="128"/>
        <v>0.34132193176492631</v>
      </c>
      <c r="Z229" s="26">
        <f t="shared" si="129"/>
        <v>0.58451160018515402</v>
      </c>
      <c r="AA229" s="26">
        <f t="shared" si="130"/>
        <v>0.400574617519728</v>
      </c>
      <c r="AB229" s="26">
        <f t="shared" si="131"/>
        <v>0.59882571031395582</v>
      </c>
      <c r="AC229" s="26">
        <f t="shared" si="132"/>
        <v>0.79615162044698362</v>
      </c>
      <c r="AD229" s="26">
        <f t="shared" si="133"/>
        <v>0.68915067416179365</v>
      </c>
      <c r="AE229" s="26">
        <f t="shared" si="134"/>
        <v>4.8313651687033693E-2</v>
      </c>
      <c r="AF229" s="26">
        <f t="shared" si="135"/>
        <v>-2.2579693889724477</v>
      </c>
      <c r="AG229" s="26">
        <f t="shared" si="136"/>
        <v>9.4664255091006913E-2</v>
      </c>
      <c r="AH229" s="26">
        <f t="shared" si="137"/>
        <v>0.92167385582267713</v>
      </c>
      <c r="AI229" s="26">
        <f t="shared" si="138"/>
        <v>0.71538304256272367</v>
      </c>
      <c r="AJ229" s="26">
        <f t="shared" si="139"/>
        <v>-0.29258179342547475</v>
      </c>
      <c r="AK229" s="26">
        <f t="shared" si="140"/>
        <v>0.42737191910855099</v>
      </c>
      <c r="AL229" s="26">
        <f t="shared" si="141"/>
        <v>9.1323378621262927E-2</v>
      </c>
      <c r="AM229" s="27">
        <f t="shared" si="142"/>
        <v>0.43600256826186978</v>
      </c>
    </row>
    <row r="230" spans="1:39" ht="15" customHeight="1" x14ac:dyDescent="0.2">
      <c r="A230" s="24">
        <v>219</v>
      </c>
      <c r="B230" s="29">
        <f t="shared" si="143"/>
        <v>2.1591233762354047</v>
      </c>
      <c r="C230" s="29">
        <f t="shared" si="144"/>
        <v>-2.614696062650006</v>
      </c>
      <c r="D230" s="29">
        <f t="shared" si="145"/>
        <v>-1.8125425947995526</v>
      </c>
      <c r="E230" s="29">
        <f t="shared" si="146"/>
        <v>-0.37638013062482084</v>
      </c>
      <c r="F230" s="29">
        <f t="shared" si="147"/>
        <v>0.51988327810905988</v>
      </c>
      <c r="G230" s="29">
        <f t="shared" si="148"/>
        <v>0.78074560624657818</v>
      </c>
      <c r="H230" s="29">
        <f t="shared" si="149"/>
        <v>2.1499107587402144</v>
      </c>
      <c r="I230" s="29">
        <f t="shared" si="150"/>
        <v>-0.36516450960665364</v>
      </c>
      <c r="J230" s="29">
        <f t="shared" si="151"/>
        <v>-0.23615988364926854</v>
      </c>
      <c r="K230" s="26">
        <f t="shared" si="114"/>
        <v>-1.8125425947995526</v>
      </c>
      <c r="L230" s="26">
        <f t="shared" si="115"/>
        <v>0.14033111084757147</v>
      </c>
      <c r="M230" s="26">
        <f t="shared" si="116"/>
        <v>0.78074560624657818</v>
      </c>
      <c r="N230" s="26">
        <f t="shared" si="117"/>
        <v>0.68584078690356887</v>
      </c>
      <c r="O230" s="26">
        <f t="shared" si="118"/>
        <v>-0.1849052332699922</v>
      </c>
      <c r="P230" s="26">
        <f t="shared" si="119"/>
        <v>0.45390494917813168</v>
      </c>
      <c r="Q230" s="26">
        <f t="shared" si="120"/>
        <v>0.10301485144420115</v>
      </c>
      <c r="R230" s="26">
        <f t="shared" si="121"/>
        <v>-4.4272386574495588</v>
      </c>
      <c r="S230" s="26">
        <f t="shared" si="122"/>
        <v>1.1806379176710019E-2</v>
      </c>
      <c r="T230" s="26">
        <f t="shared" si="123"/>
        <v>1.3006288843556382</v>
      </c>
      <c r="U230" s="26">
        <f t="shared" si="124"/>
        <v>0.78594080422419332</v>
      </c>
      <c r="V230" s="26">
        <f t="shared" si="125"/>
        <v>-0.49777491038987981</v>
      </c>
      <c r="W230" s="26">
        <f t="shared" si="126"/>
        <v>0.37806371542200923</v>
      </c>
      <c r="X230" s="26">
        <f t="shared" si="127"/>
        <v>0.19340237103733776</v>
      </c>
      <c r="Y230" s="26">
        <f t="shared" si="128"/>
        <v>0.34658078143585214</v>
      </c>
      <c r="Z230" s="26">
        <f t="shared" si="129"/>
        <v>0.58578818249283227</v>
      </c>
      <c r="AA230" s="26">
        <f t="shared" si="130"/>
        <v>0.40436547562175734</v>
      </c>
      <c r="AB230" s="26">
        <f t="shared" si="131"/>
        <v>0.59973605920607143</v>
      </c>
      <c r="AC230" s="26">
        <f t="shared" si="132"/>
        <v>0.80423010828153563</v>
      </c>
      <c r="AD230" s="26">
        <f t="shared" si="133"/>
        <v>0.69087861438526332</v>
      </c>
      <c r="AE230" s="26">
        <f t="shared" si="134"/>
        <v>4.7778015522187363E-2</v>
      </c>
      <c r="AF230" s="26">
        <f t="shared" si="135"/>
        <v>-2.2681152812141541</v>
      </c>
      <c r="AG230" s="26">
        <f t="shared" si="136"/>
        <v>9.3798291058162495E-2</v>
      </c>
      <c r="AH230" s="26">
        <f t="shared" si="137"/>
        <v>0.92424875373081727</v>
      </c>
      <c r="AI230" s="26">
        <f t="shared" si="138"/>
        <v>0.71590702701340025</v>
      </c>
      <c r="AJ230" s="26">
        <f t="shared" si="139"/>
        <v>-0.29592576699518458</v>
      </c>
      <c r="AK230" s="26">
        <f t="shared" si="140"/>
        <v>0.42655376410017037</v>
      </c>
      <c r="AL230" s="26">
        <f t="shared" si="141"/>
        <v>9.0974056834011899E-2</v>
      </c>
      <c r="AM230" s="27">
        <f t="shared" si="142"/>
        <v>0.43516929483773814</v>
      </c>
    </row>
    <row r="231" spans="1:39" ht="15" customHeight="1" x14ac:dyDescent="0.2">
      <c r="A231" s="24">
        <v>220</v>
      </c>
      <c r="B231" s="29">
        <f t="shared" si="143"/>
        <v>2.1744948907795392</v>
      </c>
      <c r="C231" s="29">
        <f t="shared" si="144"/>
        <v>-2.6300949243757099</v>
      </c>
      <c r="D231" s="29">
        <f t="shared" si="145"/>
        <v>-1.8226842599623947</v>
      </c>
      <c r="E231" s="29">
        <f t="shared" si="146"/>
        <v>-0.37441814639373866</v>
      </c>
      <c r="F231" s="29">
        <f t="shared" si="147"/>
        <v>0.51864829693826586</v>
      </c>
      <c r="G231" s="29">
        <f t="shared" si="148"/>
        <v>0.78257597816286228</v>
      </c>
      <c r="H231" s="29">
        <f t="shared" si="149"/>
        <v>2.1647340453945545</v>
      </c>
      <c r="I231" s="29">
        <f t="shared" si="150"/>
        <v>-0.36249896897281358</v>
      </c>
      <c r="J231" s="29">
        <f t="shared" si="151"/>
        <v>-0.24075468937523098</v>
      </c>
      <c r="K231" s="26">
        <f t="shared" si="114"/>
        <v>-1.8226842599623947</v>
      </c>
      <c r="L231" s="26">
        <f t="shared" si="115"/>
        <v>0.13911209468497385</v>
      </c>
      <c r="M231" s="26">
        <f t="shared" si="116"/>
        <v>0.78257597816286228</v>
      </c>
      <c r="N231" s="26">
        <f t="shared" si="117"/>
        <v>0.68623503048228174</v>
      </c>
      <c r="O231" s="26">
        <f t="shared" si="118"/>
        <v>-0.18837349290737165</v>
      </c>
      <c r="P231" s="26">
        <f t="shared" si="119"/>
        <v>0.45304539174504821</v>
      </c>
      <c r="Q231" s="26">
        <f t="shared" si="120"/>
        <v>0.1026250634907121</v>
      </c>
      <c r="R231" s="26">
        <f t="shared" si="121"/>
        <v>-4.4527791843381044</v>
      </c>
      <c r="S231" s="26">
        <f t="shared" si="122"/>
        <v>1.1512083628148626E-2</v>
      </c>
      <c r="T231" s="26">
        <f t="shared" si="123"/>
        <v>1.301224275101128</v>
      </c>
      <c r="U231" s="26">
        <f t="shared" si="124"/>
        <v>0.78604095443380029</v>
      </c>
      <c r="V231" s="26">
        <f t="shared" si="125"/>
        <v>-0.50077312556460729</v>
      </c>
      <c r="W231" s="26">
        <f t="shared" si="126"/>
        <v>0.37735899862939853</v>
      </c>
      <c r="X231" s="26">
        <f t="shared" si="127"/>
        <v>0.19384090829389264</v>
      </c>
      <c r="Y231" s="26">
        <f t="shared" si="128"/>
        <v>0.35181063081714448</v>
      </c>
      <c r="Z231" s="26">
        <f t="shared" si="129"/>
        <v>0.58705658320377851</v>
      </c>
      <c r="AA231" s="26">
        <f t="shared" si="130"/>
        <v>0.40815783176912362</v>
      </c>
      <c r="AB231" s="26">
        <f t="shared" si="131"/>
        <v>0.60064607931694336</v>
      </c>
      <c r="AC231" s="26">
        <f t="shared" si="132"/>
        <v>0.81233309838903445</v>
      </c>
      <c r="AD231" s="26">
        <f t="shared" si="133"/>
        <v>0.69260645046423497</v>
      </c>
      <c r="AE231" s="26">
        <f t="shared" si="134"/>
        <v>4.7245397148098417E-2</v>
      </c>
      <c r="AF231" s="26">
        <f t="shared" si="135"/>
        <v>-2.2782842935585652</v>
      </c>
      <c r="AG231" s="26">
        <f t="shared" si="136"/>
        <v>9.2937486381454798E-2</v>
      </c>
      <c r="AH231" s="26">
        <f t="shared" si="137"/>
        <v>0.92680612870738943</v>
      </c>
      <c r="AI231" s="26">
        <f t="shared" si="138"/>
        <v>0.71642686924685528</v>
      </c>
      <c r="AJ231" s="26">
        <f t="shared" si="139"/>
        <v>-0.2992737499583088</v>
      </c>
      <c r="AK231" s="26">
        <f t="shared" si="140"/>
        <v>0.4257350306384986</v>
      </c>
      <c r="AL231" s="26">
        <f t="shared" si="141"/>
        <v>9.0625158156381669E-2</v>
      </c>
      <c r="AM231" s="27">
        <f t="shared" si="142"/>
        <v>0.43433652708908482</v>
      </c>
    </row>
    <row r="232" spans="1:39" ht="15" customHeight="1" x14ac:dyDescent="0.2">
      <c r="A232" s="24">
        <v>221</v>
      </c>
      <c r="B232" s="29">
        <f t="shared" si="143"/>
        <v>2.1898445860430611</v>
      </c>
      <c r="C232" s="29">
        <f t="shared" si="144"/>
        <v>-2.6454854516965001</v>
      </c>
      <c r="D232" s="29">
        <f t="shared" si="145"/>
        <v>-1.8328346419251151</v>
      </c>
      <c r="E232" s="29">
        <f t="shared" si="146"/>
        <v>-0.37244336413550527</v>
      </c>
      <c r="F232" s="29">
        <f t="shared" si="147"/>
        <v>0.51739476706896737</v>
      </c>
      <c r="G232" s="29">
        <f t="shared" si="148"/>
        <v>0.78439414509816474</v>
      </c>
      <c r="H232" s="29">
        <f t="shared" si="149"/>
        <v>2.1795475514283118</v>
      </c>
      <c r="I232" s="29">
        <f t="shared" si="150"/>
        <v>-0.35980394964226831</v>
      </c>
      <c r="J232" s="29">
        <f t="shared" si="151"/>
        <v>-0.24536274378331857</v>
      </c>
      <c r="K232" s="26">
        <f t="shared" si="114"/>
        <v>-1.8328346419251151</v>
      </c>
      <c r="L232" s="26">
        <f t="shared" si="115"/>
        <v>0.13790093282172974</v>
      </c>
      <c r="M232" s="26">
        <f t="shared" si="116"/>
        <v>0.78439414509816474</v>
      </c>
      <c r="N232" s="26">
        <f t="shared" si="117"/>
        <v>0.68662637922662162</v>
      </c>
      <c r="O232" s="26">
        <f t="shared" si="118"/>
        <v>-0.19185198648634574</v>
      </c>
      <c r="P232" s="26">
        <f t="shared" si="119"/>
        <v>0.45218357913763241</v>
      </c>
      <c r="Q232" s="26">
        <f t="shared" si="120"/>
        <v>0.10223499462085973</v>
      </c>
      <c r="R232" s="26">
        <f t="shared" si="121"/>
        <v>-4.4783200936216154</v>
      </c>
      <c r="S232" s="26">
        <f t="shared" si="122"/>
        <v>1.1225036359962264E-2</v>
      </c>
      <c r="T232" s="26">
        <f t="shared" si="123"/>
        <v>1.3017889121671322</v>
      </c>
      <c r="U232" s="26">
        <f t="shared" si="124"/>
        <v>0.78613590008162149</v>
      </c>
      <c r="V232" s="26">
        <f t="shared" si="125"/>
        <v>-0.50375204507521598</v>
      </c>
      <c r="W232" s="26">
        <f t="shared" si="126"/>
        <v>0.37665933026226706</v>
      </c>
      <c r="X232" s="26">
        <f t="shared" si="127"/>
        <v>0.19427679527454272</v>
      </c>
      <c r="Y232" s="26">
        <f t="shared" si="128"/>
        <v>0.35700994411794595</v>
      </c>
      <c r="Z232" s="26">
        <f t="shared" si="129"/>
        <v>0.58831643363041863</v>
      </c>
      <c r="AA232" s="26">
        <f t="shared" si="130"/>
        <v>0.41195078096265947</v>
      </c>
      <c r="AB232" s="26">
        <f t="shared" si="131"/>
        <v>0.60155554715538151</v>
      </c>
      <c r="AC232" s="26">
        <f t="shared" si="132"/>
        <v>0.82045883680517506</v>
      </c>
      <c r="AD232" s="26">
        <f t="shared" si="133"/>
        <v>0.69433372974503405</v>
      </c>
      <c r="AE232" s="26">
        <f t="shared" si="134"/>
        <v>4.6715934385790941E-2</v>
      </c>
      <c r="AF232" s="26">
        <f t="shared" si="135"/>
        <v>-2.2884755075785543</v>
      </c>
      <c r="AG232" s="26">
        <f t="shared" si="136"/>
        <v>9.2081922596583335E-2</v>
      </c>
      <c r="AH232" s="26">
        <f t="shared" si="137"/>
        <v>0.92934554803162683</v>
      </c>
      <c r="AI232" s="26">
        <f t="shared" si="138"/>
        <v>0.71694249251628728</v>
      </c>
      <c r="AJ232" s="26">
        <f t="shared" si="139"/>
        <v>-0.30262455533085664</v>
      </c>
      <c r="AK232" s="26">
        <f t="shared" si="140"/>
        <v>0.42491601452062827</v>
      </c>
      <c r="AL232" s="26">
        <f t="shared" si="141"/>
        <v>9.0276809698047383E-2</v>
      </c>
      <c r="AM232" s="27">
        <f t="shared" si="142"/>
        <v>0.43350453397924082</v>
      </c>
    </row>
    <row r="233" spans="1:39" ht="15" customHeight="1" x14ac:dyDescent="0.2">
      <c r="A233" s="24">
        <v>222</v>
      </c>
      <c r="B233" s="29">
        <f t="shared" si="143"/>
        <v>2.2051699744963198</v>
      </c>
      <c r="C233" s="29">
        <f t="shared" si="144"/>
        <v>-2.6608652232750045</v>
      </c>
      <c r="D233" s="29">
        <f t="shared" si="145"/>
        <v>-1.8429927343707295</v>
      </c>
      <c r="E233" s="29">
        <f t="shared" si="146"/>
        <v>-0.37045638513777984</v>
      </c>
      <c r="F233" s="29">
        <f t="shared" si="147"/>
        <v>0.51612317697237486</v>
      </c>
      <c r="G233" s="29">
        <f t="shared" si="148"/>
        <v>0.786199791409398</v>
      </c>
      <c r="H233" s="29">
        <f t="shared" si="149"/>
        <v>2.1943484040783492</v>
      </c>
      <c r="I233" s="29">
        <f t="shared" si="150"/>
        <v>-0.35707952415295607</v>
      </c>
      <c r="J233" s="29">
        <f t="shared" si="151"/>
        <v>-0.24998302339007722</v>
      </c>
      <c r="K233" s="26">
        <f t="shared" si="114"/>
        <v>-1.8429927343707295</v>
      </c>
      <c r="L233" s="26">
        <f t="shared" si="115"/>
        <v>0.13669773146645062</v>
      </c>
      <c r="M233" s="26">
        <f t="shared" si="116"/>
        <v>0.786199791409398</v>
      </c>
      <c r="N233" s="26">
        <f t="shared" si="117"/>
        <v>0.68701477023100077</v>
      </c>
      <c r="O233" s="26">
        <f t="shared" si="118"/>
        <v>-0.19533948174567878</v>
      </c>
      <c r="P233" s="26">
        <f t="shared" si="119"/>
        <v>0.45131982408205518</v>
      </c>
      <c r="Q233" s="26">
        <f t="shared" si="120"/>
        <v>0.10184479180472862</v>
      </c>
      <c r="R233" s="26">
        <f t="shared" si="121"/>
        <v>-4.5038579576457343</v>
      </c>
      <c r="S233" s="26">
        <f t="shared" si="122"/>
        <v>1.0945100168094968E-2</v>
      </c>
      <c r="T233" s="26">
        <f t="shared" si="123"/>
        <v>1.3023229683817727</v>
      </c>
      <c r="U233" s="26">
        <f t="shared" si="124"/>
        <v>0.78622567522759546</v>
      </c>
      <c r="V233" s="26">
        <f t="shared" si="125"/>
        <v>-0.50671075029084678</v>
      </c>
      <c r="W233" s="26">
        <f t="shared" si="126"/>
        <v>0.37596491842387608</v>
      </c>
      <c r="X233" s="26">
        <f t="shared" si="127"/>
        <v>0.19470989151885984</v>
      </c>
      <c r="Y233" s="26">
        <f t="shared" si="128"/>
        <v>0.36217724012559027</v>
      </c>
      <c r="Z233" s="26">
        <f t="shared" si="129"/>
        <v>0.5895673801341057</v>
      </c>
      <c r="AA233" s="26">
        <f t="shared" si="130"/>
        <v>0.41574340627161815</v>
      </c>
      <c r="AB233" s="26">
        <f t="shared" si="131"/>
        <v>0.60246423704875285</v>
      </c>
      <c r="AC233" s="26">
        <f t="shared" si="132"/>
        <v>0.82860557321930872</v>
      </c>
      <c r="AD233" s="26">
        <f t="shared" si="133"/>
        <v>0.69606000491019115</v>
      </c>
      <c r="AE233" s="26">
        <f t="shared" si="134"/>
        <v>4.6189760307596514E-2</v>
      </c>
      <c r="AF233" s="26">
        <f t="shared" si="135"/>
        <v>-2.2986879831494145</v>
      </c>
      <c r="AG233" s="26">
        <f t="shared" si="136"/>
        <v>9.1231679989392037E-2</v>
      </c>
      <c r="AH233" s="26">
        <f t="shared" si="137"/>
        <v>0.93186658324399296</v>
      </c>
      <c r="AI233" s="26">
        <f t="shared" si="138"/>
        <v>0.71745382127797686</v>
      </c>
      <c r="AJ233" s="26">
        <f t="shared" si="139"/>
        <v>-0.30597700110762815</v>
      </c>
      <c r="AK233" s="26">
        <f t="shared" si="140"/>
        <v>0.42409700976392412</v>
      </c>
      <c r="AL233" s="26">
        <f t="shared" si="141"/>
        <v>8.9929136845350977E-2</v>
      </c>
      <c r="AM233" s="27">
        <f t="shared" si="142"/>
        <v>0.43267358047653598</v>
      </c>
    </row>
    <row r="234" spans="1:39" ht="15" customHeight="1" x14ac:dyDescent="0.2">
      <c r="A234" s="24">
        <v>223</v>
      </c>
      <c r="B234" s="29">
        <f t="shared" si="143"/>
        <v>2.2204686194263656</v>
      </c>
      <c r="C234" s="29">
        <f t="shared" si="144"/>
        <v>-2.676231852933991</v>
      </c>
      <c r="D234" s="29">
        <f t="shared" si="145"/>
        <v>-1.8531575262517668</v>
      </c>
      <c r="E234" s="29">
        <f t="shared" si="146"/>
        <v>-0.36845782496586277</v>
      </c>
      <c r="F234" s="29">
        <f t="shared" si="147"/>
        <v>0.51483403092336</v>
      </c>
      <c r="G234" s="29">
        <f t="shared" si="148"/>
        <v>0.78799260477957001</v>
      </c>
      <c r="H234" s="29">
        <f t="shared" si="149"/>
        <v>2.2091337756230303</v>
      </c>
      <c r="I234" s="29">
        <f t="shared" si="150"/>
        <v>-0.35432578383188579</v>
      </c>
      <c r="J234" s="29">
        <f t="shared" si="151"/>
        <v>-0.25461451105930877</v>
      </c>
      <c r="K234" s="26">
        <f t="shared" si="114"/>
        <v>-1.8531575262517668</v>
      </c>
      <c r="L234" s="26">
        <f t="shared" si="115"/>
        <v>0.13550259332535264</v>
      </c>
      <c r="M234" s="26">
        <f t="shared" si="116"/>
        <v>0.78799260477957001</v>
      </c>
      <c r="N234" s="26">
        <f t="shared" si="117"/>
        <v>0.68740014146730755</v>
      </c>
      <c r="O234" s="26">
        <f t="shared" si="118"/>
        <v>-0.1988347493913134</v>
      </c>
      <c r="P234" s="26">
        <f t="shared" si="119"/>
        <v>0.45045443824108972</v>
      </c>
      <c r="Q234" s="26">
        <f t="shared" si="120"/>
        <v>0.10145460046554786</v>
      </c>
      <c r="R234" s="26">
        <f t="shared" si="121"/>
        <v>-4.5293893791857576</v>
      </c>
      <c r="S234" s="26">
        <f t="shared" si="122"/>
        <v>1.0672137851873292E-2</v>
      </c>
      <c r="T234" s="26">
        <f t="shared" si="123"/>
        <v>1.3028266357029299</v>
      </c>
      <c r="U234" s="26">
        <f t="shared" si="124"/>
        <v>0.78631031683957886</v>
      </c>
      <c r="V234" s="26">
        <f t="shared" si="125"/>
        <v>-0.50964835022191268</v>
      </c>
      <c r="W234" s="26">
        <f t="shared" si="126"/>
        <v>0.37527596406566927</v>
      </c>
      <c r="X234" s="26">
        <f t="shared" si="127"/>
        <v>0.19514006053703944</v>
      </c>
      <c r="Y234" s="26">
        <f t="shared" si="128"/>
        <v>0.36731109317459887</v>
      </c>
      <c r="Z234" s="26">
        <f t="shared" si="129"/>
        <v>0.59080908431221812</v>
      </c>
      <c r="AA234" s="26">
        <f t="shared" si="130"/>
        <v>0.41953477981370724</v>
      </c>
      <c r="AB234" s="26">
        <f t="shared" si="131"/>
        <v>0.60337192140255425</v>
      </c>
      <c r="AC234" s="26">
        <f t="shared" si="132"/>
        <v>0.83677156304661571</v>
      </c>
      <c r="AD234" s="26">
        <f t="shared" si="133"/>
        <v>0.69778483451422968</v>
      </c>
      <c r="AE234" s="26">
        <f t="shared" si="134"/>
        <v>4.5667003124795769E-2</v>
      </c>
      <c r="AF234" s="26">
        <f t="shared" si="135"/>
        <v>-2.3089207597593919</v>
      </c>
      <c r="AG234" s="26">
        <f t="shared" si="136"/>
        <v>9.0386837442265278E-2</v>
      </c>
      <c r="AH234" s="26">
        <f t="shared" si="137"/>
        <v>0.93436881073706723</v>
      </c>
      <c r="AI234" s="26">
        <f t="shared" si="138"/>
        <v>0.71796078129961383</v>
      </c>
      <c r="AJ234" s="26">
        <f t="shared" si="139"/>
        <v>-0.30932991218839101</v>
      </c>
      <c r="AK234" s="26">
        <f t="shared" si="140"/>
        <v>0.42327830812265449</v>
      </c>
      <c r="AL234" s="26">
        <f t="shared" si="141"/>
        <v>8.9582263063588422E-2</v>
      </c>
      <c r="AM234" s="27">
        <f t="shared" si="142"/>
        <v>0.43184392719097148</v>
      </c>
    </row>
    <row r="235" spans="1:39" ht="15" customHeight="1" x14ac:dyDescent="0.2">
      <c r="A235" s="24">
        <v>224</v>
      </c>
      <c r="B235" s="29">
        <f t="shared" si="143"/>
        <v>2.2357381368511842</v>
      </c>
      <c r="C235" s="29">
        <f t="shared" si="144"/>
        <v>-2.6915829918229242</v>
      </c>
      <c r="D235" s="29">
        <f t="shared" si="145"/>
        <v>-1.8633280028938248</v>
      </c>
      <c r="E235" s="29">
        <f t="shared" si="146"/>
        <v>-0.36644831285088125</v>
      </c>
      <c r="F235" s="29">
        <f t="shared" si="147"/>
        <v>0.51352784858801293</v>
      </c>
      <c r="G235" s="29">
        <f t="shared" si="148"/>
        <v>0.78977227659424298</v>
      </c>
      <c r="H235" s="29">
        <f t="shared" si="149"/>
        <v>2.2239008859251244</v>
      </c>
      <c r="I235" s="29">
        <f t="shared" si="150"/>
        <v>-0.35154283859290997</v>
      </c>
      <c r="J235" s="29">
        <f t="shared" si="151"/>
        <v>-0.2592561973753737</v>
      </c>
      <c r="K235" s="26">
        <f t="shared" si="114"/>
        <v>-1.8633280028938248</v>
      </c>
      <c r="L235" s="26">
        <f t="shared" si="115"/>
        <v>0.13431561749091853</v>
      </c>
      <c r="M235" s="26">
        <f t="shared" si="116"/>
        <v>0.78977227659424298</v>
      </c>
      <c r="N235" s="26">
        <f t="shared" si="117"/>
        <v>0.68778243186041998</v>
      </c>
      <c r="O235" s="26">
        <f t="shared" si="118"/>
        <v>-0.20233656507428657</v>
      </c>
      <c r="P235" s="26">
        <f t="shared" si="119"/>
        <v>0.44958773170559896</v>
      </c>
      <c r="Q235" s="26">
        <f t="shared" si="120"/>
        <v>0.10106456425009282</v>
      </c>
      <c r="R235" s="26">
        <f t="shared" si="121"/>
        <v>-4.5549109947167494</v>
      </c>
      <c r="S235" s="26">
        <f t="shared" si="122"/>
        <v>1.0406012361582844E-2</v>
      </c>
      <c r="T235" s="26">
        <f t="shared" si="123"/>
        <v>1.3033001251822558</v>
      </c>
      <c r="U235" s="26">
        <f t="shared" si="124"/>
        <v>0.78638986478800021</v>
      </c>
      <c r="V235" s="26">
        <f t="shared" si="125"/>
        <v>-0.51256398257377012</v>
      </c>
      <c r="W235" s="26">
        <f t="shared" si="126"/>
        <v>0.37459266076972197</v>
      </c>
      <c r="X235" s="26">
        <f t="shared" si="127"/>
        <v>0.19556716998154802</v>
      </c>
      <c r="Y235" s="26">
        <f t="shared" si="128"/>
        <v>0.37241013395735933</v>
      </c>
      <c r="Z235" s="26">
        <f t="shared" si="129"/>
        <v>0.59204122314168095</v>
      </c>
      <c r="AA235" s="26">
        <f t="shared" si="130"/>
        <v>0.42332396374336173</v>
      </c>
      <c r="AB235" s="26">
        <f t="shared" si="131"/>
        <v>0.60427837096060311</v>
      </c>
      <c r="AC235" s="26">
        <f t="shared" si="132"/>
        <v>0.844955069445815</v>
      </c>
      <c r="AD235" s="26">
        <f t="shared" si="133"/>
        <v>0.69950778349536913</v>
      </c>
      <c r="AE235" s="26">
        <f t="shared" si="134"/>
        <v>4.514778608993298E-2</v>
      </c>
      <c r="AF235" s="26">
        <f t="shared" si="135"/>
        <v>-2.3191728578655648</v>
      </c>
      <c r="AG235" s="26">
        <f t="shared" si="136"/>
        <v>8.9547472284386948E-2</v>
      </c>
      <c r="AH235" s="26">
        <f t="shared" si="137"/>
        <v>0.93685181233137471</v>
      </c>
      <c r="AI235" s="26">
        <f t="shared" si="138"/>
        <v>0.71846329976467471</v>
      </c>
      <c r="AJ235" s="26">
        <f t="shared" si="139"/>
        <v>-0.3126821222538726</v>
      </c>
      <c r="AK235" s="26">
        <f t="shared" si="140"/>
        <v>0.42246019861895423</v>
      </c>
      <c r="AL235" s="26">
        <f t="shared" si="141"/>
        <v>8.9236309708583123E-2</v>
      </c>
      <c r="AM235" s="27">
        <f t="shared" si="142"/>
        <v>0.43101583003015698</v>
      </c>
    </row>
    <row r="236" spans="1:39" ht="15" customHeight="1" x14ac:dyDescent="0.2">
      <c r="A236" s="24">
        <v>225</v>
      </c>
      <c r="B236" s="29">
        <f t="shared" si="143"/>
        <v>2.2509761972825841</v>
      </c>
      <c r="C236" s="29">
        <f t="shared" si="144"/>
        <v>-2.7069163304676613</v>
      </c>
      <c r="D236" s="29">
        <f t="shared" si="145"/>
        <v>-1.8735031471030368</v>
      </c>
      <c r="E236" s="29">
        <f t="shared" si="146"/>
        <v>-0.36442849106242992</v>
      </c>
      <c r="F236" s="29">
        <f t="shared" si="147"/>
        <v>0.51220516458917997</v>
      </c>
      <c r="G236" s="29">
        <f t="shared" si="148"/>
        <v>0.79153850230778933</v>
      </c>
      <c r="H236" s="29">
        <f t="shared" si="149"/>
        <v>2.238647004834434</v>
      </c>
      <c r="I236" s="29">
        <f t="shared" si="150"/>
        <v>-0.34873081668699757</v>
      </c>
      <c r="J236" s="29">
        <f t="shared" si="151"/>
        <v>-0.2639070819715072</v>
      </c>
      <c r="K236" s="26">
        <f t="shared" si="114"/>
        <v>-1.8735031471030368</v>
      </c>
      <c r="L236" s="26">
        <f t="shared" si="115"/>
        <v>0.13313689933782047</v>
      </c>
      <c r="M236" s="26">
        <f t="shared" si="116"/>
        <v>0.79153850230778933</v>
      </c>
      <c r="N236" s="26">
        <f t="shared" si="117"/>
        <v>0.6881615813611478</v>
      </c>
      <c r="O236" s="26">
        <f t="shared" si="118"/>
        <v>-0.20584371131664064</v>
      </c>
      <c r="P236" s="26">
        <f t="shared" si="119"/>
        <v>0.44872001250017618</v>
      </c>
      <c r="Q236" s="26">
        <f t="shared" si="120"/>
        <v>0.10067482480907913</v>
      </c>
      <c r="R236" s="26">
        <f t="shared" si="121"/>
        <v>-4.5804194775706986</v>
      </c>
      <c r="S236" s="26">
        <f t="shared" si="122"/>
        <v>1.0146586941090935E-2</v>
      </c>
      <c r="T236" s="26">
        <f t="shared" si="123"/>
        <v>1.3037436668969693</v>
      </c>
      <c r="U236" s="26">
        <f t="shared" si="124"/>
        <v>0.78646436183591206</v>
      </c>
      <c r="V236" s="26">
        <f t="shared" si="125"/>
        <v>-0.51545681470479776</v>
      </c>
      <c r="W236" s="26">
        <f t="shared" si="126"/>
        <v>0.37391519455526218</v>
      </c>
      <c r="X236" s="26">
        <f t="shared" si="127"/>
        <v>0.19599109180438765</v>
      </c>
      <c r="Y236" s="26">
        <f t="shared" si="128"/>
        <v>0.37747305017954735</v>
      </c>
      <c r="Z236" s="26">
        <f t="shared" si="129"/>
        <v>0.59326348908007043</v>
      </c>
      <c r="AA236" s="26">
        <f t="shared" si="130"/>
        <v>0.42711001124535941</v>
      </c>
      <c r="AB236" s="26">
        <f t="shared" si="131"/>
        <v>0.60518335506506415</v>
      </c>
      <c r="AC236" s="26">
        <f t="shared" si="132"/>
        <v>0.85315436527800137</v>
      </c>
      <c r="AD236" s="26">
        <f t="shared" si="133"/>
        <v>0.70122842366212634</v>
      </c>
      <c r="AE236" s="26">
        <f t="shared" si="134"/>
        <v>4.4632227413708932E-2</v>
      </c>
      <c r="AF236" s="26">
        <f t="shared" si="135"/>
        <v>-2.329443280288114</v>
      </c>
      <c r="AG236" s="26">
        <f t="shared" si="136"/>
        <v>8.8713660146577028E-2</v>
      </c>
      <c r="AH236" s="26">
        <f t="shared" si="137"/>
        <v>0.93931517583453938</v>
      </c>
      <c r="AI236" s="26">
        <f t="shared" si="138"/>
        <v>0.71896130537256986</v>
      </c>
      <c r="AJ236" s="26">
        <f t="shared" si="139"/>
        <v>-0.31603247558539882</v>
      </c>
      <c r="AK236" s="26">
        <f t="shared" si="140"/>
        <v>0.42164296708965832</v>
      </c>
      <c r="AL236" s="26">
        <f t="shared" si="141"/>
        <v>8.8891395848085336E-2</v>
      </c>
      <c r="AM236" s="27">
        <f t="shared" si="142"/>
        <v>0.43018953987526098</v>
      </c>
    </row>
    <row r="237" spans="1:39" ht="15" customHeight="1" x14ac:dyDescent="0.2">
      <c r="A237" s="24">
        <v>226</v>
      </c>
      <c r="B237" s="29">
        <f t="shared" si="143"/>
        <v>2.266180527337164</v>
      </c>
      <c r="C237" s="29">
        <f t="shared" si="144"/>
        <v>-2.7222296007000075</v>
      </c>
      <c r="D237" s="29">
        <f t="shared" si="145"/>
        <v>-1.8836819402732501</v>
      </c>
      <c r="E237" s="29">
        <f t="shared" si="146"/>
        <v>-0.36239901426753185</v>
      </c>
      <c r="F237" s="29">
        <f t="shared" si="147"/>
        <v>0.51086652805132104</v>
      </c>
      <c r="G237" s="29">
        <f t="shared" si="148"/>
        <v>0.79329098179843915</v>
      </c>
      <c r="H237" s="29">
        <f t="shared" si="149"/>
        <v>2.2533694544465113</v>
      </c>
      <c r="I237" s="29">
        <f t="shared" si="150"/>
        <v>-0.34588986440601466</v>
      </c>
      <c r="J237" s="29">
        <f t="shared" si="151"/>
        <v>-0.26856617481005296</v>
      </c>
      <c r="K237" s="26">
        <f t="shared" si="114"/>
        <v>-1.8836819402732501</v>
      </c>
      <c r="L237" s="26">
        <f t="shared" si="115"/>
        <v>0.13196653042649023</v>
      </c>
      <c r="M237" s="26">
        <f t="shared" si="116"/>
        <v>0.79329098179843915</v>
      </c>
      <c r="N237" s="26">
        <f t="shared" si="117"/>
        <v>0.68853753101640414</v>
      </c>
      <c r="O237" s="26">
        <f t="shared" si="118"/>
        <v>-0.20935497937942987</v>
      </c>
      <c r="P237" s="26">
        <f t="shared" si="119"/>
        <v>0.44785158610447462</v>
      </c>
      <c r="Q237" s="26">
        <f t="shared" si="120"/>
        <v>0.10028552158814683</v>
      </c>
      <c r="R237" s="26">
        <f t="shared" si="121"/>
        <v>-4.6059115409732581</v>
      </c>
      <c r="S237" s="26">
        <f t="shared" si="122"/>
        <v>9.8937252652963516E-3</v>
      </c>
      <c r="T237" s="26">
        <f t="shared" si="123"/>
        <v>1.3041575098497602</v>
      </c>
      <c r="U237" s="26">
        <f t="shared" si="124"/>
        <v>0.78653385362449135</v>
      </c>
      <c r="V237" s="26">
        <f t="shared" si="125"/>
        <v>-0.518326044487464</v>
      </c>
      <c r="W237" s="26">
        <f t="shared" si="126"/>
        <v>0.37324374370940627</v>
      </c>
      <c r="X237" s="26">
        <f t="shared" si="127"/>
        <v>0.19641170239970021</v>
      </c>
      <c r="Y237" s="26">
        <f t="shared" si="128"/>
        <v>0.38249858706391393</v>
      </c>
      <c r="Z237" s="26">
        <f t="shared" si="129"/>
        <v>0.5944755901256189</v>
      </c>
      <c r="AA237" s="26">
        <f t="shared" si="130"/>
        <v>0.4308919675309073</v>
      </c>
      <c r="AB237" s="26">
        <f t="shared" si="131"/>
        <v>0.6060866419155525</v>
      </c>
      <c r="AC237" s="26">
        <f t="shared" si="132"/>
        <v>0.86136773500261365</v>
      </c>
      <c r="AD237" s="26">
        <f t="shared" si="133"/>
        <v>0.70294633415394303</v>
      </c>
      <c r="AE237" s="26">
        <f t="shared" si="134"/>
        <v>4.4120440196290439E-2</v>
      </c>
      <c r="AF237" s="26">
        <f t="shared" si="135"/>
        <v>-2.3397310136360936</v>
      </c>
      <c r="AG237" s="26">
        <f t="shared" si="136"/>
        <v>8.788547482136487E-2</v>
      </c>
      <c r="AH237" s="26">
        <f t="shared" si="137"/>
        <v>0.94175849558222835</v>
      </c>
      <c r="AI237" s="26">
        <f t="shared" si="138"/>
        <v>0.71945472843430258</v>
      </c>
      <c r="AJ237" s="26">
        <f t="shared" si="139"/>
        <v>-0.3193798288224684</v>
      </c>
      <c r="AK237" s="26">
        <f t="shared" si="140"/>
        <v>0.42082689575041804</v>
      </c>
      <c r="AL237" s="26">
        <f t="shared" si="141"/>
        <v>8.8547638093466607E-2</v>
      </c>
      <c r="AM237" s="27">
        <f t="shared" si="142"/>
        <v>0.42936530227760411</v>
      </c>
    </row>
    <row r="238" spans="1:39" ht="15" customHeight="1" x14ac:dyDescent="0.2">
      <c r="A238" s="24">
        <v>227</v>
      </c>
      <c r="B238" s="29">
        <f t="shared" si="143"/>
        <v>2.2813489111953942</v>
      </c>
      <c r="C238" s="29">
        <f t="shared" si="144"/>
        <v>-2.7375205774644611</v>
      </c>
      <c r="D238" s="29">
        <f t="shared" si="145"/>
        <v>-1.8938633634888495</v>
      </c>
      <c r="E238" s="29">
        <f t="shared" si="146"/>
        <v>-0.36036054887780228</v>
      </c>
      <c r="F238" s="29">
        <f t="shared" si="147"/>
        <v>0.50951250212607835</v>
      </c>
      <c r="G238" s="29">
        <f t="shared" si="148"/>
        <v>0.79502941971117169</v>
      </c>
      <c r="H238" s="29">
        <f t="shared" si="149"/>
        <v>2.2680656112144963</v>
      </c>
      <c r="I238" s="29">
        <f t="shared" si="150"/>
        <v>-0.3430201457412283</v>
      </c>
      <c r="J238" s="29">
        <f t="shared" si="151"/>
        <v>-0.27323249741185263</v>
      </c>
      <c r="K238" s="26">
        <f t="shared" si="114"/>
        <v>-1.8938633634888495</v>
      </c>
      <c r="L238" s="26">
        <f t="shared" si="115"/>
        <v>0.13080459841466954</v>
      </c>
      <c r="M238" s="26">
        <f t="shared" si="116"/>
        <v>0.79502941971117169</v>
      </c>
      <c r="N238" s="26">
        <f t="shared" si="117"/>
        <v>0.68891022303642702</v>
      </c>
      <c r="O238" s="26">
        <f t="shared" si="118"/>
        <v>-0.2128691710673957</v>
      </c>
      <c r="P238" s="26">
        <f t="shared" si="119"/>
        <v>0.44698275499163459</v>
      </c>
      <c r="Q238" s="26">
        <f t="shared" si="120"/>
        <v>9.9896791629955822E-2</v>
      </c>
      <c r="R238" s="26">
        <f t="shared" si="121"/>
        <v>-4.6313839409533104</v>
      </c>
      <c r="S238" s="26">
        <f t="shared" si="122"/>
        <v>9.6472915722142678E-3</v>
      </c>
      <c r="T238" s="26">
        <f t="shared" si="123"/>
        <v>1.30454192183725</v>
      </c>
      <c r="U238" s="26">
        <f t="shared" si="124"/>
        <v>0.78659838865405285</v>
      </c>
      <c r="V238" s="26">
        <f t="shared" si="125"/>
        <v>-0.52117090107148256</v>
      </c>
      <c r="W238" s="26">
        <f t="shared" si="126"/>
        <v>0.37257847864212607</v>
      </c>
      <c r="X238" s="26">
        <f t="shared" si="127"/>
        <v>0.19682888273151455</v>
      </c>
      <c r="Y238" s="26">
        <f t="shared" si="128"/>
        <v>0.38748554770654464</v>
      </c>
      <c r="Z238" s="26">
        <f t="shared" si="129"/>
        <v>0.59567724983755821</v>
      </c>
      <c r="AA238" s="26">
        <f t="shared" si="130"/>
        <v>0.43466887083336941</v>
      </c>
      <c r="AB238" s="26">
        <f t="shared" si="131"/>
        <v>0.60698799882656118</v>
      </c>
      <c r="AC238" s="26">
        <f t="shared" si="132"/>
        <v>0.86959347650687568</v>
      </c>
      <c r="AD238" s="26">
        <f t="shared" si="133"/>
        <v>0.70466110187510222</v>
      </c>
      <c r="AE238" s="26">
        <f t="shared" si="134"/>
        <v>4.3612532372814372E-2</v>
      </c>
      <c r="AF238" s="26">
        <f t="shared" si="135"/>
        <v>-2.3500350297579162</v>
      </c>
      <c r="AG238" s="26">
        <f t="shared" si="136"/>
        <v>8.7062988128899135E-2</v>
      </c>
      <c r="AH238" s="26">
        <f t="shared" si="137"/>
        <v>0.94418137295944771</v>
      </c>
      <c r="AI238" s="26">
        <f t="shared" si="138"/>
        <v>0.7199435009634062</v>
      </c>
      <c r="AJ238" s="26">
        <f t="shared" si="139"/>
        <v>-0.3227230526530383</v>
      </c>
      <c r="AK238" s="26">
        <f t="shared" si="140"/>
        <v>0.42001226277838083</v>
      </c>
      <c r="AL238" s="26">
        <f t="shared" si="141"/>
        <v>8.8205150442107819E-2</v>
      </c>
      <c r="AM238" s="27">
        <f t="shared" si="142"/>
        <v>0.42854335717639253</v>
      </c>
    </row>
    <row r="239" spans="1:39" ht="15" customHeight="1" x14ac:dyDescent="0.2">
      <c r="A239" s="24">
        <v>228</v>
      </c>
      <c r="B239" s="29">
        <f t="shared" si="143"/>
        <v>2.2964791919094552</v>
      </c>
      <c r="C239" s="29">
        <f t="shared" si="144"/>
        <v>-2.7527870805000885</v>
      </c>
      <c r="D239" s="29">
        <f t="shared" si="145"/>
        <v>-1.9040463986192995</v>
      </c>
      <c r="E239" s="29">
        <f t="shared" si="146"/>
        <v>-0.35831377238670692</v>
      </c>
      <c r="F239" s="29">
        <f t="shared" si="147"/>
        <v>0.50814366349999607</v>
      </c>
      <c r="G239" s="29">
        <f t="shared" si="148"/>
        <v>0.79675352578756597</v>
      </c>
      <c r="H239" s="29">
        <f t="shared" si="149"/>
        <v>2.2827329079117695</v>
      </c>
      <c r="I239" s="29">
        <f t="shared" si="150"/>
        <v>-0.34012184199794243</v>
      </c>
      <c r="J239" s="29">
        <f t="shared" si="151"/>
        <v>-0.27790508403236353</v>
      </c>
      <c r="K239" s="26">
        <f t="shared" si="114"/>
        <v>-1.9040463986192995</v>
      </c>
      <c r="L239" s="26">
        <f t="shared" si="115"/>
        <v>0.12965118697722158</v>
      </c>
      <c r="M239" s="26">
        <f t="shared" si="116"/>
        <v>0.79675352578756597</v>
      </c>
      <c r="N239" s="26">
        <f t="shared" si="117"/>
        <v>0.68927960085888507</v>
      </c>
      <c r="O239" s="26">
        <f t="shared" si="118"/>
        <v>-0.21638510046536846</v>
      </c>
      <c r="P239" s="26">
        <f t="shared" si="119"/>
        <v>0.44611381818508472</v>
      </c>
      <c r="Q239" s="26">
        <f t="shared" si="120"/>
        <v>9.9508769387837412E-2</v>
      </c>
      <c r="R239" s="26">
        <f t="shared" si="121"/>
        <v>-4.6568334791193884</v>
      </c>
      <c r="S239" s="26">
        <f t="shared" si="122"/>
        <v>9.4071507895305776E-3</v>
      </c>
      <c r="T239" s="26">
        <f t="shared" si="123"/>
        <v>1.304897189287562</v>
      </c>
      <c r="U239" s="26">
        <f t="shared" si="124"/>
        <v>0.78665801826065351</v>
      </c>
      <c r="V239" s="26">
        <f t="shared" si="125"/>
        <v>-0.52399064554867836</v>
      </c>
      <c r="W239" s="26">
        <f t="shared" si="126"/>
        <v>0.37191956176534263</v>
      </c>
      <c r="X239" s="26">
        <f t="shared" si="127"/>
        <v>0.19724251844651966</v>
      </c>
      <c r="Y239" s="26">
        <f t="shared" si="128"/>
        <v>0.39243279329015568</v>
      </c>
      <c r="Z239" s="26">
        <f t="shared" si="129"/>
        <v>0.59686820731836188</v>
      </c>
      <c r="AA239" s="26">
        <f t="shared" si="130"/>
        <v>0.43843975340085906</v>
      </c>
      <c r="AB239" s="26">
        <f t="shared" si="131"/>
        <v>0.60788719248248679</v>
      </c>
      <c r="AC239" s="26">
        <f t="shared" si="132"/>
        <v>0.87782990286546436</v>
      </c>
      <c r="AD239" s="26">
        <f t="shared" si="133"/>
        <v>0.70637232190134069</v>
      </c>
      <c r="AE239" s="26">
        <f t="shared" si="134"/>
        <v>4.3108606672804944E-2</v>
      </c>
      <c r="AF239" s="26">
        <f t="shared" si="135"/>
        <v>-2.3603542872099328</v>
      </c>
      <c r="AG239" s="26">
        <f t="shared" si="136"/>
        <v>8.6246269789233221E-2</v>
      </c>
      <c r="AH239" s="26">
        <f t="shared" si="137"/>
        <v>0.94658341690085512</v>
      </c>
      <c r="AI239" s="26">
        <f t="shared" si="138"/>
        <v>0.72042755676194481</v>
      </c>
      <c r="AJ239" s="26">
        <f t="shared" si="139"/>
        <v>-0.32606103343179405</v>
      </c>
      <c r="AK239" s="26">
        <f t="shared" si="140"/>
        <v>0.41919934191457781</v>
      </c>
      <c r="AL239" s="26">
        <f t="shared" si="141"/>
        <v>8.7864044130807548E-2</v>
      </c>
      <c r="AM239" s="27">
        <f t="shared" si="142"/>
        <v>0.42772393863796959</v>
      </c>
    </row>
    <row r="240" spans="1:39" ht="15" customHeight="1" x14ac:dyDescent="0.2">
      <c r="A240" s="24">
        <v>229</v>
      </c>
      <c r="B240" s="29">
        <f t="shared" si="143"/>
        <v>2.3115692725610346</v>
      </c>
      <c r="C240" s="29">
        <f t="shared" si="144"/>
        <v>-2.7680269758960607</v>
      </c>
      <c r="D240" s="29">
        <f t="shared" si="145"/>
        <v>-1.9142300294016499</v>
      </c>
      <c r="E240" s="29">
        <f t="shared" si="146"/>
        <v>-0.35625937269880537</v>
      </c>
      <c r="F240" s="29">
        <f t="shared" si="147"/>
        <v>0.50676060188586991</v>
      </c>
      <c r="G240" s="29">
        <f t="shared" si="148"/>
        <v>0.7984630151817883</v>
      </c>
      <c r="H240" s="29">
        <f t="shared" si="149"/>
        <v>2.2973688354437689</v>
      </c>
      <c r="I240" s="29">
        <f t="shared" si="150"/>
        <v>-0.33719515136785894</v>
      </c>
      <c r="J240" s="29">
        <f t="shared" si="151"/>
        <v>-0.28258298278241717</v>
      </c>
      <c r="K240" s="26">
        <f t="shared" si="114"/>
        <v>-1.9142300294016499</v>
      </c>
      <c r="L240" s="26">
        <f t="shared" si="115"/>
        <v>0.12850637573443019</v>
      </c>
      <c r="M240" s="26">
        <f t="shared" si="116"/>
        <v>0.7984630151817883</v>
      </c>
      <c r="N240" s="26">
        <f t="shared" si="117"/>
        <v>0.68964560920971585</v>
      </c>
      <c r="O240" s="26">
        <f t="shared" si="118"/>
        <v>-0.21990159560195932</v>
      </c>
      <c r="P240" s="26">
        <f t="shared" si="119"/>
        <v>0.44524507083486337</v>
      </c>
      <c r="Q240" s="26">
        <f t="shared" si="120"/>
        <v>9.9121586551371252E-2</v>
      </c>
      <c r="R240" s="26">
        <f t="shared" si="121"/>
        <v>-4.6822570052977106</v>
      </c>
      <c r="S240" s="26">
        <f t="shared" si="122"/>
        <v>9.1731686554870923E-3</v>
      </c>
      <c r="T240" s="26">
        <f t="shared" si="123"/>
        <v>1.3052236170676581</v>
      </c>
      <c r="U240" s="26">
        <f t="shared" si="124"/>
        <v>0.78671279658837923</v>
      </c>
      <c r="V240" s="26">
        <f t="shared" si="125"/>
        <v>-0.52678457151968172</v>
      </c>
      <c r="W240" s="26">
        <f t="shared" si="126"/>
        <v>0.37126714739592026</v>
      </c>
      <c r="X240" s="26">
        <f t="shared" si="127"/>
        <v>0.19765249997183174</v>
      </c>
      <c r="Y240" s="26">
        <f t="shared" si="128"/>
        <v>0.39733924315938474</v>
      </c>
      <c r="Z240" s="26">
        <f t="shared" si="129"/>
        <v>0.59804821715953715</v>
      </c>
      <c r="AA240" s="26">
        <f t="shared" si="130"/>
        <v>0.44220364248298294</v>
      </c>
      <c r="AB240" s="26">
        <f t="shared" si="131"/>
        <v>0.60878398918954546</v>
      </c>
      <c r="AC240" s="26">
        <f t="shared" si="132"/>
        <v>0.88607534402751309</v>
      </c>
      <c r="AD240" s="26">
        <f t="shared" si="133"/>
        <v>0.70807959785869168</v>
      </c>
      <c r="AE240" s="26">
        <f t="shared" si="134"/>
        <v>4.2608760593171584E-2</v>
      </c>
      <c r="AF240" s="26">
        <f t="shared" si="135"/>
        <v>-2.370687732736676</v>
      </c>
      <c r="AG240" s="26">
        <f t="shared" si="136"/>
        <v>8.5435387301462745E-2</v>
      </c>
      <c r="AH240" s="26">
        <f t="shared" si="137"/>
        <v>0.94896424436885285</v>
      </c>
      <c r="AI240" s="26">
        <f t="shared" si="138"/>
        <v>0.72090683150139245</v>
      </c>
      <c r="AJ240" s="26">
        <f t="shared" si="139"/>
        <v>-0.32939267472220396</v>
      </c>
      <c r="AK240" s="26">
        <f t="shared" si="140"/>
        <v>0.41838840208702321</v>
      </c>
      <c r="AL240" s="26">
        <f t="shared" si="141"/>
        <v>8.7524427500466309E-2</v>
      </c>
      <c r="AM240" s="27">
        <f t="shared" si="142"/>
        <v>0.42690727461684086</v>
      </c>
    </row>
    <row r="241" spans="1:39" ht="15" customHeight="1" x14ac:dyDescent="0.2">
      <c r="A241" s="24">
        <v>230</v>
      </c>
      <c r="B241" s="29">
        <f t="shared" si="143"/>
        <v>2.3266171172708243</v>
      </c>
      <c r="C241" s="29">
        <f t="shared" si="144"/>
        <v>-2.7832381775199693</v>
      </c>
      <c r="D241" s="29">
        <f t="shared" si="145"/>
        <v>-1.9244132425074396</v>
      </c>
      <c r="E241" s="29">
        <f t="shared" si="146"/>
        <v>-0.35419804745286199</v>
      </c>
      <c r="F241" s="29">
        <f t="shared" si="147"/>
        <v>0.5053639194992342</v>
      </c>
      <c r="G241" s="29">
        <f t="shared" si="148"/>
        <v>0.8001576087619624</v>
      </c>
      <c r="H241" s="29">
        <f t="shared" si="149"/>
        <v>2.3119709445079542</v>
      </c>
      <c r="I241" s="29">
        <f t="shared" si="150"/>
        <v>-0.33424028846092263</v>
      </c>
      <c r="J241" s="29">
        <f t="shared" si="151"/>
        <v>-0.28726525669186165</v>
      </c>
      <c r="K241" s="26">
        <f t="shared" si="114"/>
        <v>-1.9244132425074396</v>
      </c>
      <c r="L241" s="26">
        <f t="shared" si="115"/>
        <v>0.12737024018896062</v>
      </c>
      <c r="M241" s="26">
        <f t="shared" si="116"/>
        <v>0.8001576087619624</v>
      </c>
      <c r="N241" s="26">
        <f t="shared" si="117"/>
        <v>0.69000819416055936</v>
      </c>
      <c r="O241" s="26">
        <f t="shared" si="118"/>
        <v>-0.22341750003661104</v>
      </c>
      <c r="P241" s="26">
        <f t="shared" si="119"/>
        <v>0.44437680381446337</v>
      </c>
      <c r="Q241" s="26">
        <f t="shared" si="120"/>
        <v>9.8735371884179038E-2</v>
      </c>
      <c r="R241" s="26">
        <f t="shared" si="121"/>
        <v>-4.7076514200274087</v>
      </c>
      <c r="S241" s="26">
        <f t="shared" si="122"/>
        <v>8.9452118339850995E-3</v>
      </c>
      <c r="T241" s="26">
        <f t="shared" si="123"/>
        <v>1.3055215282611967</v>
      </c>
      <c r="U241" s="26">
        <f t="shared" si="124"/>
        <v>0.78676278055741966</v>
      </c>
      <c r="V241" s="26">
        <f t="shared" si="125"/>
        <v>-0.52955200556304893</v>
      </c>
      <c r="W241" s="26">
        <f t="shared" si="126"/>
        <v>0.37062138168222675</v>
      </c>
      <c r="X241" s="26">
        <f t="shared" si="127"/>
        <v>0.19805872259779461</v>
      </c>
      <c r="Y241" s="26">
        <f t="shared" si="128"/>
        <v>0.40220387476338471</v>
      </c>
      <c r="Z241" s="26">
        <f t="shared" si="129"/>
        <v>0.59921704935270892</v>
      </c>
      <c r="AA241" s="26">
        <f t="shared" si="130"/>
        <v>0.44595956130910042</v>
      </c>
      <c r="AB241" s="26">
        <f t="shared" si="131"/>
        <v>0.60967815512389956</v>
      </c>
      <c r="AC241" s="26">
        <f t="shared" si="132"/>
        <v>0.89432814842845487</v>
      </c>
      <c r="AD241" s="26">
        <f t="shared" si="133"/>
        <v>0.7097825422742351</v>
      </c>
      <c r="AE241" s="26">
        <f t="shared" si="134"/>
        <v>4.2113086384403073E-2</v>
      </c>
      <c r="AF241" s="26">
        <f t="shared" si="135"/>
        <v>-2.3810343027565848</v>
      </c>
      <c r="AG241" s="26">
        <f t="shared" si="136"/>
        <v>8.4630405830127708E-2</v>
      </c>
      <c r="AH241" s="26">
        <f t="shared" si="137"/>
        <v>0.95132348080833462</v>
      </c>
      <c r="AI241" s="26">
        <f t="shared" si="138"/>
        <v>0.72138126279822157</v>
      </c>
      <c r="AJ241" s="26">
        <f t="shared" si="139"/>
        <v>-0.33271689875867205</v>
      </c>
      <c r="AK241" s="26">
        <f t="shared" si="140"/>
        <v>0.41757970705539005</v>
      </c>
      <c r="AL241" s="26">
        <f t="shared" si="141"/>
        <v>8.7186405872232683E-2</v>
      </c>
      <c r="AM241" s="27">
        <f t="shared" si="142"/>
        <v>0.42609358673860942</v>
      </c>
    </row>
    <row r="242" spans="1:39" ht="15" customHeight="1" x14ac:dyDescent="0.2">
      <c r="A242" s="24">
        <v>231</v>
      </c>
      <c r="B242" s="29">
        <f t="shared" si="143"/>
        <v>2.3416207520619672</v>
      </c>
      <c r="C242" s="29">
        <f t="shared" si="144"/>
        <v>-2.7984186483185955</v>
      </c>
      <c r="D242" s="29">
        <f t="shared" si="145"/>
        <v>-1.934595028590629</v>
      </c>
      <c r="E242" s="29">
        <f t="shared" si="146"/>
        <v>-0.35213050334068918</v>
      </c>
      <c r="F242" s="29">
        <f t="shared" si="147"/>
        <v>0.50395423052151644</v>
      </c>
      <c r="G242" s="29">
        <f t="shared" si="148"/>
        <v>0.80183703339623491</v>
      </c>
      <c r="H242" s="29">
        <f t="shared" si="149"/>
        <v>2.3265368471015302</v>
      </c>
      <c r="I242" s="29">
        <f t="shared" si="150"/>
        <v>-0.3312574837985614</v>
      </c>
      <c r="J242" s="29">
        <f t="shared" si="151"/>
        <v>-0.29195098471466358</v>
      </c>
      <c r="K242" s="26">
        <f t="shared" si="114"/>
        <v>-1.934595028590629</v>
      </c>
      <c r="L242" s="26">
        <f t="shared" si="115"/>
        <v>0.1262428516716034</v>
      </c>
      <c r="M242" s="26">
        <f t="shared" si="116"/>
        <v>0.80183703339623491</v>
      </c>
      <c r="N242" s="26">
        <f t="shared" si="117"/>
        <v>0.69036730318266826</v>
      </c>
      <c r="O242" s="26">
        <f t="shared" si="118"/>
        <v>-0.22693167436659453</v>
      </c>
      <c r="P242" s="26">
        <f t="shared" si="119"/>
        <v>0.44350930333907046</v>
      </c>
      <c r="Q242" s="26">
        <f t="shared" si="120"/>
        <v>9.8350251074153808E-2</v>
      </c>
      <c r="R242" s="26">
        <f t="shared" si="121"/>
        <v>-4.7330136769092244</v>
      </c>
      <c r="S242" s="26">
        <f t="shared" si="122"/>
        <v>8.7231480238215021E-3</v>
      </c>
      <c r="T242" s="26">
        <f t="shared" si="123"/>
        <v>1.3057912639177514</v>
      </c>
      <c r="U242" s="26">
        <f t="shared" si="124"/>
        <v>0.78680802982804787</v>
      </c>
      <c r="V242" s="26">
        <f t="shared" si="125"/>
        <v>-0.5322923076078645</v>
      </c>
      <c r="W242" s="26">
        <f t="shared" si="126"/>
        <v>0.36998240255381759</v>
      </c>
      <c r="X242" s="26">
        <f t="shared" si="127"/>
        <v>0.19846108654592995</v>
      </c>
      <c r="Y242" s="26">
        <f t="shared" si="128"/>
        <v>0.40702572347133814</v>
      </c>
      <c r="Z242" s="26">
        <f t="shared" si="129"/>
        <v>0.60037448916780045</v>
      </c>
      <c r="AA242" s="26">
        <f t="shared" si="130"/>
        <v>0.44970653005554573</v>
      </c>
      <c r="AB242" s="26">
        <f t="shared" si="131"/>
        <v>0.61056945657534245</v>
      </c>
      <c r="AC242" s="26">
        <f t="shared" si="132"/>
        <v>0.9025866845245798</v>
      </c>
      <c r="AD242" s="26">
        <f t="shared" si="133"/>
        <v>0.71148077689855449</v>
      </c>
      <c r="AE242" s="26">
        <f t="shared" si="134"/>
        <v>4.1621671049530844E-2</v>
      </c>
      <c r="AF242" s="26">
        <f t="shared" si="135"/>
        <v>-2.3913929248472572</v>
      </c>
      <c r="AG242" s="26">
        <f t="shared" si="136"/>
        <v>8.3831388099231907E-2</v>
      </c>
      <c r="AH242" s="26">
        <f t="shared" si="137"/>
        <v>0.95366076057706217</v>
      </c>
      <c r="AI242" s="26">
        <f t="shared" si="138"/>
        <v>0.72185079028406074</v>
      </c>
      <c r="AJ242" s="26">
        <f t="shared" si="139"/>
        <v>-0.3360326478256328</v>
      </c>
      <c r="AK242" s="26">
        <f t="shared" si="140"/>
        <v>0.41677351507798555</v>
      </c>
      <c r="AL242" s="26">
        <f t="shared" si="141"/>
        <v>8.6850081435229917E-2</v>
      </c>
      <c r="AM242" s="27">
        <f t="shared" si="142"/>
        <v>0.42528309010484455</v>
      </c>
    </row>
    <row r="243" spans="1:39" ht="15" customHeight="1" x14ac:dyDescent="0.2">
      <c r="A243" s="24">
        <v>232</v>
      </c>
      <c r="B243" s="29">
        <f t="shared" si="143"/>
        <v>2.3565782655801693</v>
      </c>
      <c r="C243" s="29">
        <f t="shared" si="144"/>
        <v>-2.813566401491356</v>
      </c>
      <c r="D243" s="29">
        <f t="shared" si="145"/>
        <v>-1.9447743833134141</v>
      </c>
      <c r="E243" s="29">
        <f t="shared" si="146"/>
        <v>-0.35005745542356209</v>
      </c>
      <c r="F243" s="29">
        <f t="shared" si="147"/>
        <v>0.50253216055140515</v>
      </c>
      <c r="G243" s="29">
        <f t="shared" si="148"/>
        <v>0.80350102222291919</v>
      </c>
      <c r="H243" s="29">
        <f t="shared" si="149"/>
        <v>2.3410642178771357</v>
      </c>
      <c r="I243" s="29">
        <f t="shared" si="150"/>
        <v>-0.32824698327037083</v>
      </c>
      <c r="J243" s="29">
        <f t="shared" si="151"/>
        <v>-0.29663926267436858</v>
      </c>
      <c r="K243" s="26">
        <f t="shared" si="114"/>
        <v>-1.9447743833134141</v>
      </c>
      <c r="L243" s="26">
        <f t="shared" si="115"/>
        <v>0.12512427729587147</v>
      </c>
      <c r="M243" s="26">
        <f t="shared" si="116"/>
        <v>0.80350102222291919</v>
      </c>
      <c r="N243" s="26">
        <f t="shared" si="117"/>
        <v>0.69072288519718683</v>
      </c>
      <c r="O243" s="26">
        <f t="shared" si="118"/>
        <v>-0.23044299765105061</v>
      </c>
      <c r="P243" s="26">
        <f t="shared" si="119"/>
        <v>0.44264285060592684</v>
      </c>
      <c r="Q243" s="26">
        <f t="shared" si="120"/>
        <v>9.7966346596270432E-2</v>
      </c>
      <c r="R243" s="26">
        <f t="shared" si="121"/>
        <v>-4.7583407848047701</v>
      </c>
      <c r="S243" s="26">
        <f t="shared" si="122"/>
        <v>8.5068460619968783E-3</v>
      </c>
      <c r="T243" s="26">
        <f t="shared" si="123"/>
        <v>1.3060331827743243</v>
      </c>
      <c r="U243" s="26">
        <f t="shared" si="124"/>
        <v>0.78684860676063129</v>
      </c>
      <c r="V243" s="26">
        <f t="shared" si="125"/>
        <v>-0.53500487121131024</v>
      </c>
      <c r="W243" s="26">
        <f t="shared" si="126"/>
        <v>0.36935033969370751</v>
      </c>
      <c r="X243" s="26">
        <f t="shared" si="127"/>
        <v>0.19885949702222108</v>
      </c>
      <c r="Y243" s="26">
        <f t="shared" si="128"/>
        <v>0.41180388226675513</v>
      </c>
      <c r="Z243" s="26">
        <f t="shared" si="129"/>
        <v>0.60152033700017393</v>
      </c>
      <c r="AA243" s="26">
        <f t="shared" si="130"/>
        <v>0.4534435667993571</v>
      </c>
      <c r="AB243" s="26">
        <f t="shared" si="131"/>
        <v>0.61145766018591763</v>
      </c>
      <c r="AC243" s="26">
        <f t="shared" si="132"/>
        <v>0.91084934224854774</v>
      </c>
      <c r="AD243" s="26">
        <f t="shared" si="133"/>
        <v>0.71317393299982912</v>
      </c>
      <c r="AE243" s="26">
        <f t="shared" si="134"/>
        <v>4.1134596355393259E-2</v>
      </c>
      <c r="AF243" s="26">
        <f t="shared" si="135"/>
        <v>-2.4017625192246008</v>
      </c>
      <c r="AG243" s="26">
        <f t="shared" si="136"/>
        <v>8.3038394294166873E-2</v>
      </c>
      <c r="AH243" s="26">
        <f t="shared" si="137"/>
        <v>0.95597572735076231</v>
      </c>
      <c r="AI243" s="26">
        <f t="shared" si="138"/>
        <v>0.7223153556703048</v>
      </c>
      <c r="AJ243" s="26">
        <f t="shared" si="139"/>
        <v>-0.33933888555096409</v>
      </c>
      <c r="AK243" s="26">
        <f t="shared" si="140"/>
        <v>0.41597007860161045</v>
      </c>
      <c r="AL243" s="26">
        <f t="shared" si="141"/>
        <v>8.6515553145914983E-2</v>
      </c>
      <c r="AM243" s="27">
        <f t="shared" si="142"/>
        <v>0.42447599311979972</v>
      </c>
    </row>
    <row r="244" spans="1:39" ht="15" customHeight="1" x14ac:dyDescent="0.2">
      <c r="A244" s="24">
        <v>233</v>
      </c>
      <c r="B244" s="29">
        <f t="shared" si="143"/>
        <v>2.371487809673634</v>
      </c>
      <c r="C244" s="29">
        <f t="shared" si="144"/>
        <v>-2.8286795015371577</v>
      </c>
      <c r="D244" s="29">
        <f t="shared" si="145"/>
        <v>-1.9549503083469988</v>
      </c>
      <c r="E244" s="29">
        <f t="shared" si="146"/>
        <v>-0.34797962644801206</v>
      </c>
      <c r="F244" s="29">
        <f t="shared" si="147"/>
        <v>0.50109834604598047</v>
      </c>
      <c r="G244" s="29">
        <f t="shared" si="148"/>
        <v>0.80514931490417063</v>
      </c>
      <c r="H244" s="29">
        <f t="shared" si="149"/>
        <v>2.3555507953472965</v>
      </c>
      <c r="I244" s="29">
        <f t="shared" si="150"/>
        <v>-0.32520904755641317</v>
      </c>
      <c r="J244" s="29">
        <f t="shared" si="151"/>
        <v>-0.30132920414913367</v>
      </c>
      <c r="K244" s="26">
        <f t="shared" si="114"/>
        <v>-1.9549503083469988</v>
      </c>
      <c r="L244" s="26">
        <f t="shared" si="115"/>
        <v>0.12401457992147107</v>
      </c>
      <c r="M244" s="26">
        <f t="shared" si="116"/>
        <v>0.80514931490417063</v>
      </c>
      <c r="N244" s="26">
        <f t="shared" si="117"/>
        <v>0.69107489062171223</v>
      </c>
      <c r="O244" s="26">
        <f t="shared" si="118"/>
        <v>-0.23395036874969108</v>
      </c>
      <c r="P244" s="26">
        <f t="shared" si="119"/>
        <v>0.44177772145741062</v>
      </c>
      <c r="Q244" s="26">
        <f t="shared" si="120"/>
        <v>9.7583777588050744E-2</v>
      </c>
      <c r="R244" s="26">
        <f t="shared" si="121"/>
        <v>-4.7836298098841565</v>
      </c>
      <c r="S244" s="26">
        <f t="shared" si="122"/>
        <v>8.2961760210599079E-3</v>
      </c>
      <c r="T244" s="26">
        <f t="shared" si="123"/>
        <v>1.306247660950151</v>
      </c>
      <c r="U244" s="26">
        <f t="shared" si="124"/>
        <v>0.78688457637181286</v>
      </c>
      <c r="V244" s="26">
        <f t="shared" si="125"/>
        <v>-0.53768912374309374</v>
      </c>
      <c r="W244" s="26">
        <f t="shared" si="126"/>
        <v>0.36872531453260038</v>
      </c>
      <c r="X244" s="26">
        <f t="shared" si="127"/>
        <v>0.19925386425598215</v>
      </c>
      <c r="Y244" s="26">
        <f t="shared" si="128"/>
        <v>0.41653750132663525</v>
      </c>
      <c r="Z244" s="26">
        <f t="shared" si="129"/>
        <v>0.60265440818862837</v>
      </c>
      <c r="AA244" s="26">
        <f t="shared" si="130"/>
        <v>0.45716968845615857</v>
      </c>
      <c r="AB244" s="26">
        <f t="shared" si="131"/>
        <v>0.61234253318288523</v>
      </c>
      <c r="AC244" s="26">
        <f t="shared" si="132"/>
        <v>0.91911453438445678</v>
      </c>
      <c r="AD244" s="26">
        <f t="shared" si="133"/>
        <v>0.71486165162960624</v>
      </c>
      <c r="AE244" s="26">
        <f t="shared" si="134"/>
        <v>4.0651938855698018E-2</v>
      </c>
      <c r="AF244" s="26">
        <f t="shared" si="135"/>
        <v>-2.4121420002105225</v>
      </c>
      <c r="AG244" s="26">
        <f t="shared" si="136"/>
        <v>8.2251481971770443E-2</v>
      </c>
      <c r="AH244" s="26">
        <f t="shared" si="137"/>
        <v>0.95826803450213904</v>
      </c>
      <c r="AI244" s="26">
        <f t="shared" si="138"/>
        <v>0.72277490280707701</v>
      </c>
      <c r="AJ244" s="26">
        <f t="shared" si="139"/>
        <v>-0.34263459811160457</v>
      </c>
      <c r="AK244" s="26">
        <f t="shared" si="140"/>
        <v>0.41516964397474682</v>
      </c>
      <c r="AL244" s="26">
        <f t="shared" si="141"/>
        <v>8.6182916639059012E-2</v>
      </c>
      <c r="AM244" s="27">
        <f t="shared" si="142"/>
        <v>0.42367249733878992</v>
      </c>
    </row>
    <row r="245" spans="1:39" ht="15" customHeight="1" x14ac:dyDescent="0.2">
      <c r="A245" s="24">
        <v>234</v>
      </c>
      <c r="B245" s="29">
        <f t="shared" si="143"/>
        <v>2.386347599836375</v>
      </c>
      <c r="C245" s="29">
        <f t="shared" si="144"/>
        <v>-2.8437560651758926</v>
      </c>
      <c r="D245" s="29">
        <f t="shared" si="145"/>
        <v>-1.9651218123446375</v>
      </c>
      <c r="E245" s="29">
        <f t="shared" si="146"/>
        <v>-0.34589774616276464</v>
      </c>
      <c r="F245" s="29">
        <f t="shared" si="147"/>
        <v>0.49965343375315791</v>
      </c>
      <c r="G245" s="29">
        <f t="shared" si="148"/>
        <v>0.80678165786271716</v>
      </c>
      <c r="H245" s="29">
        <f t="shared" si="149"/>
        <v>2.3699943829389793</v>
      </c>
      <c r="I245" s="29">
        <f t="shared" si="150"/>
        <v>-0.3221439515174036</v>
      </c>
      <c r="J245" s="29">
        <f t="shared" si="151"/>
        <v>-0.30601994129584853</v>
      </c>
      <c r="K245" s="26">
        <f t="shared" si="114"/>
        <v>-1.9651218123446375</v>
      </c>
      <c r="L245" s="26">
        <f t="shared" si="115"/>
        <v>0.12291381812661972</v>
      </c>
      <c r="M245" s="26">
        <f t="shared" si="116"/>
        <v>0.80678165786271716</v>
      </c>
      <c r="N245" s="26">
        <f t="shared" si="117"/>
        <v>0.6914232714130617</v>
      </c>
      <c r="O245" s="26">
        <f t="shared" si="118"/>
        <v>-0.23745270757427039</v>
      </c>
      <c r="P245" s="26">
        <f t="shared" si="119"/>
        <v>0.44091418606729377</v>
      </c>
      <c r="Q245" s="26">
        <f t="shared" si="120"/>
        <v>9.7202659737692071E-2</v>
      </c>
      <c r="R245" s="26">
        <f t="shared" si="121"/>
        <v>-4.8088778775205299</v>
      </c>
      <c r="S245" s="26">
        <f t="shared" si="122"/>
        <v>8.0910093004765322E-3</v>
      </c>
      <c r="T245" s="26">
        <f t="shared" si="123"/>
        <v>1.3064350916158751</v>
      </c>
      <c r="U245" s="26">
        <f t="shared" si="124"/>
        <v>0.7869160062870072</v>
      </c>
      <c r="V245" s="26">
        <f t="shared" si="125"/>
        <v>-0.54034452647900255</v>
      </c>
      <c r="W245" s="26">
        <f t="shared" si="126"/>
        <v>0.36810744026436854</v>
      </c>
      <c r="X245" s="26">
        <f t="shared" si="127"/>
        <v>0.19964410352462433</v>
      </c>
      <c r="Y245" s="26">
        <f t="shared" si="128"/>
        <v>0.42122578749173756</v>
      </c>
      <c r="Z245" s="26">
        <f t="shared" si="129"/>
        <v>0.60377653280618826</v>
      </c>
      <c r="AA245" s="26">
        <f t="shared" si="130"/>
        <v>0.46088391169995252</v>
      </c>
      <c r="AB245" s="26">
        <f t="shared" si="131"/>
        <v>0.61322384360547755</v>
      </c>
      <c r="AC245" s="26">
        <f t="shared" si="132"/>
        <v>0.92738069786143129</v>
      </c>
      <c r="AD245" s="26">
        <f t="shared" si="133"/>
        <v>0.71654358386041839</v>
      </c>
      <c r="AE245" s="26">
        <f t="shared" si="134"/>
        <v>4.0173769925347831E-2</v>
      </c>
      <c r="AF245" s="26">
        <f t="shared" si="135"/>
        <v>-2.4225302776841549</v>
      </c>
      <c r="AG245" s="26">
        <f t="shared" si="136"/>
        <v>8.1470705978687691E-2</v>
      </c>
      <c r="AH245" s="26">
        <f t="shared" si="137"/>
        <v>0.96053734545311042</v>
      </c>
      <c r="AI245" s="26">
        <f t="shared" si="138"/>
        <v>0.72322937773647566</v>
      </c>
      <c r="AJ245" s="26">
        <f t="shared" si="139"/>
        <v>-0.34591879534978676</v>
      </c>
      <c r="AK245" s="26">
        <f t="shared" si="140"/>
        <v>0.41437245118438609</v>
      </c>
      <c r="AL245" s="26">
        <f t="shared" si="141"/>
        <v>8.5852264150278218E-2</v>
      </c>
      <c r="AM245" s="27">
        <f t="shared" si="142"/>
        <v>0.42287279733794247</v>
      </c>
    </row>
    <row r="246" spans="1:39" ht="15" customHeight="1" x14ac:dyDescent="0.2">
      <c r="A246" s="24">
        <v>235</v>
      </c>
      <c r="B246" s="29">
        <f t="shared" si="143"/>
        <v>2.4011559155188289</v>
      </c>
      <c r="C246" s="29">
        <f t="shared" si="144"/>
        <v>-2.8587942621462599</v>
      </c>
      <c r="D246" s="29">
        <f t="shared" si="145"/>
        <v>-1.9752879118844993</v>
      </c>
      <c r="E246" s="29">
        <f t="shared" si="146"/>
        <v>-0.34381255063854255</v>
      </c>
      <c r="F246" s="29">
        <f t="shared" si="147"/>
        <v>0.49819808013698441</v>
      </c>
      <c r="G246" s="29">
        <f t="shared" si="148"/>
        <v>0.80839780450123866</v>
      </c>
      <c r="H246" s="29">
        <f t="shared" si="149"/>
        <v>2.3843928499001219</v>
      </c>
      <c r="I246" s="29">
        <f t="shared" si="150"/>
        <v>-0.31905198355514564</v>
      </c>
      <c r="J246" s="29">
        <f t="shared" si="151"/>
        <v>-0.31071062561315416</v>
      </c>
      <c r="K246" s="26">
        <f t="shared" si="114"/>
        <v>-1.9752879118844993</v>
      </c>
      <c r="L246" s="26">
        <f t="shared" si="115"/>
        <v>0.12182204618913908</v>
      </c>
      <c r="M246" s="26">
        <f t="shared" si="116"/>
        <v>0.80839780450123866</v>
      </c>
      <c r="N246" s="26">
        <f t="shared" si="117"/>
        <v>0.69176798110618853</v>
      </c>
      <c r="O246" s="26">
        <f t="shared" si="118"/>
        <v>-0.2409489562514365</v>
      </c>
      <c r="P246" s="26">
        <f t="shared" si="119"/>
        <v>0.44005250865050594</v>
      </c>
      <c r="Q246" s="26">
        <f t="shared" si="120"/>
        <v>9.6823105184801805E-2</v>
      </c>
      <c r="R246" s="26">
        <f t="shared" si="121"/>
        <v>-4.8340821740307591</v>
      </c>
      <c r="S246" s="26">
        <f t="shared" si="122"/>
        <v>7.891218712035207E-3</v>
      </c>
      <c r="T246" s="26">
        <f t="shared" si="123"/>
        <v>1.3065958846382231</v>
      </c>
      <c r="U246" s="26">
        <f t="shared" si="124"/>
        <v>0.78694296668936636</v>
      </c>
      <c r="V246" s="26">
        <f t="shared" si="125"/>
        <v>-0.54297057460619258</v>
      </c>
      <c r="W246" s="26">
        <f t="shared" si="126"/>
        <v>0.36749682188199706</v>
      </c>
      <c r="X246" s="26">
        <f t="shared" si="127"/>
        <v>0.20003013516468707</v>
      </c>
      <c r="Y246" s="26">
        <f t="shared" si="128"/>
        <v>0.42586800363432964</v>
      </c>
      <c r="Z246" s="26">
        <f t="shared" si="129"/>
        <v>0.60488655542561987</v>
      </c>
      <c r="AA246" s="26">
        <f t="shared" si="130"/>
        <v>0.46458525386269611</v>
      </c>
      <c r="AB246" s="26">
        <f t="shared" si="131"/>
        <v>0.61410136052492625</v>
      </c>
      <c r="AC246" s="26">
        <f t="shared" si="132"/>
        <v>0.93564629496501639</v>
      </c>
      <c r="AD246" s="26">
        <f t="shared" si="133"/>
        <v>0.71821939099550991</v>
      </c>
      <c r="AE246" s="26">
        <f t="shared" si="134"/>
        <v>3.9700155805470663E-2</v>
      </c>
      <c r="AF246" s="26">
        <f t="shared" si="135"/>
        <v>-2.4329262585119302</v>
      </c>
      <c r="AG246" s="26">
        <f t="shared" si="136"/>
        <v>8.0696118378148204E-2</v>
      </c>
      <c r="AH246" s="26">
        <f t="shared" si="137"/>
        <v>0.96278333399968052</v>
      </c>
      <c r="AI246" s="26">
        <f t="shared" si="138"/>
        <v>0.72367872874004968</v>
      </c>
      <c r="AJ246" s="26">
        <f t="shared" si="139"/>
        <v>-0.3491905117987828</v>
      </c>
      <c r="AK246" s="26">
        <f t="shared" si="140"/>
        <v>0.41357873361667835</v>
      </c>
      <c r="AL246" s="26">
        <f t="shared" si="141"/>
        <v>8.5523684449987702E-2</v>
      </c>
      <c r="AM246" s="27">
        <f t="shared" si="142"/>
        <v>0.42207708060494725</v>
      </c>
    </row>
    <row r="247" spans="1:39" ht="15" customHeight="1" x14ac:dyDescent="0.2">
      <c r="A247" s="24">
        <v>236</v>
      </c>
      <c r="B247" s="29">
        <f t="shared" si="143"/>
        <v>2.4159111003100144</v>
      </c>
      <c r="C247" s="29">
        <f t="shared" si="144"/>
        <v>-2.8737923158820347</v>
      </c>
      <c r="D247" s="29">
        <f t="shared" si="145"/>
        <v>-1.985447632380148</v>
      </c>
      <c r="E247" s="29">
        <f t="shared" si="146"/>
        <v>-0.34172478159239988</v>
      </c>
      <c r="F247" s="29">
        <f t="shared" si="147"/>
        <v>0.496732950797313</v>
      </c>
      <c r="G247" s="29">
        <f t="shared" si="148"/>
        <v>0.80999751540406062</v>
      </c>
      <c r="H247" s="29">
        <f t="shared" si="149"/>
        <v>2.3987441320604983</v>
      </c>
      <c r="I247" s="29">
        <f t="shared" si="150"/>
        <v>-0.31593344494564879</v>
      </c>
      <c r="J247" s="29">
        <f t="shared" si="151"/>
        <v>-0.31540042864344725</v>
      </c>
      <c r="K247" s="26">
        <f t="shared" si="114"/>
        <v>-1.985447632380148</v>
      </c>
      <c r="L247" s="26">
        <f t="shared" si="115"/>
        <v>0.12073931407620771</v>
      </c>
      <c r="M247" s="26">
        <f t="shared" si="116"/>
        <v>0.80999751540406062</v>
      </c>
      <c r="N247" s="26">
        <f t="shared" si="117"/>
        <v>0.69210897484920153</v>
      </c>
      <c r="O247" s="26">
        <f t="shared" si="118"/>
        <v>-0.24443808019604413</v>
      </c>
      <c r="P247" s="26">
        <f t="shared" si="119"/>
        <v>0.43919294719660329</v>
      </c>
      <c r="Q247" s="26">
        <f t="shared" si="120"/>
        <v>9.6445222433619179E-2</v>
      </c>
      <c r="R247" s="26">
        <f t="shared" si="121"/>
        <v>-4.8592399482621822</v>
      </c>
      <c r="S247" s="26">
        <f t="shared" si="122"/>
        <v>7.6966785593215528E-3</v>
      </c>
      <c r="T247" s="26">
        <f t="shared" si="123"/>
        <v>1.3067304662013737</v>
      </c>
      <c r="U247" s="26">
        <f t="shared" si="124"/>
        <v>0.78696553026537708</v>
      </c>
      <c r="V247" s="26">
        <f t="shared" si="125"/>
        <v>-0.5455667971431386</v>
      </c>
      <c r="W247" s="26">
        <f t="shared" si="126"/>
        <v>0.36689355623314668</v>
      </c>
      <c r="X247" s="26">
        <f t="shared" si="127"/>
        <v>0.20041188456955591</v>
      </c>
      <c r="Y247" s="26">
        <f t="shared" si="128"/>
        <v>0.43046346792986645</v>
      </c>
      <c r="Z247" s="26">
        <f t="shared" si="129"/>
        <v>0.60598433486162651</v>
      </c>
      <c r="AA247" s="26">
        <f t="shared" si="130"/>
        <v>0.46827273381166074</v>
      </c>
      <c r="AB247" s="26">
        <f t="shared" si="131"/>
        <v>0.61497485425727727</v>
      </c>
      <c r="AC247" s="26">
        <f t="shared" si="132"/>
        <v>0.94390981446601341</v>
      </c>
      <c r="AD247" s="26">
        <f t="shared" si="133"/>
        <v>0.71988874475105102</v>
      </c>
      <c r="AE247" s="26">
        <f t="shared" si="134"/>
        <v>3.9231157658570923E-2</v>
      </c>
      <c r="AF247" s="26">
        <f t="shared" si="135"/>
        <v>-2.4433288479521682</v>
      </c>
      <c r="AG247" s="26">
        <f t="shared" si="136"/>
        <v>7.9927768385217687E-2</v>
      </c>
      <c r="AH247" s="26">
        <f t="shared" si="137"/>
        <v>0.96500568460897374</v>
      </c>
      <c r="AI247" s="26">
        <f t="shared" si="138"/>
        <v>0.72412290638047683</v>
      </c>
      <c r="AJ247" s="26">
        <f t="shared" si="139"/>
        <v>-0.35244880761755526</v>
      </c>
      <c r="AK247" s="26">
        <f t="shared" si="140"/>
        <v>0.41278871784145588</v>
      </c>
      <c r="AL247" s="26">
        <f t="shared" si="141"/>
        <v>8.5197262788596531E-2</v>
      </c>
      <c r="AM247" s="27">
        <f t="shared" si="142"/>
        <v>0.42128552745034253</v>
      </c>
    </row>
    <row r="248" spans="1:39" ht="15" customHeight="1" x14ac:dyDescent="0.2">
      <c r="A248" s="24">
        <v>237</v>
      </c>
      <c r="B248" s="29">
        <f t="shared" si="143"/>
        <v>2.4306115619957795</v>
      </c>
      <c r="C248" s="29">
        <f t="shared" si="144"/>
        <v>-2.8887485040693042</v>
      </c>
      <c r="D248" s="29">
        <f t="shared" si="145"/>
        <v>-1.9956000089566788</v>
      </c>
      <c r="E248" s="29">
        <f t="shared" si="146"/>
        <v>-0.3396351857181964</v>
      </c>
      <c r="F248" s="29">
        <f t="shared" si="147"/>
        <v>0.49525871988535691</v>
      </c>
      <c r="G248" s="29">
        <f t="shared" si="148"/>
        <v>0.81158055852089384</v>
      </c>
      <c r="H248" s="29">
        <f t="shared" si="149"/>
        <v>2.4130462324497484</v>
      </c>
      <c r="I248" s="29">
        <f t="shared" si="150"/>
        <v>-0.31278864914741533</v>
      </c>
      <c r="J248" s="29">
        <f t="shared" si="151"/>
        <v>-0.32008854261421871</v>
      </c>
      <c r="K248" s="26">
        <f t="shared" si="114"/>
        <v>-1.9956000089566788</v>
      </c>
      <c r="L248" s="26">
        <f t="shared" si="115"/>
        <v>0.11966566744261906</v>
      </c>
      <c r="M248" s="26">
        <f t="shared" si="116"/>
        <v>0.81158055852089384</v>
      </c>
      <c r="N248" s="26">
        <f t="shared" si="117"/>
        <v>0.69244620943446145</v>
      </c>
      <c r="O248" s="26">
        <f t="shared" si="118"/>
        <v>-0.24791906909447572</v>
      </c>
      <c r="P248" s="26">
        <f t="shared" si="119"/>
        <v>0.43833575322702301</v>
      </c>
      <c r="Q248" s="26">
        <f t="shared" si="120"/>
        <v>9.6069116278550803E-2</v>
      </c>
      <c r="R248" s="26">
        <f t="shared" si="121"/>
        <v>-4.8843485130259827</v>
      </c>
      <c r="S248" s="26">
        <f t="shared" si="122"/>
        <v>7.5072647113161471E-3</v>
      </c>
      <c r="T248" s="26">
        <f t="shared" si="123"/>
        <v>1.3068392784062508</v>
      </c>
      <c r="U248" s="26">
        <f t="shared" si="124"/>
        <v>0.78698377214725412</v>
      </c>
      <c r="V248" s="26">
        <f t="shared" si="125"/>
        <v>-0.54813275677745121</v>
      </c>
      <c r="W248" s="26">
        <f t="shared" si="126"/>
        <v>0.36629773209442729</v>
      </c>
      <c r="X248" s="26">
        <f t="shared" si="127"/>
        <v>0.20078928217433312</v>
      </c>
      <c r="Y248" s="26">
        <f t="shared" si="128"/>
        <v>0.43501155303910077</v>
      </c>
      <c r="Z248" s="26">
        <f t="shared" si="129"/>
        <v>0.60706974389165547</v>
      </c>
      <c r="AA248" s="26">
        <f t="shared" si="130"/>
        <v>0.47194537280269744</v>
      </c>
      <c r="AB248" s="26">
        <f t="shared" si="131"/>
        <v>0.61584409656855077</v>
      </c>
      <c r="AC248" s="26">
        <f t="shared" si="132"/>
        <v>0.95216977266668679</v>
      </c>
      <c r="AD248" s="26">
        <f t="shared" si="133"/>
        <v>0.72155132741130068</v>
      </c>
      <c r="AE248" s="26">
        <f t="shared" si="134"/>
        <v>3.8766831633204338E-2</v>
      </c>
      <c r="AF248" s="26">
        <f t="shared" si="135"/>
        <v>-2.4537369510302032</v>
      </c>
      <c r="AG248" s="26">
        <f t="shared" si="136"/>
        <v>7.9165702310530758E-2</v>
      </c>
      <c r="AH248" s="26">
        <f t="shared" si="137"/>
        <v>0.9672040926880543</v>
      </c>
      <c r="AI248" s="26">
        <f t="shared" si="138"/>
        <v>0.72456186353743324</v>
      </c>
      <c r="AJ248" s="26">
        <f t="shared" si="139"/>
        <v>-0.35569276943416173</v>
      </c>
      <c r="AK248" s="26">
        <f t="shared" si="140"/>
        <v>0.41200262342056859</v>
      </c>
      <c r="AL248" s="26">
        <f t="shared" si="141"/>
        <v>8.487308085271543E-2</v>
      </c>
      <c r="AM248" s="27">
        <f t="shared" si="142"/>
        <v>0.42049831093880369</v>
      </c>
    </row>
    <row r="249" spans="1:39" ht="15" customHeight="1" x14ac:dyDescent="0.2">
      <c r="A249" s="24">
        <v>238</v>
      </c>
      <c r="B249" s="29">
        <f t="shared" si="143"/>
        <v>2.4452557724979269</v>
      </c>
      <c r="C249" s="29">
        <f t="shared" si="144"/>
        <v>-2.9036611590875538</v>
      </c>
      <c r="D249" s="29">
        <f t="shared" si="145"/>
        <v>-2.0057440872907928</v>
      </c>
      <c r="E249" s="29">
        <f t="shared" si="146"/>
        <v>-0.33754451402475594</v>
      </c>
      <c r="F249" s="29">
        <f t="shared" si="147"/>
        <v>0.49377606951659747</v>
      </c>
      <c r="G249" s="29">
        <f t="shared" si="148"/>
        <v>0.81314670933242317</v>
      </c>
      <c r="H249" s="29">
        <f t="shared" si="149"/>
        <v>2.4272972217758206</v>
      </c>
      <c r="I249" s="29">
        <f t="shared" si="150"/>
        <v>-0.30961792108742342</v>
      </c>
      <c r="J249" s="29">
        <f t="shared" si="151"/>
        <v>-0.32477418101932509</v>
      </c>
      <c r="K249" s="26">
        <f t="shared" si="114"/>
        <v>-2.0057440872907928</v>
      </c>
      <c r="L249" s="26">
        <f t="shared" si="115"/>
        <v>0.11860114763735286</v>
      </c>
      <c r="M249" s="26">
        <f t="shared" si="116"/>
        <v>0.81314670933242317</v>
      </c>
      <c r="N249" s="26">
        <f t="shared" si="117"/>
        <v>0.69277964332573705</v>
      </c>
      <c r="O249" s="26">
        <f t="shared" si="118"/>
        <v>-0.25139093779795596</v>
      </c>
      <c r="P249" s="26">
        <f t="shared" si="119"/>
        <v>0.43748117157608229</v>
      </c>
      <c r="Q249" s="26">
        <f t="shared" si="120"/>
        <v>9.5694887741790774E-2</v>
      </c>
      <c r="R249" s="26">
        <f t="shared" si="121"/>
        <v>-4.9094052463783466</v>
      </c>
      <c r="S249" s="26">
        <f t="shared" si="122"/>
        <v>7.3228546701888681E-3</v>
      </c>
      <c r="T249" s="26">
        <f t="shared" si="123"/>
        <v>1.3069227788490205</v>
      </c>
      <c r="U249" s="26">
        <f t="shared" si="124"/>
        <v>0.78699776985230385</v>
      </c>
      <c r="V249" s="26">
        <f t="shared" si="125"/>
        <v>-0.55066804962501636</v>
      </c>
      <c r="W249" s="26">
        <f t="shared" si="126"/>
        <v>0.36570943026343072</v>
      </c>
      <c r="X249" s="26">
        <f t="shared" si="127"/>
        <v>0.20116226342837082</v>
      </c>
      <c r="Y249" s="26">
        <f t="shared" si="128"/>
        <v>0.43951168520713413</v>
      </c>
      <c r="Z249" s="26">
        <f t="shared" si="129"/>
        <v>0.60814266895723823</v>
      </c>
      <c r="AA249" s="26">
        <f t="shared" si="130"/>
        <v>0.47560219530766723</v>
      </c>
      <c r="AB249" s="26">
        <f t="shared" si="131"/>
        <v>0.6167088608718384</v>
      </c>
      <c r="AC249" s="26">
        <f t="shared" si="132"/>
        <v>0.96042471436458021</v>
      </c>
      <c r="AD249" s="26">
        <f t="shared" si="133"/>
        <v>0.72320683195727431</v>
      </c>
      <c r="AE249" s="26">
        <f t="shared" si="134"/>
        <v>3.8307228937564289E-2</v>
      </c>
      <c r="AF249" s="26">
        <f t="shared" si="135"/>
        <v>-2.4641494738804197</v>
      </c>
      <c r="AG249" s="26">
        <f t="shared" si="136"/>
        <v>7.8409963512464015E-2</v>
      </c>
      <c r="AH249" s="26">
        <f t="shared" si="137"/>
        <v>0.9693782648242647</v>
      </c>
      <c r="AI249" s="26">
        <f t="shared" si="138"/>
        <v>0.72499555543766692</v>
      </c>
      <c r="AJ249" s="26">
        <f t="shared" si="139"/>
        <v>-0.35892151109820997</v>
      </c>
      <c r="AK249" s="26">
        <f t="shared" si="140"/>
        <v>0.41122066273984853</v>
      </c>
      <c r="AL249" s="26">
        <f t="shared" si="141"/>
        <v>8.4551216732100129E-2</v>
      </c>
      <c r="AM249" s="27">
        <f t="shared" si="142"/>
        <v>0.41971559683982601</v>
      </c>
    </row>
    <row r="250" spans="1:39" ht="15" customHeight="1" x14ac:dyDescent="0.2">
      <c r="A250" s="24">
        <v>239</v>
      </c>
      <c r="B250" s="29">
        <f t="shared" si="143"/>
        <v>2.4598422676992335</v>
      </c>
      <c r="C250" s="29">
        <f t="shared" si="144"/>
        <v>-2.9185286683378209</v>
      </c>
      <c r="D250" s="29">
        <f t="shared" si="145"/>
        <v>-2.0158789244133306</v>
      </c>
      <c r="E250" s="29">
        <f t="shared" si="146"/>
        <v>-0.33545352118318589</v>
      </c>
      <c r="F250" s="29">
        <f t="shared" si="147"/>
        <v>0.49228568918248455</v>
      </c>
      <c r="G250" s="29">
        <f t="shared" si="148"/>
        <v>0.81469575099761071</v>
      </c>
      <c r="H250" s="29">
        <f t="shared" si="149"/>
        <v>2.4414952387674793</v>
      </c>
      <c r="I250" s="29">
        <f t="shared" si="150"/>
        <v>-0.30642159642735389</v>
      </c>
      <c r="J250" s="29">
        <f t="shared" si="151"/>
        <v>-0.32945657914101767</v>
      </c>
      <c r="K250" s="26">
        <f t="shared" si="114"/>
        <v>-2.0158789244133306</v>
      </c>
      <c r="L250" s="26">
        <f t="shared" si="115"/>
        <v>0.11754579171823475</v>
      </c>
      <c r="M250" s="26">
        <f t="shared" si="116"/>
        <v>0.81469575099761071</v>
      </c>
      <c r="N250" s="26">
        <f t="shared" si="117"/>
        <v>0.69310923668142188</v>
      </c>
      <c r="O250" s="26">
        <f t="shared" si="118"/>
        <v>-0.25485272712625973</v>
      </c>
      <c r="P250" s="26">
        <f t="shared" si="119"/>
        <v>0.43662944019557504</v>
      </c>
      <c r="Q250" s="26">
        <f t="shared" si="120"/>
        <v>9.5322634022750624E-2</v>
      </c>
      <c r="R250" s="26">
        <f t="shared" si="121"/>
        <v>-4.9344075927511515</v>
      </c>
      <c r="S250" s="26">
        <f t="shared" si="122"/>
        <v>7.1433276333809003E-3</v>
      </c>
      <c r="T250" s="26">
        <f t="shared" si="123"/>
        <v>1.3069814401800952</v>
      </c>
      <c r="U250" s="26">
        <f t="shared" si="124"/>
        <v>0.78700760321943153</v>
      </c>
      <c r="V250" s="26">
        <f t="shared" si="125"/>
        <v>-0.55317230491412572</v>
      </c>
      <c r="W250" s="26">
        <f t="shared" si="126"/>
        <v>0.36512872366752802</v>
      </c>
      <c r="X250" s="26">
        <f t="shared" si="127"/>
        <v>0.201530768756011</v>
      </c>
      <c r="Y250" s="26">
        <f t="shared" si="128"/>
        <v>0.44396334328590292</v>
      </c>
      <c r="Z250" s="26">
        <f t="shared" si="129"/>
        <v>0.60920300984775722</v>
      </c>
      <c r="AA250" s="26">
        <f t="shared" si="130"/>
        <v>0.47924222981442482</v>
      </c>
      <c r="AB250" s="26">
        <f t="shared" si="131"/>
        <v>0.6175689224159755</v>
      </c>
      <c r="AC250" s="26">
        <f t="shared" si="132"/>
        <v>0.96867321373447568</v>
      </c>
      <c r="AD250" s="26">
        <f t="shared" si="133"/>
        <v>0.72485496216955592</v>
      </c>
      <c r="AE250" s="26">
        <f t="shared" si="134"/>
        <v>3.7852395921358251E-2</v>
      </c>
      <c r="AF250" s="26">
        <f t="shared" si="135"/>
        <v>-2.474565325051918</v>
      </c>
      <c r="AG250" s="26">
        <f t="shared" si="136"/>
        <v>7.7660592357663497E-2</v>
      </c>
      <c r="AH250" s="26">
        <f t="shared" si="137"/>
        <v>0.97152791899690938</v>
      </c>
      <c r="AI250" s="26">
        <f t="shared" si="138"/>
        <v>0.72542393967930285</v>
      </c>
      <c r="AJ250" s="26">
        <f t="shared" si="139"/>
        <v>-0.3621341743430726</v>
      </c>
      <c r="AK250" s="26">
        <f t="shared" si="140"/>
        <v>0.41044304086442079</v>
      </c>
      <c r="AL250" s="26">
        <f t="shared" si="141"/>
        <v>8.4231744897016306E-2</v>
      </c>
      <c r="AM250" s="27">
        <f t="shared" si="142"/>
        <v>0.41893754359713614</v>
      </c>
    </row>
    <row r="251" spans="1:39" ht="15" customHeight="1" x14ac:dyDescent="0.2">
      <c r="A251" s="24">
        <v>240</v>
      </c>
      <c r="B251" s="29">
        <f t="shared" si="143"/>
        <v>2.4743696471595569</v>
      </c>
      <c r="C251" s="29">
        <f t="shared" si="144"/>
        <v>-2.9333494744614299</v>
      </c>
      <c r="D251" s="29">
        <f t="shared" si="145"/>
        <v>-2.0260035894730257</v>
      </c>
      <c r="E251" s="29">
        <f t="shared" si="146"/>
        <v>-0.3333629648847613</v>
      </c>
      <c r="F251" s="29">
        <f t="shared" si="147"/>
        <v>0.49078827516232909</v>
      </c>
      <c r="G251" s="29">
        <f t="shared" si="148"/>
        <v>0.81622747448264665</v>
      </c>
      <c r="H251" s="29">
        <f t="shared" si="149"/>
        <v>2.4556384903848754</v>
      </c>
      <c r="I251" s="29">
        <f t="shared" si="150"/>
        <v>-0.30320002081261932</v>
      </c>
      <c r="J251" s="29">
        <f t="shared" si="151"/>
        <v>-0.33413499451377149</v>
      </c>
      <c r="K251" s="26">
        <f t="shared" si="114"/>
        <v>-2.0260035894730257</v>
      </c>
      <c r="L251" s="26">
        <f t="shared" si="115"/>
        <v>0.11649963247442766</v>
      </c>
      <c r="M251" s="26">
        <f t="shared" si="116"/>
        <v>0.81622747448264665</v>
      </c>
      <c r="N251" s="26">
        <f t="shared" si="117"/>
        <v>0.69343495137382294</v>
      </c>
      <c r="O251" s="26">
        <f t="shared" si="118"/>
        <v>-0.25830350458261597</v>
      </c>
      <c r="P251" s="26">
        <f t="shared" si="119"/>
        <v>0.43578078998270925</v>
      </c>
      <c r="Q251" s="26">
        <f t="shared" si="120"/>
        <v>9.4952448458977073E-2</v>
      </c>
      <c r="R251" s="26">
        <f t="shared" si="121"/>
        <v>-4.9593530639344561</v>
      </c>
      <c r="S251" s="26">
        <f t="shared" si="122"/>
        <v>6.9685645500822463E-3</v>
      </c>
      <c r="T251" s="26">
        <f t="shared" si="123"/>
        <v>1.3070157496449757</v>
      </c>
      <c r="U251" s="26">
        <f t="shared" si="124"/>
        <v>0.78701335434296948</v>
      </c>
      <c r="V251" s="26">
        <f t="shared" si="125"/>
        <v>-0.55564518459845558</v>
      </c>
      <c r="W251" s="26">
        <f t="shared" si="126"/>
        <v>0.36455567748840362</v>
      </c>
      <c r="X251" s="26">
        <f t="shared" si="127"/>
        <v>0.20189474350611089</v>
      </c>
      <c r="Y251" s="26">
        <f t="shared" si="128"/>
        <v>0.44836605768653115</v>
      </c>
      <c r="Z251" s="26">
        <f t="shared" si="129"/>
        <v>0.61025067936849386</v>
      </c>
      <c r="AA251" s="26">
        <f t="shared" si="130"/>
        <v>0.48286450959788535</v>
      </c>
      <c r="AB251" s="26">
        <f t="shared" si="131"/>
        <v>0.61842405846545756</v>
      </c>
      <c r="AC251" s="26">
        <f t="shared" si="132"/>
        <v>0.97691387512927008</v>
      </c>
      <c r="AD251" s="26">
        <f t="shared" si="133"/>
        <v>0.72649543270595829</v>
      </c>
      <c r="AE251" s="26">
        <f t="shared" si="134"/>
        <v>3.7402374165350492E-2</v>
      </c>
      <c r="AF251" s="26">
        <f t="shared" si="135"/>
        <v>-2.4849834167748988</v>
      </c>
      <c r="AG251" s="26">
        <f t="shared" si="136"/>
        <v>7.6917626189798055E-2</v>
      </c>
      <c r="AH251" s="26">
        <f t="shared" si="137"/>
        <v>0.97365278476021444</v>
      </c>
      <c r="AI251" s="26">
        <f t="shared" si="138"/>
        <v>0.72584697625043038</v>
      </c>
      <c r="AJ251" s="26">
        <f t="shared" si="139"/>
        <v>-0.3653299293589749</v>
      </c>
      <c r="AK251" s="26">
        <f t="shared" si="140"/>
        <v>0.40966995541697182</v>
      </c>
      <c r="AL251" s="26">
        <f t="shared" si="141"/>
        <v>8.3914736185671843E-2</v>
      </c>
      <c r="AM251" s="27">
        <f t="shared" si="142"/>
        <v>0.41816430231611029</v>
      </c>
    </row>
    <row r="252" spans="1:39" ht="15" customHeight="1" x14ac:dyDescent="0.2">
      <c r="A252" s="24">
        <v>241</v>
      </c>
      <c r="B252" s="29">
        <f t="shared" si="143"/>
        <v>2.4888365737283724</v>
      </c>
      <c r="C252" s="29">
        <f t="shared" si="144"/>
        <v>-2.9481220754530879</v>
      </c>
      <c r="D252" s="29">
        <f t="shared" si="145"/>
        <v>-2.0361171644604616</v>
      </c>
      <c r="E252" s="29">
        <f t="shared" si="146"/>
        <v>-0.33127360521070226</v>
      </c>
      <c r="F252" s="29">
        <f t="shared" si="147"/>
        <v>0.48928452993674137</v>
      </c>
      <c r="G252" s="29">
        <f t="shared" si="148"/>
        <v>0.81774167867154046</v>
      </c>
      <c r="H252" s="29">
        <f t="shared" si="149"/>
        <v>2.4697252519025072</v>
      </c>
      <c r="I252" s="29">
        <f t="shared" si="150"/>
        <v>-0.29995354910674521</v>
      </c>
      <c r="J252" s="29">
        <f t="shared" si="151"/>
        <v>-0.33880870733114765</v>
      </c>
      <c r="K252" s="26">
        <f t="shared" si="114"/>
        <v>-2.0361171644604616</v>
      </c>
      <c r="L252" s="26">
        <f t="shared" si="115"/>
        <v>0.11546269845647153</v>
      </c>
      <c r="M252" s="26">
        <f t="shared" si="116"/>
        <v>0.81774167867154046</v>
      </c>
      <c r="N252" s="26">
        <f t="shared" si="117"/>
        <v>0.69375675100454715</v>
      </c>
      <c r="O252" s="26">
        <f t="shared" si="118"/>
        <v>-0.2617423649809737</v>
      </c>
      <c r="P252" s="26">
        <f t="shared" si="119"/>
        <v>0.43493544463103551</v>
      </c>
      <c r="Q252" s="26">
        <f t="shared" si="120"/>
        <v>9.4584420498198277E-2</v>
      </c>
      <c r="R252" s="26">
        <f t="shared" si="121"/>
        <v>-4.9842392399135491</v>
      </c>
      <c r="S252" s="26">
        <f t="shared" si="122"/>
        <v>6.7984481722277081E-3</v>
      </c>
      <c r="T252" s="26">
        <f t="shared" si="123"/>
        <v>1.3070262086082818</v>
      </c>
      <c r="U252" s="26">
        <f t="shared" si="124"/>
        <v>0.78701510750401094</v>
      </c>
      <c r="V252" s="26">
        <f t="shared" si="125"/>
        <v>-0.55808638290290113</v>
      </c>
      <c r="W252" s="26">
        <f t="shared" si="126"/>
        <v>0.36399034930127805</v>
      </c>
      <c r="X252" s="26">
        <f t="shared" si="127"/>
        <v>0.20225413789095514</v>
      </c>
      <c r="Y252" s="26">
        <f t="shared" si="128"/>
        <v>0.45271940926791077</v>
      </c>
      <c r="Z252" s="26">
        <f t="shared" si="129"/>
        <v>0.61128560299477286</v>
      </c>
      <c r="AA252" s="26">
        <f t="shared" si="130"/>
        <v>0.4864680734608382</v>
      </c>
      <c r="AB252" s="26">
        <f t="shared" si="131"/>
        <v>0.61927404847131784</v>
      </c>
      <c r="AC252" s="26">
        <f t="shared" si="132"/>
        <v>0.98514533380081959</v>
      </c>
      <c r="AD252" s="26">
        <f t="shared" si="133"/>
        <v>0.72812796915481293</v>
      </c>
      <c r="AE252" s="26">
        <f t="shared" si="134"/>
        <v>3.6957200577943175E-2</v>
      </c>
      <c r="AF252" s="26">
        <f t="shared" si="135"/>
        <v>-2.4954026661851771</v>
      </c>
      <c r="AG252" s="26">
        <f t="shared" si="136"/>
        <v>7.6181099306373817E-2</v>
      </c>
      <c r="AH252" s="26">
        <f t="shared" si="137"/>
        <v>0.97575260339757963</v>
      </c>
      <c r="AI252" s="26">
        <f t="shared" si="138"/>
        <v>0.72626462754203447</v>
      </c>
      <c r="AJ252" s="26">
        <f t="shared" si="139"/>
        <v>-0.36850797527842527</v>
      </c>
      <c r="AK252" s="26">
        <f t="shared" si="140"/>
        <v>0.40890159647849944</v>
      </c>
      <c r="AL252" s="26">
        <f t="shared" si="141"/>
        <v>8.3600257801332789E-2</v>
      </c>
      <c r="AM252" s="27">
        <f t="shared" si="142"/>
        <v>0.41739601676842936</v>
      </c>
    </row>
    <row r="253" spans="1:39" ht="15" customHeight="1" x14ac:dyDescent="0.2">
      <c r="A253" s="24">
        <v>242</v>
      </c>
      <c r="B253" s="29">
        <f t="shared" si="143"/>
        <v>2.5032417730592038</v>
      </c>
      <c r="C253" s="29">
        <f t="shared" si="144"/>
        <v>-2.9628450246723461</v>
      </c>
      <c r="D253" s="29">
        <f t="shared" si="145"/>
        <v>-2.0462187448914433</v>
      </c>
      <c r="E253" s="29">
        <f t="shared" si="146"/>
        <v>-0.3291862040150943</v>
      </c>
      <c r="F253" s="29">
        <f t="shared" si="147"/>
        <v>0.48777516160392148</v>
      </c>
      <c r="G253" s="29">
        <f t="shared" si="148"/>
        <v>0.81923817045840597</v>
      </c>
      <c r="H253" s="29">
        <f t="shared" si="149"/>
        <v>2.4837538668691823</v>
      </c>
      <c r="I253" s="29">
        <f t="shared" si="150"/>
        <v>-0.29668254461363275</v>
      </c>
      <c r="J253" s="29">
        <f t="shared" si="151"/>
        <v>-0.34347702079710124</v>
      </c>
      <c r="K253" s="26">
        <f t="shared" si="114"/>
        <v>-2.0462187448914433</v>
      </c>
      <c r="L253" s="26">
        <f t="shared" si="115"/>
        <v>0.11443501401356429</v>
      </c>
      <c r="M253" s="26">
        <f t="shared" si="116"/>
        <v>0.81923817045840597</v>
      </c>
      <c r="N253" s="26">
        <f t="shared" si="117"/>
        <v>0.69407460091602113</v>
      </c>
      <c r="O253" s="26">
        <f t="shared" si="118"/>
        <v>-0.2651684309871386</v>
      </c>
      <c r="P253" s="26">
        <f t="shared" si="119"/>
        <v>0.43409362050392508</v>
      </c>
      <c r="Q253" s="26">
        <f t="shared" si="120"/>
        <v>9.4218635681102864E-2</v>
      </c>
      <c r="R253" s="26">
        <f t="shared" si="121"/>
        <v>-5.0090637695637898</v>
      </c>
      <c r="S253" s="26">
        <f t="shared" si="122"/>
        <v>6.6328631001478858E-3</v>
      </c>
      <c r="T253" s="26">
        <f t="shared" si="123"/>
        <v>1.3070133320623274</v>
      </c>
      <c r="U253" s="26">
        <f t="shared" si="124"/>
        <v>0.78701294909942354</v>
      </c>
      <c r="V253" s="26">
        <f t="shared" si="125"/>
        <v>-0.56049562580639145</v>
      </c>
      <c r="W253" s="26">
        <f t="shared" si="126"/>
        <v>0.36343278922774985</v>
      </c>
      <c r="X253" s="26">
        <f t="shared" si="127"/>
        <v>0.20260890691518121</v>
      </c>
      <c r="Y253" s="26">
        <f t="shared" si="128"/>
        <v>0.45702302816776053</v>
      </c>
      <c r="Z253" s="26">
        <f t="shared" si="129"/>
        <v>0.61230771851396759</v>
      </c>
      <c r="AA253" s="26">
        <f t="shared" si="130"/>
        <v>0.49005196644331167</v>
      </c>
      <c r="AB253" s="26">
        <f t="shared" si="131"/>
        <v>0.6201186742327166</v>
      </c>
      <c r="AC253" s="26">
        <f t="shared" si="132"/>
        <v>0.99336625654201804</v>
      </c>
      <c r="AD253" s="26">
        <f t="shared" si="133"/>
        <v>0.7297523080647188</v>
      </c>
      <c r="AE253" s="26">
        <f t="shared" si="134"/>
        <v>3.6516907498173323E-2</v>
      </c>
      <c r="AF253" s="26">
        <f t="shared" si="135"/>
        <v>-2.5058219965045856</v>
      </c>
      <c r="AG253" s="26">
        <f t="shared" si="136"/>
        <v>7.5451042943409402E-2</v>
      </c>
      <c r="AH253" s="26">
        <f t="shared" si="137"/>
        <v>0.97782712804723315</v>
      </c>
      <c r="AI253" s="26">
        <f t="shared" si="138"/>
        <v>0.72667685835535289</v>
      </c>
      <c r="AJ253" s="26">
        <f t="shared" si="139"/>
        <v>-0.37166754057580187</v>
      </c>
      <c r="AK253" s="26">
        <f t="shared" si="140"/>
        <v>0.40813814651098124</v>
      </c>
      <c r="AL253" s="26">
        <f t="shared" si="141"/>
        <v>8.3288373318709599E-2</v>
      </c>
      <c r="AM253" s="27">
        <f t="shared" si="142"/>
        <v>0.41663282341316699</v>
      </c>
    </row>
    <row r="254" spans="1:39" ht="15" customHeight="1" x14ac:dyDescent="0.2">
      <c r="A254" s="24">
        <v>243</v>
      </c>
      <c r="B254" s="29">
        <f t="shared" si="143"/>
        <v>2.5175840330314854</v>
      </c>
      <c r="C254" s="29">
        <f t="shared" si="144"/>
        <v>-2.9775169307576368</v>
      </c>
      <c r="D254" s="29">
        <f t="shared" si="145"/>
        <v>-2.0563074404492032</v>
      </c>
      <c r="E254" s="29">
        <f t="shared" si="146"/>
        <v>-0.32710152432212108</v>
      </c>
      <c r="F254" s="29">
        <f t="shared" si="147"/>
        <v>0.48626088330005318</v>
      </c>
      <c r="G254" s="29">
        <f t="shared" si="148"/>
        <v>0.82071676482155054</v>
      </c>
      <c r="H254" s="29">
        <f t="shared" si="149"/>
        <v>2.497722746949834</v>
      </c>
      <c r="I254" s="29">
        <f t="shared" si="150"/>
        <v>-0.29338737829020017</v>
      </c>
      <c r="J254" s="29">
        <f t="shared" si="151"/>
        <v>-0.34813926142330476</v>
      </c>
      <c r="K254" s="26">
        <f t="shared" si="114"/>
        <v>-2.0563074404492032</v>
      </c>
      <c r="L254" s="26">
        <f t="shared" si="115"/>
        <v>0.11341659933775511</v>
      </c>
      <c r="M254" s="26">
        <f t="shared" si="116"/>
        <v>0.82071676482155054</v>
      </c>
      <c r="N254" s="26">
        <f t="shared" si="117"/>
        <v>0.69438846819919531</v>
      </c>
      <c r="O254" s="26">
        <f t="shared" si="118"/>
        <v>-0.26858085357560829</v>
      </c>
      <c r="P254" s="26">
        <f t="shared" si="119"/>
        <v>0.43325552653007227</v>
      </c>
      <c r="Q254" s="26">
        <f t="shared" si="120"/>
        <v>9.3855175634425081E-2</v>
      </c>
      <c r="R254" s="26">
        <f t="shared" si="121"/>
        <v>-5.0338243712068405</v>
      </c>
      <c r="S254" s="26">
        <f t="shared" si="122"/>
        <v>6.4716958230241371E-3</v>
      </c>
      <c r="T254" s="26">
        <f t="shared" si="123"/>
        <v>1.3069776481216038</v>
      </c>
      <c r="U254" s="26">
        <f t="shared" si="124"/>
        <v>0.78700696756873245</v>
      </c>
      <c r="V254" s="26">
        <f t="shared" si="125"/>
        <v>-0.56287267046590816</v>
      </c>
      <c r="W254" s="26">
        <f t="shared" si="126"/>
        <v>0.36288304010117989</v>
      </c>
      <c r="X254" s="26">
        <f t="shared" si="127"/>
        <v>0.20295901029535737</v>
      </c>
      <c r="Y254" s="26">
        <f t="shared" si="128"/>
        <v>0.46127659258228215</v>
      </c>
      <c r="Z254" s="26">
        <f t="shared" si="129"/>
        <v>0.61331697565707433</v>
      </c>
      <c r="AA254" s="26">
        <f t="shared" si="130"/>
        <v>0.49361524049942945</v>
      </c>
      <c r="AB254" s="26">
        <f t="shared" si="131"/>
        <v>0.62095772004903516</v>
      </c>
      <c r="AC254" s="26">
        <f t="shared" si="132"/>
        <v>1.0015753422516009</v>
      </c>
      <c r="AD254" s="26">
        <f t="shared" si="133"/>
        <v>0.73136819695164101</v>
      </c>
      <c r="AE254" s="26">
        <f t="shared" si="134"/>
        <v>3.6081522804506168E-2</v>
      </c>
      <c r="AF254" s="26">
        <f t="shared" si="135"/>
        <v>-2.5162403381753546</v>
      </c>
      <c r="AG254" s="26">
        <f t="shared" si="136"/>
        <v>7.4727485267740798E-2</v>
      </c>
      <c r="AH254" s="26">
        <f t="shared" si="137"/>
        <v>0.97987612379948263</v>
      </c>
      <c r="AI254" s="26">
        <f t="shared" si="138"/>
        <v>0.7270836359037548</v>
      </c>
      <c r="AJ254" s="26">
        <f t="shared" si="139"/>
        <v>-0.37480788338321902</v>
      </c>
      <c r="AK254" s="26">
        <f t="shared" si="140"/>
        <v>0.40737978030132171</v>
      </c>
      <c r="AL254" s="26">
        <f t="shared" si="141"/>
        <v>8.297914269917657E-2</v>
      </c>
      <c r="AM254" s="27">
        <f t="shared" si="142"/>
        <v>0.4158748514334652</v>
      </c>
    </row>
    <row r="255" spans="1:39" ht="15" customHeight="1" x14ac:dyDescent="0.2">
      <c r="A255" s="24">
        <v>244</v>
      </c>
      <c r="B255" s="29">
        <f t="shared" si="143"/>
        <v>2.5318622030854585</v>
      </c>
      <c r="C255" s="29">
        <f t="shared" si="144"/>
        <v>-2.992136457447248</v>
      </c>
      <c r="D255" s="29">
        <f t="shared" si="145"/>
        <v>-2.066382375585071</v>
      </c>
      <c r="E255" s="29">
        <f t="shared" si="146"/>
        <v>-0.32502032973869555</v>
      </c>
      <c r="F255" s="29">
        <f t="shared" si="147"/>
        <v>0.48474241262499762</v>
      </c>
      <c r="G255" s="29">
        <f t="shared" si="148"/>
        <v>0.82217728487953257</v>
      </c>
      <c r="H255" s="29">
        <f t="shared" si="149"/>
        <v>2.5116303716542703</v>
      </c>
      <c r="I255" s="29">
        <f t="shared" si="150"/>
        <v>-0.29006842795185334</v>
      </c>
      <c r="J255" s="29">
        <f t="shared" si="151"/>
        <v>-0.35279477927419811</v>
      </c>
      <c r="K255" s="26">
        <f t="shared" si="114"/>
        <v>-2.066382375585071</v>
      </c>
      <c r="L255" s="26">
        <f t="shared" si="115"/>
        <v>0.11240747051470436</v>
      </c>
      <c r="M255" s="26">
        <f t="shared" si="116"/>
        <v>0.82217728487953257</v>
      </c>
      <c r="N255" s="26">
        <f t="shared" si="117"/>
        <v>0.69469832169748746</v>
      </c>
      <c r="O255" s="26">
        <f t="shared" si="118"/>
        <v>-0.27197881240421584</v>
      </c>
      <c r="P255" s="26">
        <f t="shared" si="119"/>
        <v>0.43242136412042415</v>
      </c>
      <c r="Q255" s="26">
        <f t="shared" si="120"/>
        <v>9.3494118073884219E-2</v>
      </c>
      <c r="R255" s="26">
        <f t="shared" si="121"/>
        <v>-5.058518833032319</v>
      </c>
      <c r="S255" s="26">
        <f t="shared" si="122"/>
        <v>6.3148347543068731E-3</v>
      </c>
      <c r="T255" s="26">
        <f t="shared" si="123"/>
        <v>1.3069196975045303</v>
      </c>
      <c r="U255" s="26">
        <f t="shared" si="124"/>
        <v>0.78699725331904447</v>
      </c>
      <c r="V255" s="26">
        <f t="shared" si="125"/>
        <v>-0.56521730458598474</v>
      </c>
      <c r="W255" s="26">
        <f t="shared" si="126"/>
        <v>0.36234113764353781</v>
      </c>
      <c r="X255" s="26">
        <f t="shared" si="127"/>
        <v>0.2033044123708688</v>
      </c>
      <c r="Y255" s="26">
        <f t="shared" si="128"/>
        <v>0.46547982750038752</v>
      </c>
      <c r="Z255" s="26">
        <f t="shared" si="129"/>
        <v>0.61431333572150415</v>
      </c>
      <c r="AA255" s="26">
        <f t="shared" si="130"/>
        <v>0.49715695514083702</v>
      </c>
      <c r="AB255" s="26">
        <f t="shared" si="131"/>
        <v>0.62179097286230223</v>
      </c>
      <c r="AC255" s="26">
        <f t="shared" si="132"/>
        <v>1.0097713224233564</v>
      </c>
      <c r="AD255" s="26">
        <f t="shared" si="133"/>
        <v>0.73297539428428726</v>
      </c>
      <c r="AE255" s="26">
        <f t="shared" si="134"/>
        <v>3.5651070028815922E-2</v>
      </c>
      <c r="AF255" s="26">
        <f t="shared" si="135"/>
        <v>-2.5266566299468605</v>
      </c>
      <c r="AG255" s="26">
        <f t="shared" si="136"/>
        <v>7.4010451376698205E-2</v>
      </c>
      <c r="AH255" s="26">
        <f t="shared" si="137"/>
        <v>0.98189936776583464</v>
      </c>
      <c r="AI255" s="26">
        <f t="shared" si="138"/>
        <v>0.72748492980924817</v>
      </c>
      <c r="AJ255" s="26">
        <f t="shared" si="139"/>
        <v>-0.37792829172507425</v>
      </c>
      <c r="AK255" s="26">
        <f t="shared" si="140"/>
        <v>0.40662666492587374</v>
      </c>
      <c r="AL255" s="26">
        <f t="shared" si="141"/>
        <v>8.2672622314369393E-2</v>
      </c>
      <c r="AM255" s="27">
        <f t="shared" si="142"/>
        <v>0.41512222278793831</v>
      </c>
    </row>
    <row r="256" spans="1:39" ht="15" customHeight="1" x14ac:dyDescent="0.2">
      <c r="A256" s="24">
        <v>245</v>
      </c>
      <c r="B256" s="29">
        <f t="shared" si="143"/>
        <v>2.5460751934757213</v>
      </c>
      <c r="C256" s="29">
        <f t="shared" si="144"/>
        <v>-3.0067023233117407</v>
      </c>
      <c r="D256" s="29">
        <f t="shared" si="145"/>
        <v>-2.0764426900774198</v>
      </c>
      <c r="E256" s="29">
        <f t="shared" si="146"/>
        <v>-0.32294338388349197</v>
      </c>
      <c r="F256" s="29">
        <f t="shared" si="147"/>
        <v>0.48322047107442345</v>
      </c>
      <c r="G256" s="29">
        <f t="shared" si="148"/>
        <v>0.82361956192940233</v>
      </c>
      <c r="H256" s="29">
        <f t="shared" si="149"/>
        <v>2.5254752879580979</v>
      </c>
      <c r="I256" s="29">
        <f t="shared" si="150"/>
        <v>-0.28672607747318057</v>
      </c>
      <c r="J256" s="29">
        <f t="shared" si="151"/>
        <v>-0.35744294816159927</v>
      </c>
      <c r="K256" s="26">
        <f t="shared" si="114"/>
        <v>-2.0764426900774198</v>
      </c>
      <c r="L256" s="26">
        <f t="shared" si="115"/>
        <v>0.11140763958064953</v>
      </c>
      <c r="M256" s="26">
        <f t="shared" si="116"/>
        <v>0.82361956192940233</v>
      </c>
      <c r="N256" s="26">
        <f t="shared" si="117"/>
        <v>0.69500413200703792</v>
      </c>
      <c r="O256" s="26">
        <f t="shared" si="118"/>
        <v>-0.27536151610895698</v>
      </c>
      <c r="P256" s="26">
        <f t="shared" si="119"/>
        <v>0.4315913271058705</v>
      </c>
      <c r="Q256" s="26">
        <f t="shared" si="120"/>
        <v>9.3135536816503259E-2</v>
      </c>
      <c r="R256" s="26">
        <f t="shared" si="121"/>
        <v>-5.08314501338916</v>
      </c>
      <c r="S256" s="26">
        <f t="shared" si="122"/>
        <v>6.1621702622662805E-3</v>
      </c>
      <c r="T256" s="26">
        <f t="shared" si="123"/>
        <v>1.3068400330038257</v>
      </c>
      <c r="U256" s="26">
        <f t="shared" si="124"/>
        <v>0.7869838986482014</v>
      </c>
      <c r="V256" s="26">
        <f t="shared" si="125"/>
        <v>-0.5675293457380054</v>
      </c>
      <c r="W256" s="26">
        <f t="shared" si="126"/>
        <v>0.36180711065263321</v>
      </c>
      <c r="X256" s="26">
        <f t="shared" si="127"/>
        <v>0.20364508200677015</v>
      </c>
      <c r="Y256" s="26">
        <f t="shared" si="128"/>
        <v>0.46963250339830154</v>
      </c>
      <c r="Z256" s="26">
        <f t="shared" si="129"/>
        <v>0.61529677118667825</v>
      </c>
      <c r="AA256" s="26">
        <f t="shared" si="130"/>
        <v>0.50067617804591036</v>
      </c>
      <c r="AB256" s="26">
        <f t="shared" si="131"/>
        <v>0.62261822238982334</v>
      </c>
      <c r="AC256" s="26">
        <f t="shared" si="132"/>
        <v>1.0179529615616063</v>
      </c>
      <c r="AD256" s="26">
        <f t="shared" si="133"/>
        <v>0.73457366944873059</v>
      </c>
      <c r="AE256" s="26">
        <f t="shared" si="134"/>
        <v>3.5225568474955865E-2</v>
      </c>
      <c r="AF256" s="26">
        <f t="shared" si="135"/>
        <v>-2.5370698199134392</v>
      </c>
      <c r="AG256" s="26">
        <f t="shared" si="136"/>
        <v>7.3299963304873456E-2</v>
      </c>
      <c r="AH256" s="26">
        <f t="shared" si="137"/>
        <v>0.98389664912033381</v>
      </c>
      <c r="AI256" s="26">
        <f t="shared" si="138"/>
        <v>0.72788071209374006</v>
      </c>
      <c r="AJ256" s="26">
        <f t="shared" si="139"/>
        <v>-0.38102808367392949</v>
      </c>
      <c r="AK256" s="26">
        <f t="shared" si="140"/>
        <v>0.40587895973476457</v>
      </c>
      <c r="AL256" s="26">
        <f t="shared" si="141"/>
        <v>8.236886497768732E-2</v>
      </c>
      <c r="AM256" s="27">
        <f t="shared" si="142"/>
        <v>0.41437505227591659</v>
      </c>
    </row>
    <row r="257" spans="1:39" ht="15" customHeight="1" x14ac:dyDescent="0.2">
      <c r="A257" s="24">
        <v>246</v>
      </c>
      <c r="B257" s="29">
        <f t="shared" si="143"/>
        <v>2.5602219744490484</v>
      </c>
      <c r="C257" s="29">
        <f t="shared" si="144"/>
        <v>-3.0212133014024101</v>
      </c>
      <c r="D257" s="29">
        <f t="shared" si="145"/>
        <v>-2.0864875395488931</v>
      </c>
      <c r="E257" s="29">
        <f t="shared" si="146"/>
        <v>-0.32087144983329724</v>
      </c>
      <c r="F257" s="29">
        <f t="shared" si="147"/>
        <v>0.48169578347944747</v>
      </c>
      <c r="G257" s="29">
        <f t="shared" si="148"/>
        <v>0.82504343546739001</v>
      </c>
      <c r="H257" s="29">
        <f t="shared" si="149"/>
        <v>2.5392561098212205</v>
      </c>
      <c r="I257" s="29">
        <f t="shared" si="150"/>
        <v>-0.28336071598619877</v>
      </c>
      <c r="J257" s="29">
        <f t="shared" si="151"/>
        <v>-0.36208316579081401</v>
      </c>
      <c r="K257" s="26">
        <f t="shared" si="114"/>
        <v>-2.0864875395488931</v>
      </c>
      <c r="L257" s="26">
        <f t="shared" si="115"/>
        <v>0.11041711458520519</v>
      </c>
      <c r="M257" s="26">
        <f t="shared" si="116"/>
        <v>0.82504343546739001</v>
      </c>
      <c r="N257" s="26">
        <f t="shared" si="117"/>
        <v>0.69530587147335221</v>
      </c>
      <c r="O257" s="26">
        <f t="shared" si="118"/>
        <v>-0.27872820252159891</v>
      </c>
      <c r="P257" s="26">
        <f t="shared" si="119"/>
        <v>0.43076560169496791</v>
      </c>
      <c r="Q257" s="26">
        <f t="shared" si="120"/>
        <v>9.2779501801813866E-2</v>
      </c>
      <c r="R257" s="26">
        <f t="shared" si="121"/>
        <v>-5.1077008409513027</v>
      </c>
      <c r="S257" s="26">
        <f t="shared" si="122"/>
        <v>6.0135946958521751E-3</v>
      </c>
      <c r="T257" s="26">
        <f t="shared" si="123"/>
        <v>1.3067392189468374</v>
      </c>
      <c r="U257" s="26">
        <f t="shared" si="124"/>
        <v>0.78696699766633427</v>
      </c>
      <c r="V257" s="26">
        <f t="shared" si="125"/>
        <v>-0.56980864063362457</v>
      </c>
      <c r="W257" s="26">
        <f t="shared" si="126"/>
        <v>0.36128098119866403</v>
      </c>
      <c r="X257" s="26">
        <f t="shared" si="127"/>
        <v>0.20398099248927068</v>
      </c>
      <c r="Y257" s="26">
        <f t="shared" si="128"/>
        <v>0.47373443490015532</v>
      </c>
      <c r="Z257" s="26">
        <f t="shared" si="129"/>
        <v>0.61626726532393883</v>
      </c>
      <c r="AA257" s="26">
        <f t="shared" si="130"/>
        <v>0.50417198563409271</v>
      </c>
      <c r="AB257" s="26">
        <f t="shared" si="131"/>
        <v>0.62343926124691451</v>
      </c>
      <c r="AC257" s="26">
        <f t="shared" si="132"/>
        <v>1.0261190575249803</v>
      </c>
      <c r="AD257" s="26">
        <f t="shared" si="133"/>
        <v>0.73616280269327727</v>
      </c>
      <c r="AE257" s="26">
        <f t="shared" si="134"/>
        <v>3.4805033341333266E-2</v>
      </c>
      <c r="AF257" s="26">
        <f t="shared" si="135"/>
        <v>-2.5474788665022547</v>
      </c>
      <c r="AG257" s="26">
        <f t="shared" si="136"/>
        <v>7.2596040037675433E-2</v>
      </c>
      <c r="AH257" s="26">
        <f t="shared" si="137"/>
        <v>0.98586776911354024</v>
      </c>
      <c r="AI257" s="26">
        <f t="shared" si="138"/>
        <v>0.72827095716517876</v>
      </c>
      <c r="AJ257" s="26">
        <f t="shared" si="139"/>
        <v>-0.3841066074306001</v>
      </c>
      <c r="AK257" s="26">
        <f t="shared" si="140"/>
        <v>0.40513681635521043</v>
      </c>
      <c r="AL257" s="26">
        <f t="shared" si="141"/>
        <v>8.2067919983217746E-2</v>
      </c>
      <c r="AM257" s="27">
        <f t="shared" si="142"/>
        <v>0.41363344761563559</v>
      </c>
    </row>
    <row r="258" spans="1:39" ht="15" customHeight="1" x14ac:dyDescent="0.2">
      <c r="A258" s="24">
        <v>247</v>
      </c>
      <c r="B258" s="29">
        <f t="shared" si="143"/>
        <v>2.5743015753520768</v>
      </c>
      <c r="C258" s="29">
        <f t="shared" si="144"/>
        <v>-3.0356682188204669</v>
      </c>
      <c r="D258" s="29">
        <f t="shared" si="145"/>
        <v>-2.0965160959420803</v>
      </c>
      <c r="E258" s="29">
        <f t="shared" si="146"/>
        <v>-0.31880528958751414</v>
      </c>
      <c r="F258" s="29">
        <f t="shared" si="147"/>
        <v>0.48016907745479742</v>
      </c>
      <c r="G258" s="29">
        <f t="shared" si="148"/>
        <v>0.82644875319234734</v>
      </c>
      <c r="H258" s="29">
        <f t="shared" si="149"/>
        <v>2.5529715176094099</v>
      </c>
      <c r="I258" s="29">
        <f t="shared" si="150"/>
        <v>-0.27997273707840231</v>
      </c>
      <c r="J258" s="29">
        <f t="shared" si="151"/>
        <v>-0.36671485386027203</v>
      </c>
      <c r="K258" s="26">
        <f t="shared" si="114"/>
        <v>-2.0965160959420803</v>
      </c>
      <c r="L258" s="26">
        <f t="shared" si="115"/>
        <v>0.10943589965961663</v>
      </c>
      <c r="M258" s="26">
        <f t="shared" si="116"/>
        <v>0.82644875319234734</v>
      </c>
      <c r="N258" s="26">
        <f t="shared" si="117"/>
        <v>0.69560351418441868</v>
      </c>
      <c r="O258" s="26">
        <f t="shared" si="118"/>
        <v>-0.28207813881287641</v>
      </c>
      <c r="P258" s="26">
        <f t="shared" si="119"/>
        <v>0.42994436645092421</v>
      </c>
      <c r="Q258" s="26">
        <f t="shared" si="120"/>
        <v>9.2426079121443308E-2</v>
      </c>
      <c r="R258" s="26">
        <f t="shared" si="121"/>
        <v>-5.1321843147625472</v>
      </c>
      <c r="S258" s="26">
        <f t="shared" si="122"/>
        <v>5.8690024060463909E-3</v>
      </c>
      <c r="T258" s="26">
        <f t="shared" si="123"/>
        <v>1.3066178306471448</v>
      </c>
      <c r="U258" s="26">
        <f t="shared" si="124"/>
        <v>0.78694664621599464</v>
      </c>
      <c r="V258" s="26">
        <f t="shared" si="125"/>
        <v>-0.57205506435661568</v>
      </c>
      <c r="W258" s="26">
        <f t="shared" si="126"/>
        <v>0.36076276482902875</v>
      </c>
      <c r="X258" s="26">
        <f t="shared" si="127"/>
        <v>0.20431212141451377</v>
      </c>
      <c r="Y258" s="26">
        <f t="shared" si="128"/>
        <v>0.47778547940999649</v>
      </c>
      <c r="Z258" s="26">
        <f t="shared" si="129"/>
        <v>0.61722481180222677</v>
      </c>
      <c r="AA258" s="26">
        <f t="shared" si="130"/>
        <v>0.50764346360483326</v>
      </c>
      <c r="AB258" s="26">
        <f t="shared" si="131"/>
        <v>0.62425388505967938</v>
      </c>
      <c r="AC258" s="26">
        <f t="shared" si="132"/>
        <v>1.0342684418006565</v>
      </c>
      <c r="AD258" s="26">
        <f t="shared" si="133"/>
        <v>0.73774258505460377</v>
      </c>
      <c r="AE258" s="26">
        <f t="shared" si="134"/>
        <v>3.4389475846920869E-2</v>
      </c>
      <c r="AF258" s="26">
        <f t="shared" si="135"/>
        <v>-2.5578827394104704</v>
      </c>
      <c r="AG258" s="26">
        <f t="shared" si="136"/>
        <v>7.1898697531355513E-2</v>
      </c>
      <c r="AH258" s="26">
        <f t="shared" si="137"/>
        <v>0.98781254105963057</v>
      </c>
      <c r="AI258" s="26">
        <f t="shared" si="138"/>
        <v>0.72865564179872444</v>
      </c>
      <c r="AJ258" s="26">
        <f t="shared" si="139"/>
        <v>-0.38716324133151614</v>
      </c>
      <c r="AK258" s="26">
        <f t="shared" si="140"/>
        <v>0.40440037871295392</v>
      </c>
      <c r="AL258" s="26">
        <f t="shared" si="141"/>
        <v>8.1769833151590282E-2</v>
      </c>
      <c r="AM258" s="27">
        <f t="shared" si="142"/>
        <v>0.41289750953446824</v>
      </c>
    </row>
    <row r="259" spans="1:39" ht="15" customHeight="1" x14ac:dyDescent="0.2">
      <c r="A259" s="24">
        <v>248</v>
      </c>
      <c r="B259" s="29">
        <f t="shared" si="143"/>
        <v>2.5883130836743926</v>
      </c>
      <c r="C259" s="29">
        <f t="shared" si="144"/>
        <v>-3.0500659562116597</v>
      </c>
      <c r="D259" s="29">
        <f t="shared" si="145"/>
        <v>-2.1065275479539709</v>
      </c>
      <c r="E259" s="29">
        <f t="shared" si="146"/>
        <v>-0.31674566355156542</v>
      </c>
      <c r="F259" s="29">
        <f t="shared" si="147"/>
        <v>0.47864108285644236</v>
      </c>
      <c r="G259" s="29">
        <f t="shared" si="148"/>
        <v>0.82783537099229354</v>
      </c>
      <c r="H259" s="29">
        <f t="shared" si="149"/>
        <v>2.5666202574245385</v>
      </c>
      <c r="I259" s="29">
        <f t="shared" si="150"/>
        <v>-0.2765625379927833</v>
      </c>
      <c r="J259" s="29">
        <f t="shared" si="151"/>
        <v>-0.37133745811679009</v>
      </c>
      <c r="K259" s="26">
        <f t="shared" si="114"/>
        <v>-2.1065275479539709</v>
      </c>
      <c r="L259" s="26">
        <f t="shared" si="115"/>
        <v>0.10846399509008045</v>
      </c>
      <c r="M259" s="26">
        <f t="shared" si="116"/>
        <v>0.82783537099229354</v>
      </c>
      <c r="N259" s="26">
        <f t="shared" si="117"/>
        <v>0.69589703596039354</v>
      </c>
      <c r="O259" s="26">
        <f t="shared" si="118"/>
        <v>-0.28541062156425556</v>
      </c>
      <c r="P259" s="26">
        <f t="shared" si="119"/>
        <v>0.42912779228701786</v>
      </c>
      <c r="Q259" s="26">
        <f t="shared" si="120"/>
        <v>9.2075331056564971E-2</v>
      </c>
      <c r="R259" s="26">
        <f t="shared" si="121"/>
        <v>-5.156593504165631</v>
      </c>
      <c r="S259" s="26">
        <f t="shared" si="122"/>
        <v>5.7282897628963365E-3</v>
      </c>
      <c r="T259" s="26">
        <f t="shared" si="123"/>
        <v>1.3064764538487359</v>
      </c>
      <c r="U259" s="26">
        <f t="shared" si="124"/>
        <v>0.78692294179103617</v>
      </c>
      <c r="V259" s="26">
        <f t="shared" si="125"/>
        <v>-0.57426851955741898</v>
      </c>
      <c r="W259" s="26">
        <f t="shared" si="126"/>
        <v>0.36025247078037004</v>
      </c>
      <c r="X259" s="26">
        <f t="shared" si="127"/>
        <v>0.20463845057131064</v>
      </c>
      <c r="Y259" s="26">
        <f t="shared" si="128"/>
        <v>0.48178553572042171</v>
      </c>
      <c r="Z259" s="26">
        <f t="shared" si="129"/>
        <v>0.61816941429089001</v>
      </c>
      <c r="AA259" s="26">
        <f t="shared" si="130"/>
        <v>0.51108970744072812</v>
      </c>
      <c r="AB259" s="26">
        <f t="shared" si="131"/>
        <v>0.62506189256780476</v>
      </c>
      <c r="AC259" s="26">
        <f t="shared" si="132"/>
        <v>1.0423999797113457</v>
      </c>
      <c r="AD259" s="26">
        <f t="shared" si="133"/>
        <v>0.73931281826619866</v>
      </c>
      <c r="AE259" s="26">
        <f t="shared" si="134"/>
        <v>3.3978903360155986E-2</v>
      </c>
      <c r="AF259" s="26">
        <f t="shared" si="135"/>
        <v>-2.5682804204912379</v>
      </c>
      <c r="AG259" s="26">
        <f t="shared" si="136"/>
        <v>7.1207948739170204E-2</v>
      </c>
      <c r="AH259" s="26">
        <f t="shared" si="137"/>
        <v>0.98973079029717048</v>
      </c>
      <c r="AI259" s="26">
        <f t="shared" si="138"/>
        <v>0.72903474511309785</v>
      </c>
      <c r="AJ259" s="26">
        <f t="shared" si="139"/>
        <v>-0.39019739378658791</v>
      </c>
      <c r="AK259" s="26">
        <f t="shared" si="140"/>
        <v>0.40366978307092583</v>
      </c>
      <c r="AL259" s="26">
        <f t="shared" si="141"/>
        <v>8.1474646882264162E-2</v>
      </c>
      <c r="AM259" s="27">
        <f t="shared" si="142"/>
        <v>0.41216733187029575</v>
      </c>
    </row>
    <row r="260" spans="1:39" ht="15" customHeight="1" x14ac:dyDescent="0.2">
      <c r="A260" s="24">
        <v>249</v>
      </c>
      <c r="B260" s="29">
        <f t="shared" si="143"/>
        <v>2.6022556440324855</v>
      </c>
      <c r="C260" s="29">
        <f t="shared" si="144"/>
        <v>-3.0644054471910773</v>
      </c>
      <c r="D260" s="29">
        <f t="shared" si="145"/>
        <v>-2.1165211014296621</v>
      </c>
      <c r="E260" s="29">
        <f t="shared" si="146"/>
        <v>-0.31469333003986311</v>
      </c>
      <c r="F260" s="29">
        <f t="shared" si="147"/>
        <v>0.47711253124956965</v>
      </c>
      <c r="G260" s="29">
        <f t="shared" si="148"/>
        <v>0.82920315291445124</v>
      </c>
      <c r="H260" s="29">
        <f t="shared" si="149"/>
        <v>2.5802011403491014</v>
      </c>
      <c r="I260" s="29">
        <f t="shared" si="150"/>
        <v>-0.27313051883189665</v>
      </c>
      <c r="J260" s="29">
        <f t="shared" si="151"/>
        <v>-0.37595044836861458</v>
      </c>
      <c r="K260" s="26">
        <f t="shared" si="114"/>
        <v>-2.1165211014296621</v>
      </c>
      <c r="L260" s="26">
        <f t="shared" si="115"/>
        <v>0.10750139739574223</v>
      </c>
      <c r="M260" s="26">
        <f t="shared" si="116"/>
        <v>0.82920315291445124</v>
      </c>
      <c r="N260" s="26">
        <f t="shared" si="117"/>
        <v>0.69618641433995454</v>
      </c>
      <c r="O260" s="26">
        <f t="shared" si="118"/>
        <v>-0.28872497677138809</v>
      </c>
      <c r="P260" s="26">
        <f t="shared" si="119"/>
        <v>0.42831604247959892</v>
      </c>
      <c r="Q260" s="26">
        <f t="shared" si="120"/>
        <v>9.172731612269279E-2</v>
      </c>
      <c r="R260" s="26">
        <f t="shared" si="121"/>
        <v>-5.1809265486207394</v>
      </c>
      <c r="S260" s="26">
        <f t="shared" si="122"/>
        <v>5.5913551684223647E-3</v>
      </c>
      <c r="T260" s="26">
        <f t="shared" si="123"/>
        <v>1.3063156841640209</v>
      </c>
      <c r="U260" s="26">
        <f t="shared" si="124"/>
        <v>0.78689598345441247</v>
      </c>
      <c r="V260" s="26">
        <f t="shared" si="125"/>
        <v>-0.57644893561459365</v>
      </c>
      <c r="W260" s="26">
        <f t="shared" si="126"/>
        <v>0.35975010219683851</v>
      </c>
      <c r="X260" s="26">
        <f t="shared" si="127"/>
        <v>0.20495996581847933</v>
      </c>
      <c r="Y260" s="26">
        <f t="shared" si="128"/>
        <v>0.48573454260282345</v>
      </c>
      <c r="Z260" s="26">
        <f t="shared" si="129"/>
        <v>0.6191010860609284</v>
      </c>
      <c r="AA260" s="26">
        <f t="shared" si="130"/>
        <v>0.51450982287458813</v>
      </c>
      <c r="AB260" s="26">
        <f t="shared" si="131"/>
        <v>0.62586308571737881</v>
      </c>
      <c r="AC260" s="26">
        <f t="shared" si="132"/>
        <v>1.0505125705574403</v>
      </c>
      <c r="AD260" s="26">
        <f t="shared" si="133"/>
        <v>0.7408733146501667</v>
      </c>
      <c r="AE260" s="26">
        <f t="shared" si="134"/>
        <v>3.3573319530195753E-2</v>
      </c>
      <c r="AF260" s="26">
        <f t="shared" si="135"/>
        <v>-2.5786709045882539</v>
      </c>
      <c r="AG260" s="26">
        <f t="shared" si="136"/>
        <v>7.0523803643337726E-2</v>
      </c>
      <c r="AH260" s="26">
        <f t="shared" si="137"/>
        <v>0.99162235412415778</v>
      </c>
      <c r="AI260" s="26">
        <f t="shared" si="138"/>
        <v>0.72940824854226849</v>
      </c>
      <c r="AJ260" s="26">
        <f t="shared" si="139"/>
        <v>-0.39320850315093325</v>
      </c>
      <c r="AK260" s="26">
        <f t="shared" si="140"/>
        <v>0.40294515808420334</v>
      </c>
      <c r="AL260" s="26">
        <f t="shared" si="141"/>
        <v>8.1182400211751812E-2</v>
      </c>
      <c r="AM260" s="27">
        <f t="shared" si="142"/>
        <v>0.4114430016831197</v>
      </c>
    </row>
    <row r="261" spans="1:39" ht="15" customHeight="1" x14ac:dyDescent="0.2">
      <c r="A261" s="24">
        <v>250</v>
      </c>
      <c r="B261" s="29">
        <f t="shared" si="143"/>
        <v>2.6161284570999426</v>
      </c>
      <c r="C261" s="29">
        <f t="shared" si="144"/>
        <v>-3.0786856777028695</v>
      </c>
      <c r="D261" s="29">
        <f t="shared" si="145"/>
        <v>-2.1264959797159255</v>
      </c>
      <c r="E261" s="29">
        <f t="shared" si="146"/>
        <v>-0.31264904479892502</v>
      </c>
      <c r="F261" s="29">
        <f t="shared" si="147"/>
        <v>0.47558415538772197</v>
      </c>
      <c r="G261" s="29">
        <f t="shared" si="148"/>
        <v>0.83055197111919443</v>
      </c>
      <c r="H261" s="29">
        <f t="shared" si="149"/>
        <v>2.5937130416106817</v>
      </c>
      <c r="I261" s="29">
        <f t="shared" si="150"/>
        <v>-0.26967708176795019</v>
      </c>
      <c r="J261" s="29">
        <f t="shared" si="151"/>
        <v>-0.38055331845844365</v>
      </c>
      <c r="K261" s="26">
        <f t="shared" si="114"/>
        <v>-2.1264959797159255</v>
      </c>
      <c r="L261" s="26">
        <f t="shared" si="115"/>
        <v>0.10654809941098189</v>
      </c>
      <c r="M261" s="26">
        <f t="shared" si="116"/>
        <v>0.83055197111919443</v>
      </c>
      <c r="N261" s="26">
        <f t="shared" si="117"/>
        <v>0.69647162856343148</v>
      </c>
      <c r="O261" s="26">
        <f t="shared" si="118"/>
        <v>-0.29202055978250646</v>
      </c>
      <c r="P261" s="26">
        <f t="shared" si="119"/>
        <v>0.42750927269777966</v>
      </c>
      <c r="Q261" s="26">
        <f t="shared" si="120"/>
        <v>9.1382089121292268E-2</v>
      </c>
      <c r="R261" s="26">
        <f t="shared" si="121"/>
        <v>-5.2051816574187946</v>
      </c>
      <c r="S261" s="26">
        <f t="shared" si="122"/>
        <v>5.4580990655944137E-3</v>
      </c>
      <c r="T261" s="26">
        <f t="shared" si="123"/>
        <v>1.3061361265069165</v>
      </c>
      <c r="U261" s="26">
        <f t="shared" si="124"/>
        <v>0.78686587175505363</v>
      </c>
      <c r="V261" s="26">
        <f t="shared" si="125"/>
        <v>-0.57859626776730533</v>
      </c>
      <c r="W261" s="26">
        <f t="shared" si="126"/>
        <v>0.35925565635359946</v>
      </c>
      <c r="X261" s="26">
        <f t="shared" si="127"/>
        <v>0.20527665695742831</v>
      </c>
      <c r="Y261" s="26">
        <f t="shared" si="128"/>
        <v>0.48963247738401705</v>
      </c>
      <c r="Z261" s="26">
        <f t="shared" si="129"/>
        <v>0.62001984958589129</v>
      </c>
      <c r="AA261" s="26">
        <f t="shared" si="130"/>
        <v>0.51790292632026946</v>
      </c>
      <c r="AB261" s="26">
        <f t="shared" si="131"/>
        <v>0.6266572697437679</v>
      </c>
      <c r="AC261" s="26">
        <f t="shared" si="132"/>
        <v>1.0586051476968055</v>
      </c>
      <c r="AD261" s="26">
        <f t="shared" si="133"/>
        <v>0.74242389699344724</v>
      </c>
      <c r="AE261" s="26">
        <f t="shared" si="134"/>
        <v>3.3172724420021137E-2</v>
      </c>
      <c r="AF261" s="26">
        <f t="shared" si="135"/>
        <v>-2.5890532003188524</v>
      </c>
      <c r="AG261" s="26">
        <f t="shared" si="136"/>
        <v>6.9846269292438132E-2</v>
      </c>
      <c r="AH261" s="26">
        <f t="shared" si="137"/>
        <v>0.99348708170799138</v>
      </c>
      <c r="AI261" s="26">
        <f t="shared" si="138"/>
        <v>0.72977613580264855</v>
      </c>
      <c r="AJ261" s="26">
        <f t="shared" si="139"/>
        <v>-0.39619603753394472</v>
      </c>
      <c r="AK261" s="26">
        <f t="shared" si="140"/>
        <v>0.40222662487031152</v>
      </c>
      <c r="AL261" s="26">
        <f t="shared" si="141"/>
        <v>8.0893128877281159E-2</v>
      </c>
      <c r="AM261" s="27">
        <f t="shared" si="142"/>
        <v>0.41072459937602285</v>
      </c>
    </row>
    <row r="262" spans="1:39" ht="15" customHeight="1" x14ac:dyDescent="0.2">
      <c r="A262" s="24">
        <v>251</v>
      </c>
      <c r="B262" s="29">
        <f t="shared" si="143"/>
        <v>2.6299307784891437</v>
      </c>
      <c r="C262" s="29">
        <f t="shared" si="144"/>
        <v>-3.0929056853195926</v>
      </c>
      <c r="D262" s="29">
        <f t="shared" si="145"/>
        <v>-2.1364514239753687</v>
      </c>
      <c r="E262" s="29">
        <f t="shared" si="146"/>
        <v>-0.3106135605511387</v>
      </c>
      <c r="F262" s="29">
        <f t="shared" si="147"/>
        <v>0.47405668870383866</v>
      </c>
      <c r="G262" s="29">
        <f t="shared" si="148"/>
        <v>0.83188170581836152</v>
      </c>
      <c r="H262" s="29">
        <f t="shared" si="149"/>
        <v>2.6071548996720049</v>
      </c>
      <c r="I262" s="29">
        <f t="shared" si="150"/>
        <v>-0.26620263026079349</v>
      </c>
      <c r="J262" s="29">
        <f t="shared" si="151"/>
        <v>-0.38514558619864925</v>
      </c>
      <c r="K262" s="26">
        <f t="shared" si="114"/>
        <v>-2.1364514239753687</v>
      </c>
      <c r="L262" s="26">
        <f t="shared" si="115"/>
        <v>0.10560409037159622</v>
      </c>
      <c r="M262" s="26">
        <f t="shared" si="116"/>
        <v>0.83188170581836152</v>
      </c>
      <c r="N262" s="26">
        <f t="shared" si="117"/>
        <v>0.69675265955282217</v>
      </c>
      <c r="O262" s="26">
        <f t="shared" si="118"/>
        <v>-0.29529675517510134</v>
      </c>
      <c r="P262" s="26">
        <f t="shared" si="119"/>
        <v>0.42670763104890824</v>
      </c>
      <c r="Q262" s="26">
        <f t="shared" si="120"/>
        <v>9.1039701197685605E-2</v>
      </c>
      <c r="R262" s="26">
        <f t="shared" si="121"/>
        <v>-5.2293571092949609</v>
      </c>
      <c r="S262" s="26">
        <f t="shared" si="122"/>
        <v>5.3284239435750988E-3</v>
      </c>
      <c r="T262" s="26">
        <f t="shared" si="123"/>
        <v>1.3059383945222001</v>
      </c>
      <c r="U262" s="26">
        <f t="shared" si="124"/>
        <v>0.78683270864398347</v>
      </c>
      <c r="V262" s="26">
        <f t="shared" si="125"/>
        <v>-0.58071049622288085</v>
      </c>
      <c r="W262" s="26">
        <f t="shared" si="126"/>
        <v>0.35876912488462948</v>
      </c>
      <c r="X262" s="26">
        <f t="shared" si="127"/>
        <v>0.205588517600612</v>
      </c>
      <c r="Y262" s="26">
        <f t="shared" si="128"/>
        <v>0.493479354513775</v>
      </c>
      <c r="Z262" s="26">
        <f t="shared" si="129"/>
        <v>0.62092573614357627</v>
      </c>
      <c r="AA262" s="26">
        <f t="shared" si="130"/>
        <v>0.52126814526722276</v>
      </c>
      <c r="AB262" s="26">
        <f t="shared" si="131"/>
        <v>0.62744425324462028</v>
      </c>
      <c r="AC262" s="26">
        <f t="shared" si="132"/>
        <v>1.0666766785647848</v>
      </c>
      <c r="AD262" s="26">
        <f t="shared" si="133"/>
        <v>0.74396439840950912</v>
      </c>
      <c r="AE262" s="26">
        <f t="shared" si="134"/>
        <v>3.2777114640902286E-2</v>
      </c>
      <c r="AF262" s="26">
        <f t="shared" si="135"/>
        <v>-2.5994263308058176</v>
      </c>
      <c r="AG262" s="26">
        <f t="shared" si="136"/>
        <v>6.9175349843900225E-2</v>
      </c>
      <c r="AH262" s="26">
        <f t="shared" si="137"/>
        <v>0.99532483397106142</v>
      </c>
      <c r="AI262" s="26">
        <f t="shared" si="138"/>
        <v>0.73013839285596494</v>
      </c>
      <c r="AJ262" s="26">
        <f t="shared" si="139"/>
        <v>-0.39915949454924615</v>
      </c>
      <c r="AK262" s="26">
        <f t="shared" si="140"/>
        <v>0.40151429709390518</v>
      </c>
      <c r="AL262" s="26">
        <f t="shared" si="141"/>
        <v>8.0606865385406373E-2</v>
      </c>
      <c r="AM262" s="27">
        <f t="shared" si="142"/>
        <v>0.41001219882460627</v>
      </c>
    </row>
    <row r="263" spans="1:39" ht="15" customHeight="1" x14ac:dyDescent="0.2">
      <c r="A263" s="24">
        <v>252</v>
      </c>
      <c r="B263" s="29">
        <f t="shared" si="143"/>
        <v>2.6436619175895859</v>
      </c>
      <c r="C263" s="29">
        <f t="shared" si="144"/>
        <v>-3.1070645584858387</v>
      </c>
      <c r="D263" s="29">
        <f t="shared" si="145"/>
        <v>-2.1463866934620275</v>
      </c>
      <c r="E263" s="29">
        <f t="shared" si="146"/>
        <v>-0.30858762655959371</v>
      </c>
      <c r="F263" s="29">
        <f t="shared" si="147"/>
        <v>0.47253086481388035</v>
      </c>
      <c r="G263" s="29">
        <f t="shared" si="148"/>
        <v>0.83319224519841273</v>
      </c>
      <c r="H263" s="29">
        <f t="shared" si="149"/>
        <v>2.6205257152521924</v>
      </c>
      <c r="I263" s="29">
        <f t="shared" si="150"/>
        <v>-0.26270756828557329</v>
      </c>
      <c r="J263" s="29">
        <f t="shared" si="151"/>
        <v>-0.38972679327093812</v>
      </c>
      <c r="K263" s="26">
        <f t="shared" si="114"/>
        <v>-2.1463866934620275</v>
      </c>
      <c r="L263" s="26">
        <f t="shared" si="115"/>
        <v>0.1046693560044944</v>
      </c>
      <c r="M263" s="26">
        <f t="shared" si="116"/>
        <v>0.83319224519841273</v>
      </c>
      <c r="N263" s="26">
        <f t="shared" si="117"/>
        <v>0.69702948988881408</v>
      </c>
      <c r="O263" s="26">
        <f t="shared" si="118"/>
        <v>-0.29855297657429802</v>
      </c>
      <c r="P263" s="26">
        <f t="shared" si="119"/>
        <v>0.42591125813889597</v>
      </c>
      <c r="Q263" s="26">
        <f t="shared" si="120"/>
        <v>9.0700199904728634E-2</v>
      </c>
      <c r="R263" s="26">
        <f t="shared" si="121"/>
        <v>-5.2534512519478662</v>
      </c>
      <c r="S263" s="26">
        <f t="shared" si="122"/>
        <v>5.2022343394270837E-3</v>
      </c>
      <c r="T263" s="26">
        <f t="shared" si="123"/>
        <v>1.305723110012293</v>
      </c>
      <c r="U263" s="26">
        <f t="shared" si="124"/>
        <v>0.78679659738982832</v>
      </c>
      <c r="V263" s="26">
        <f t="shared" si="125"/>
        <v>-0.58279162524334649</v>
      </c>
      <c r="W263" s="26">
        <f t="shared" si="126"/>
        <v>0.35829049401389329</v>
      </c>
      <c r="X263" s="26">
        <f t="shared" si="127"/>
        <v>0.20589554503646654</v>
      </c>
      <c r="Y263" s="26">
        <f t="shared" si="128"/>
        <v>0.49727522412755842</v>
      </c>
      <c r="Z263" s="26">
        <f t="shared" si="129"/>
        <v>0.6218187854195979</v>
      </c>
      <c r="AA263" s="26">
        <f t="shared" si="130"/>
        <v>0.52460461863881902</v>
      </c>
      <c r="AB263" s="26">
        <f t="shared" si="131"/>
        <v>0.62822384824308863</v>
      </c>
      <c r="AC263" s="26">
        <f t="shared" si="132"/>
        <v>1.0747261646370565</v>
      </c>
      <c r="AD263" s="26">
        <f t="shared" si="133"/>
        <v>0.74549466218657212</v>
      </c>
      <c r="AE263" s="26">
        <f t="shared" si="134"/>
        <v>3.2386483487763525E-2</v>
      </c>
      <c r="AF263" s="26">
        <f t="shared" si="135"/>
        <v>-2.6097893343582803</v>
      </c>
      <c r="AG263" s="26">
        <f t="shared" si="136"/>
        <v>6.8511046611217125E-2</v>
      </c>
      <c r="AH263" s="26">
        <f t="shared" si="137"/>
        <v>0.99713548345269931</v>
      </c>
      <c r="AI263" s="26">
        <f t="shared" si="138"/>
        <v>0.73049500786798816</v>
      </c>
      <c r="AJ263" s="26">
        <f t="shared" si="139"/>
        <v>-0.40209840100915195</v>
      </c>
      <c r="AK263" s="26">
        <f t="shared" si="140"/>
        <v>0.40080828106485333</v>
      </c>
      <c r="AL263" s="26">
        <f t="shared" si="141"/>
        <v>8.0323639085081236E-2</v>
      </c>
      <c r="AM263" s="27">
        <f t="shared" si="142"/>
        <v>0.40930586751403991</v>
      </c>
    </row>
    <row r="264" spans="1:39" ht="15" customHeight="1" x14ac:dyDescent="0.2">
      <c r="A264" s="24">
        <v>253</v>
      </c>
      <c r="B264" s="29">
        <f t="shared" si="143"/>
        <v>2.6573212363678329</v>
      </c>
      <c r="C264" s="29">
        <f t="shared" si="144"/>
        <v>-3.121161435710742</v>
      </c>
      <c r="D264" s="29">
        <f t="shared" si="145"/>
        <v>-2.1563010657593291</v>
      </c>
      <c r="E264" s="29">
        <f t="shared" si="146"/>
        <v>-0.30657198821432569</v>
      </c>
      <c r="F264" s="29">
        <f t="shared" si="147"/>
        <v>0.47100741703364846</v>
      </c>
      <c r="G264" s="29">
        <f t="shared" si="148"/>
        <v>0.83448348532893768</v>
      </c>
      <c r="H264" s="29">
        <f t="shared" si="149"/>
        <v>2.6338245502847739</v>
      </c>
      <c r="I264" s="29">
        <f t="shared" si="150"/>
        <v>-0.2591922995717128</v>
      </c>
      <c r="J264" s="29">
        <f t="shared" si="151"/>
        <v>-0.39429650509268965</v>
      </c>
      <c r="K264" s="26">
        <f t="shared" si="114"/>
        <v>-2.1563010657593291</v>
      </c>
      <c r="L264" s="26">
        <f t="shared" si="115"/>
        <v>0.10374387862052584</v>
      </c>
      <c r="M264" s="26">
        <f t="shared" si="116"/>
        <v>0.83448348532893768</v>
      </c>
      <c r="N264" s="26">
        <f t="shared" si="117"/>
        <v>0.69730210378492807</v>
      </c>
      <c r="O264" s="26">
        <f t="shared" si="118"/>
        <v>-0.30178866641639368</v>
      </c>
      <c r="P264" s="26">
        <f t="shared" si="119"/>
        <v>0.42512028714646277</v>
      </c>
      <c r="Q264" s="26">
        <f t="shared" si="120"/>
        <v>9.0363629271745474E-2</v>
      </c>
      <c r="R264" s="26">
        <f t="shared" si="121"/>
        <v>-5.2774625014700707</v>
      </c>
      <c r="S264" s="26">
        <f t="shared" si="122"/>
        <v>5.0794368364822391E-3</v>
      </c>
      <c r="T264" s="26">
        <f t="shared" si="123"/>
        <v>1.3054909023625862</v>
      </c>
      <c r="U264" s="26">
        <f t="shared" si="124"/>
        <v>0.78675764249386548</v>
      </c>
      <c r="V264" s="26">
        <f t="shared" si="125"/>
        <v>-0.58483968221474636</v>
      </c>
      <c r="W264" s="26">
        <f t="shared" si="126"/>
        <v>0.35781974478902051</v>
      </c>
      <c r="X264" s="26">
        <f t="shared" si="127"/>
        <v>0.20619774009141933</v>
      </c>
      <c r="Y264" s="26">
        <f t="shared" si="128"/>
        <v>0.50102017060850379</v>
      </c>
      <c r="Z264" s="26">
        <f t="shared" si="129"/>
        <v>0.62269904511382412</v>
      </c>
      <c r="AA264" s="26">
        <f t="shared" si="130"/>
        <v>0.52791149711461194</v>
      </c>
      <c r="AB264" s="26">
        <f t="shared" si="131"/>
        <v>0.62899587024139136</v>
      </c>
      <c r="AC264" s="26">
        <f t="shared" si="132"/>
        <v>1.0827526413380095</v>
      </c>
      <c r="AD264" s="26">
        <f t="shared" si="133"/>
        <v>0.74701454162340175</v>
      </c>
      <c r="AE264" s="26">
        <f t="shared" si="134"/>
        <v>3.2000821075008762E-2</v>
      </c>
      <c r="AF264" s="26">
        <f t="shared" si="135"/>
        <v>-2.6201412651022382</v>
      </c>
      <c r="AG264" s="26">
        <f t="shared" si="136"/>
        <v>6.7853358115531406E-2</v>
      </c>
      <c r="AH264" s="26">
        <f t="shared" si="137"/>
        <v>0.9989189141482604</v>
      </c>
      <c r="AI264" s="26">
        <f t="shared" si="138"/>
        <v>0.73084597116329775</v>
      </c>
      <c r="AJ264" s="26">
        <f t="shared" si="139"/>
        <v>-0.40501231256727527</v>
      </c>
      <c r="AK264" s="26">
        <f t="shared" si="140"/>
        <v>0.40010867584875059</v>
      </c>
      <c r="AL264" s="26">
        <f t="shared" si="141"/>
        <v>8.0043476244720288E-2</v>
      </c>
      <c r="AM264" s="27">
        <f t="shared" si="142"/>
        <v>0.40860566668289389</v>
      </c>
    </row>
    <row r="265" spans="1:39" ht="15" customHeight="1" x14ac:dyDescent="0.2">
      <c r="A265" s="24">
        <v>254</v>
      </c>
      <c r="B265" s="29">
        <f t="shared" si="143"/>
        <v>2.6709081481339179</v>
      </c>
      <c r="C265" s="29">
        <f t="shared" si="144"/>
        <v>-3.1351955047138715</v>
      </c>
      <c r="D265" s="29">
        <f t="shared" si="145"/>
        <v>-2.1661938369814489</v>
      </c>
      <c r="E265" s="29">
        <f t="shared" si="146"/>
        <v>-0.30456738664024036</v>
      </c>
      <c r="F265" s="29">
        <f t="shared" si="147"/>
        <v>0.46948707790934546</v>
      </c>
      <c r="G265" s="29">
        <f t="shared" si="148"/>
        <v>0.83575533005703906</v>
      </c>
      <c r="H265" s="29">
        <f t="shared" si="149"/>
        <v>2.6470505268179356</v>
      </c>
      <c r="I265" s="29">
        <f t="shared" si="150"/>
        <v>-0.25565722685475822</v>
      </c>
      <c r="J265" s="29">
        <f t="shared" si="151"/>
        <v>-0.39885431065219812</v>
      </c>
      <c r="K265" s="26">
        <f t="shared" si="114"/>
        <v>-2.1661938369814489</v>
      </c>
      <c r="L265" s="26">
        <f t="shared" si="115"/>
        <v>0.10282763721006798</v>
      </c>
      <c r="M265" s="26">
        <f t="shared" si="116"/>
        <v>0.83575533005703906</v>
      </c>
      <c r="N265" s="26">
        <f t="shared" si="117"/>
        <v>0.69757048705891223</v>
      </c>
      <c r="O265" s="26">
        <f t="shared" si="118"/>
        <v>-0.30500329566104867</v>
      </c>
      <c r="P265" s="26">
        <f t="shared" si="119"/>
        <v>0.42433484391035847</v>
      </c>
      <c r="Q265" s="26">
        <f t="shared" si="120"/>
        <v>9.0030029878214138E-2</v>
      </c>
      <c r="R265" s="26">
        <f t="shared" si="121"/>
        <v>-5.3013893416953204</v>
      </c>
      <c r="S265" s="26">
        <f t="shared" si="122"/>
        <v>4.9599400595688728E-3</v>
      </c>
      <c r="T265" s="26">
        <f t="shared" si="123"/>
        <v>1.3052424079663845</v>
      </c>
      <c r="U265" s="26">
        <f t="shared" si="124"/>
        <v>0.78671594960475544</v>
      </c>
      <c r="V265" s="26">
        <f t="shared" si="125"/>
        <v>-0.58685471670289047</v>
      </c>
      <c r="W265" s="26">
        <f t="shared" si="126"/>
        <v>0.35735685331664957</v>
      </c>
      <c r="X265" s="26">
        <f t="shared" si="127"/>
        <v>0.20649510698953913</v>
      </c>
      <c r="Y265" s="26">
        <f t="shared" si="128"/>
        <v>0.50471431115246901</v>
      </c>
      <c r="Z265" s="26">
        <f t="shared" si="129"/>
        <v>0.62356657055059594</v>
      </c>
      <c r="AA265" s="26">
        <f t="shared" si="130"/>
        <v>0.53118794341679876</v>
      </c>
      <c r="AB265" s="26">
        <f t="shared" si="131"/>
        <v>0.62976013826485655</v>
      </c>
      <c r="AC265" s="26">
        <f t="shared" si="132"/>
        <v>1.0907551778973481</v>
      </c>
      <c r="AD265" s="26">
        <f t="shared" si="133"/>
        <v>0.74852389985370538</v>
      </c>
      <c r="AE265" s="26">
        <f t="shared" si="134"/>
        <v>3.16201144723946E-2</v>
      </c>
      <c r="AF265" s="26">
        <f t="shared" si="135"/>
        <v>-2.6304811935614025</v>
      </c>
      <c r="AG265" s="26">
        <f t="shared" si="136"/>
        <v>6.7202280141232321E-2</v>
      </c>
      <c r="AH265" s="26">
        <f t="shared" si="137"/>
        <v>1.0006750213261442</v>
      </c>
      <c r="AI265" s="26">
        <f t="shared" si="138"/>
        <v>0.73119127517626892</v>
      </c>
      <c r="AJ265" s="26">
        <f t="shared" si="139"/>
        <v>-0.40790081331294192</v>
      </c>
      <c r="AK265" s="26">
        <f t="shared" si="140"/>
        <v>0.3994155733888809</v>
      </c>
      <c r="AL265" s="26">
        <f t="shared" si="141"/>
        <v>7.9766400132784257E-2</v>
      </c>
      <c r="AM265" s="27">
        <f t="shared" si="142"/>
        <v>0.40791165147293212</v>
      </c>
    </row>
    <row r="266" spans="1:39" ht="15" customHeight="1" x14ac:dyDescent="0.2">
      <c r="A266" s="24">
        <v>255</v>
      </c>
      <c r="B266" s="29">
        <f t="shared" si="143"/>
        <v>2.6844221162788702</v>
      </c>
      <c r="C266" s="29">
        <f t="shared" si="144"/>
        <v>-3.1491660015289149</v>
      </c>
      <c r="D266" s="29">
        <f t="shared" si="145"/>
        <v>-2.1760643219391649</v>
      </c>
      <c r="E266" s="29">
        <f t="shared" si="146"/>
        <v>-0.30257455832691371</v>
      </c>
      <c r="F266" s="29">
        <f t="shared" si="147"/>
        <v>0.46797057876235765</v>
      </c>
      <c r="G266" s="29">
        <f t="shared" si="148"/>
        <v>0.83700769088813542</v>
      </c>
      <c r="H266" s="29">
        <f t="shared" si="149"/>
        <v>2.6602028258623851</v>
      </c>
      <c r="I266" s="29">
        <f t="shared" si="150"/>
        <v>-0.25210275114252167</v>
      </c>
      <c r="J266" s="29">
        <f t="shared" si="151"/>
        <v>-0.40339982231502725</v>
      </c>
      <c r="K266" s="26">
        <f t="shared" si="114"/>
        <v>-2.1760643219391649</v>
      </c>
      <c r="L266" s="26">
        <f t="shared" si="115"/>
        <v>0.10192060754100925</v>
      </c>
      <c r="M266" s="26">
        <f t="shared" si="116"/>
        <v>0.83700769088813542</v>
      </c>
      <c r="N266" s="26">
        <f t="shared" si="117"/>
        <v>0.69783462710150734</v>
      </c>
      <c r="O266" s="26">
        <f t="shared" si="118"/>
        <v>-0.30819636345562906</v>
      </c>
      <c r="P266" s="26">
        <f t="shared" si="119"/>
        <v>0.42355504702861996</v>
      </c>
      <c r="Q266" s="26">
        <f t="shared" si="120"/>
        <v>8.9699438931708231E-2</v>
      </c>
      <c r="R266" s="26">
        <f t="shared" si="121"/>
        <v>-5.3252303234680802</v>
      </c>
      <c r="S266" s="26">
        <f t="shared" si="122"/>
        <v>4.8436546672913838E-3</v>
      </c>
      <c r="T266" s="26">
        <f t="shared" si="123"/>
        <v>1.304978269650493</v>
      </c>
      <c r="U266" s="26">
        <f t="shared" si="124"/>
        <v>0.78667162543309366</v>
      </c>
      <c r="V266" s="26">
        <f t="shared" si="125"/>
        <v>-0.58883679949903933</v>
      </c>
      <c r="W266" s="26">
        <f t="shared" si="126"/>
        <v>0.35690179099864205</v>
      </c>
      <c r="X266" s="26">
        <f t="shared" si="127"/>
        <v>0.20678765321037712</v>
      </c>
      <c r="Y266" s="26">
        <f t="shared" si="128"/>
        <v>0.50835779433970529</v>
      </c>
      <c r="Z266" s="26">
        <f t="shared" si="129"/>
        <v>0.62442142429358105</v>
      </c>
      <c r="AA266" s="26">
        <f t="shared" si="130"/>
        <v>0.53443313256122171</v>
      </c>
      <c r="AB266" s="26">
        <f t="shared" si="131"/>
        <v>0.630516474896616</v>
      </c>
      <c r="AC266" s="26">
        <f t="shared" si="132"/>
        <v>1.0987328771576508</v>
      </c>
      <c r="AD266" s="26">
        <f t="shared" si="133"/>
        <v>0.75002260966014533</v>
      </c>
      <c r="AE266" s="26">
        <f t="shared" si="134"/>
        <v>3.1244347840562032E-2</v>
      </c>
      <c r="AF266" s="26">
        <f t="shared" si="135"/>
        <v>-2.6408082071892096</v>
      </c>
      <c r="AG266" s="26">
        <f t="shared" si="136"/>
        <v>6.6557805795211811E-2</v>
      </c>
      <c r="AH266" s="26">
        <f t="shared" si="137"/>
        <v>1.0024037113235793</v>
      </c>
      <c r="AI266" s="26">
        <f t="shared" si="138"/>
        <v>0.73153091439846674</v>
      </c>
      <c r="AJ266" s="26">
        <f t="shared" si="139"/>
        <v>-0.41076351532106292</v>
      </c>
      <c r="AK266" s="26">
        <f t="shared" si="140"/>
        <v>0.39872905863866459</v>
      </c>
      <c r="AL266" s="26">
        <f t="shared" si="141"/>
        <v>7.9492431101437819E-2</v>
      </c>
      <c r="AM266" s="27">
        <f t="shared" si="142"/>
        <v>0.4072238710840852</v>
      </c>
    </row>
    <row r="267" spans="1:39" ht="15" customHeight="1" x14ac:dyDescent="0.2">
      <c r="A267" s="24">
        <v>256</v>
      </c>
      <c r="B267" s="29">
        <f t="shared" si="143"/>
        <v>2.6978626529878613</v>
      </c>
      <c r="C267" s="29">
        <f t="shared" si="144"/>
        <v>-3.1630722095694499</v>
      </c>
      <c r="D267" s="29">
        <f t="shared" si="145"/>
        <v>-2.1859118542713696</v>
      </c>
      <c r="E267" s="29">
        <f t="shared" si="146"/>
        <v>-0.30059423478039438</v>
      </c>
      <c r="F267" s="29">
        <f t="shared" si="147"/>
        <v>0.46645864924867819</v>
      </c>
      <c r="G267" s="29">
        <f t="shared" si="148"/>
        <v>0.83824048685374297</v>
      </c>
      <c r="H267" s="29">
        <f t="shared" si="149"/>
        <v>2.6732806861921032</v>
      </c>
      <c r="I267" s="29">
        <f t="shared" si="150"/>
        <v>-0.24852927099683336</v>
      </c>
      <c r="J267" s="29">
        <f t="shared" si="151"/>
        <v>-0.40793267560365321</v>
      </c>
      <c r="K267" s="26">
        <f t="shared" si="114"/>
        <v>-2.1859118542713696</v>
      </c>
      <c r="L267" s="26">
        <f t="shared" si="115"/>
        <v>0.10102276225877391</v>
      </c>
      <c r="M267" s="26">
        <f t="shared" si="116"/>
        <v>0.83824048685374297</v>
      </c>
      <c r="N267" s="26">
        <f t="shared" si="117"/>
        <v>0.69809451284271384</v>
      </c>
      <c r="O267" s="26">
        <f t="shared" si="118"/>
        <v>-0.3113673967551856</v>
      </c>
      <c r="P267" s="26">
        <f t="shared" si="119"/>
        <v>0.42278100796892903</v>
      </c>
      <c r="Q267" s="26">
        <f t="shared" si="120"/>
        <v>8.9371890349611821E-2</v>
      </c>
      <c r="R267" s="26">
        <f t="shared" si="121"/>
        <v>-5.3489840638408195</v>
      </c>
      <c r="S267" s="26">
        <f t="shared" si="122"/>
        <v>4.7304933415537711E-3</v>
      </c>
      <c r="T267" s="26">
        <f t="shared" si="123"/>
        <v>1.3046991361024212</v>
      </c>
      <c r="U267" s="26">
        <f t="shared" si="124"/>
        <v>0.78662477766591166</v>
      </c>
      <c r="V267" s="26">
        <f t="shared" si="125"/>
        <v>-0.59078602165887228</v>
      </c>
      <c r="W267" s="26">
        <f t="shared" si="126"/>
        <v>0.35645452476841627</v>
      </c>
      <c r="X267" s="26">
        <f t="shared" si="127"/>
        <v>0.20707538934552244</v>
      </c>
      <c r="Y267" s="26">
        <f t="shared" si="128"/>
        <v>0.51195079871649174</v>
      </c>
      <c r="Z267" s="26">
        <f t="shared" si="129"/>
        <v>0.62526367576603459</v>
      </c>
      <c r="AA267" s="26">
        <f t="shared" si="130"/>
        <v>0.5376462520733486</v>
      </c>
      <c r="AB267" s="26">
        <f t="shared" si="131"/>
        <v>0.63126470630313258</v>
      </c>
      <c r="AC267" s="26">
        <f t="shared" si="132"/>
        <v>1.1066848753356209</v>
      </c>
      <c r="AD267" s="26">
        <f t="shared" si="133"/>
        <v>0.75151055327896021</v>
      </c>
      <c r="AE267" s="26">
        <f t="shared" si="134"/>
        <v>3.0873502565864235E-2</v>
      </c>
      <c r="AF267" s="26">
        <f t="shared" si="135"/>
        <v>-2.6511214108529582</v>
      </c>
      <c r="AG267" s="26">
        <f t="shared" si="136"/>
        <v>6.5919925569431423E-2</v>
      </c>
      <c r="AH267" s="26">
        <f t="shared" si="137"/>
        <v>1.0041049013220267</v>
      </c>
      <c r="AI267" s="26">
        <f t="shared" si="138"/>
        <v>0.7318648853226335</v>
      </c>
      <c r="AJ267" s="26">
        <f t="shared" si="139"/>
        <v>-0.41360005816108636</v>
      </c>
      <c r="AK267" s="26">
        <f t="shared" si="140"/>
        <v>0.39804920970363716</v>
      </c>
      <c r="AL267" s="26">
        <f t="shared" si="141"/>
        <v>7.9221586672845054E-2</v>
      </c>
      <c r="AM267" s="27">
        <f t="shared" si="142"/>
        <v>0.4065423689338436</v>
      </c>
    </row>
    <row r="268" spans="1:39" ht="15" customHeight="1" x14ac:dyDescent="0.2">
      <c r="A268" s="24">
        <v>257</v>
      </c>
      <c r="B268" s="29">
        <f t="shared" si="143"/>
        <v>2.7112293179332747</v>
      </c>
      <c r="C268" s="29">
        <f t="shared" si="144"/>
        <v>-3.1769134586609722</v>
      </c>
      <c r="D268" s="29">
        <f t="shared" si="145"/>
        <v>-2.1957357865434619</v>
      </c>
      <c r="E268" s="29">
        <f t="shared" si="146"/>
        <v>-0.29862714219706887</v>
      </c>
      <c r="F268" s="29">
        <f t="shared" si="147"/>
        <v>0.46495201693332772</v>
      </c>
      <c r="G268" s="29">
        <f t="shared" si="148"/>
        <v>0.83945364436680592</v>
      </c>
      <c r="H268" s="29">
        <f t="shared" si="149"/>
        <v>2.6862834031031095</v>
      </c>
      <c r="I268" s="29">
        <f t="shared" si="150"/>
        <v>-0.24493718183210014</v>
      </c>
      <c r="J268" s="29">
        <f t="shared" si="151"/>
        <v>-0.41245252895253365</v>
      </c>
      <c r="K268" s="26">
        <f t="shared" ref="K268:K331" si="152">0*B268+0*C268+D268</f>
        <v>-2.1957357865434619</v>
      </c>
      <c r="L268" s="26">
        <f t="shared" ref="L268:L331" si="153">1/(1+EXP(-K268))</f>
        <v>0.10013407098804519</v>
      </c>
      <c r="M268" s="26">
        <f t="shared" ref="M268:M331" si="154">0*E268+0*F268+G268</f>
        <v>0.83945364436680592</v>
      </c>
      <c r="N268" s="26">
        <f t="shared" ref="N268:N331" si="155">1/(1+EXP(-M268))</f>
        <v>0.6983501347156903</v>
      </c>
      <c r="O268" s="26">
        <f t="shared" ref="O268:O331" si="156">L268*H268+N268*I268+J268</f>
        <v>-0.31451594990152792</v>
      </c>
      <c r="P268" s="26">
        <f t="shared" ref="P268:P331" si="157">1/(1+EXP(-O268))</f>
        <v>0.42201283118914829</v>
      </c>
      <c r="Q268" s="26">
        <f t="shared" ref="Q268:Q331" si="158">0.5*(0-P268)^2</f>
        <v>8.9047414844140291E-2</v>
      </c>
      <c r="R268" s="26">
        <f t="shared" ref="R268:R331" si="159">0*B268+1*C268+D268</f>
        <v>-5.3726492452044337</v>
      </c>
      <c r="S268" s="26">
        <f t="shared" ref="S268:S331" si="160">1/(1+EXP(-R268))</f>
        <v>4.6203707745150922E-3</v>
      </c>
      <c r="T268" s="26">
        <f t="shared" ref="T268:T331" si="161">0*E268+1*F268+G268</f>
        <v>1.3044056613001336</v>
      </c>
      <c r="U268" s="26">
        <f t="shared" ref="U268:U331" si="162">1/(1+EXP(-T268))</f>
        <v>0.78657551488125244</v>
      </c>
      <c r="V268" s="26">
        <f t="shared" ref="V268:V331" si="163">S268*H268+U268*I268+J268</f>
        <v>-0.59270249353791815</v>
      </c>
      <c r="W268" s="26">
        <f t="shared" ref="W268:W331" si="164">1/(1+EXP(-V268))</f>
        <v>0.35601501732669311</v>
      </c>
      <c r="X268" s="26">
        <f t="shared" ref="X268:X331" si="165">0.5*(1-W268)^2</f>
        <v>0.20735832895436965</v>
      </c>
      <c r="Y268" s="26">
        <f t="shared" ref="Y268:Y331" si="166">1*B268+0*C268+D268</f>
        <v>0.5154935313898128</v>
      </c>
      <c r="Z268" s="26">
        <f t="shared" ref="Z268:Z331" si="167">1/(1+EXP(-Y268))</f>
        <v>0.62609340087717213</v>
      </c>
      <c r="AA268" s="26">
        <f t="shared" ref="AA268:AA331" si="168">1*E268+0*F268+G268</f>
        <v>0.54082650216973704</v>
      </c>
      <c r="AB268" s="26">
        <f t="shared" ref="AB268:AB331" si="169">1/(1+EXP(-AA268))</f>
        <v>0.63200466225076968</v>
      </c>
      <c r="AC268" s="26">
        <f t="shared" ref="AC268:AC331" si="170">Z268*H268+AB268*I268+J268</f>
        <v>1.1146103417397439</v>
      </c>
      <c r="AD268" s="26">
        <f t="shared" ref="AD268:AD331" si="171">1/(1+EXP(-AC268))</f>
        <v>0.75298762219616022</v>
      </c>
      <c r="AE268" s="26">
        <f t="shared" ref="AE268:AE331" si="172">0.5*(1-AD268)^2</f>
        <v>3.050755739415344E-2</v>
      </c>
      <c r="AF268" s="26">
        <f t="shared" ref="AF268:AF331" si="173">1*B268+1*C268+D268</f>
        <v>-2.6614199272711594</v>
      </c>
      <c r="AG268" s="26">
        <f t="shared" ref="AG268:AG331" si="174">1/(1+EXP(-AF268))</f>
        <v>6.5288627406458605E-2</v>
      </c>
      <c r="AH268" s="26">
        <f t="shared" ref="AH268:AH331" si="175">1*E268+1*F268+G268</f>
        <v>1.0057785191030648</v>
      </c>
      <c r="AI268" s="26">
        <f t="shared" ref="AI268:AI331" si="176">1/(1+EXP(-AH268))</f>
        <v>0.73219318638345798</v>
      </c>
      <c r="AJ268" s="26">
        <f t="shared" ref="AJ268:AJ331" si="177">AG268*H268+AI268*I268+J268</f>
        <v>-0.41641010836861092</v>
      </c>
      <c r="AK268" s="26">
        <f t="shared" ref="AK268:AK331" si="178">1/(1+EXP(-AJ268))</f>
        <v>0.39737609799202106</v>
      </c>
      <c r="AL268" s="26">
        <f t="shared" ref="AL268:AL331" si="179">0.5*(0-AK268)^2</f>
        <v>7.895388162768216E-2</v>
      </c>
      <c r="AM268" s="27">
        <f t="shared" ref="AM268:AM331" si="180">Q268+X268+AE268+AL268</f>
        <v>0.40586718282034551</v>
      </c>
    </row>
    <row r="269" spans="1:39" ht="15" customHeight="1" x14ac:dyDescent="0.2">
      <c r="A269" s="24">
        <v>258</v>
      </c>
      <c r="B269" s="29">
        <f t="shared" ref="B269:B332" si="181">B268-$C$6*(((((P268)-0)*(P268)*(1-(P268)))*H268*(L268)*(1-(L268))*0)+((((W268)-1)*(W268)*(1-(W268)))*H268*(S268)*(1-(S268))*0)+((((AD268)-1)*(AD268)*(1-(AD268)))*H268*(Z268)*(1-(Z268))*1)+((((AK268)-0)*(AK268)*(1-(AK268)))*H268*(AG268)*(1-(AG268))*1))</f>
        <v>2.7245217169518239</v>
      </c>
      <c r="C269" s="29">
        <f t="shared" ref="C269:C332" si="182">C268-$C$6*(((((P268)-0)*(P268)*(1-(P268)))*H268*(L268)*(1-(L268))*0)+((((W268)-1)*(W268)*(1-(W268)))*H268*(S268)*(1-(S268))*1)+((((AD268)-1)*(AD268)*(1-(AD268)))*H268*(Z268)*(1-(Z268))*0)+((((AK268)-0)*(AK268)*(1-(AK268)))*H268*(AG268)*(1-(AG268))*1))</f>
        <v>-3.1906891240432111</v>
      </c>
      <c r="D269" s="29">
        <f t="shared" ref="D269:D332" si="183">D268-$C$6*(((((P268)-0)*(P268)*(1-(P268)))*H268*(L268)*(1-(L268)))+((((W268)-1)*(W268)*(1-(W268)))*H268*(S268)*(1-(S268)))+((((AD268)-1)*(AD268)*(1-(AD268)))*H268*(Z268)*(1-(Z268)))+((((AK268)-0)*(AK268)*(1-(AK268)))*H268*(AG268)*(1-(AG268))))</f>
        <v>-2.2055354903138795</v>
      </c>
      <c r="E269" s="29">
        <f t="shared" ref="E269:E332" si="184">E268-$C$6*(((((P268)-0)*(P268)*(1-(P268)))*I268*(N268)*(1-(N268))*0)+((((W268)-1)*(W268)*(1-(W268)))*I268*(U268)*(1-(U268))*0)+((((AD268)-1)*(AD268)*(1-(AD268)))*I268*(AB268)*(1-(AB268))*1)+((((AK268)-0)*(AK268)*(1-(AK268)))*I268*(AI268)*(1-(AI268))*1))</f>
        <v>-0.29667400115958598</v>
      </c>
      <c r="F269" s="29">
        <f t="shared" ref="F269:F332" si="185">F268-$C$6*(((((P268)-0)*(P268)*(1-(P268)))*I268*(N268)*(1-(N268))*0)+((((W268)-1)*(W268)*(1-(W268)))*I268*(U268)*(1-(U268))*1)+((((AD268)-1)*(AD268)*(1-(AD268)))*I268*(AB268)*(1-(AB268))*0)+((((AK268)-0)*(AK268)*(1-(AK268)))*I268*(AI268)*(1-(AI268))*1))</f>
        <v>0.46345140688006847</v>
      </c>
      <c r="G269" s="29">
        <f t="shared" ref="G269:G332" si="186">G268-$C$6*(((((P268)-0)*(P268)*(1-(P268)))*I268*(N268)*(1-(N268)))+((((W268)-1)*(W268)*(1-(W268)))*I268*(U268)*(1-(U268)))+((((AD268)-1)*(AD268)*(1-(AD268)))*I268*(AB268)*(1-(AB268)))+((((AK268)-0)*(AK268)*(1-(AK268)))*I268*(AI268)*(1-(AI268))))</f>
        <v>0.8406470970651555</v>
      </c>
      <c r="H269" s="29">
        <f t="shared" ref="H269:H332" si="187">H268-$C$6*((((P268)-0)*(P268)*(1-(P268))*L268)+(((W268)-1)*(W268)*(1-(W268))*S268)+(((AD268)-1)*(AD268)*(1-(AD268))*Z268)+(((AK268)-0)*(AK268)*(1-(AK268))*AG268))</f>
        <v>2.6992103271352406</v>
      </c>
      <c r="I269" s="29">
        <f t="shared" ref="I269:I332" si="188">I268-$C$6*((((P268)-0)*(P268)*(1-(P268))*N268)+(((W268)-1)*(W268)*(1-(W268))*U268)+(((AD268)-1)*(AD268)*(1-(AD268))*AB268)+(((AK268)-0)*(AK268)*(1-(AK268))*AI268))</f>
        <v>-0.241326875231753</v>
      </c>
      <c r="J269" s="29">
        <f t="shared" ref="J269:J332" si="189">J268-$C$6*((((P268)-0)*(P268)*(1-(P268)))+(((W268)-1)*(W268)*(1-(W268)))+(((AD268)-1)*(AD268)*(1-(AD268)))+(((AK268)-0)*(AK268)*(1-(AK268))))</f>
        <v>-0.41695906344069256</v>
      </c>
      <c r="K269" s="26">
        <f t="shared" si="152"/>
        <v>-2.2055354903138795</v>
      </c>
      <c r="L269" s="26">
        <f t="shared" si="153"/>
        <v>9.9254500435857054E-2</v>
      </c>
      <c r="M269" s="26">
        <f t="shared" si="154"/>
        <v>0.8406470970651555</v>
      </c>
      <c r="N269" s="26">
        <f t="shared" si="155"/>
        <v>0.69860148461840876</v>
      </c>
      <c r="O269" s="26">
        <f t="shared" si="156"/>
        <v>-0.31764160416480208</v>
      </c>
      <c r="P269" s="26">
        <f t="shared" si="157"/>
        <v>0.4212506142671244</v>
      </c>
      <c r="Q269" s="26">
        <f t="shared" si="158"/>
        <v>8.8726040010214821E-2</v>
      </c>
      <c r="R269" s="26">
        <f t="shared" si="159"/>
        <v>-5.3962246143570907</v>
      </c>
      <c r="S269" s="26">
        <f t="shared" si="160"/>
        <v>4.5132036531609632E-3</v>
      </c>
      <c r="T269" s="26">
        <f t="shared" si="161"/>
        <v>1.304098503945224</v>
      </c>
      <c r="U269" s="26">
        <f t="shared" si="162"/>
        <v>0.78652394646293711</v>
      </c>
      <c r="V269" s="26">
        <f t="shared" si="163"/>
        <v>-0.59458634382646314</v>
      </c>
      <c r="W269" s="26">
        <f t="shared" si="164"/>
        <v>0.35558322737599141</v>
      </c>
      <c r="X269" s="26">
        <f t="shared" si="165"/>
        <v>0.20763648841957164</v>
      </c>
      <c r="Y269" s="26">
        <f t="shared" si="166"/>
        <v>0.51898622663794436</v>
      </c>
      <c r="Z269" s="26">
        <f t="shared" si="167"/>
        <v>0.62691068165529351</v>
      </c>
      <c r="AA269" s="26">
        <f t="shared" si="168"/>
        <v>0.54397309590556953</v>
      </c>
      <c r="AB269" s="26">
        <f t="shared" si="169"/>
        <v>0.63273617611362065</v>
      </c>
      <c r="AC269" s="26">
        <f t="shared" si="170"/>
        <v>1.1225084784470807</v>
      </c>
      <c r="AD269" s="26">
        <f t="shared" si="171"/>
        <v>0.75445371693624419</v>
      </c>
      <c r="AE269" s="26">
        <f t="shared" si="172"/>
        <v>3.0146488563213048E-2</v>
      </c>
      <c r="AF269" s="26">
        <f t="shared" si="173"/>
        <v>-2.6717028974052668</v>
      </c>
      <c r="AG269" s="26">
        <f t="shared" si="174"/>
        <v>6.4663896767640186E-2</v>
      </c>
      <c r="AH269" s="26">
        <f t="shared" si="175"/>
        <v>1.0074245027856379</v>
      </c>
      <c r="AI269" s="26">
        <f t="shared" si="176"/>
        <v>0.73251581789531084</v>
      </c>
      <c r="AJ269" s="26">
        <f t="shared" si="177"/>
        <v>-0.41919335888317827</v>
      </c>
      <c r="AK269" s="26">
        <f t="shared" si="178"/>
        <v>0.39670978837297494</v>
      </c>
      <c r="AL269" s="26">
        <f t="shared" si="179"/>
        <v>7.8689328095465277E-2</v>
      </c>
      <c r="AM269" s="27">
        <f t="shared" si="180"/>
        <v>0.40519834508846475</v>
      </c>
    </row>
    <row r="270" spans="1:39" ht="15" customHeight="1" x14ac:dyDescent="0.2">
      <c r="A270" s="24">
        <v>259</v>
      </c>
      <c r="B270" s="29">
        <f t="shared" si="181"/>
        <v>2.7377395007096421</v>
      </c>
      <c r="C270" s="29">
        <f t="shared" si="182"/>
        <v>-3.2043986253466219</v>
      </c>
      <c r="D270" s="29">
        <f t="shared" si="183"/>
        <v>-2.2153103561700744</v>
      </c>
      <c r="E270" s="29">
        <f t="shared" si="184"/>
        <v>-0.29473552635477779</v>
      </c>
      <c r="F270" s="29">
        <f t="shared" si="185"/>
        <v>0.46195754125665162</v>
      </c>
      <c r="G270" s="29">
        <f t="shared" si="186"/>
        <v>0.84182078564368279</v>
      </c>
      <c r="H270" s="29">
        <f t="shared" si="187"/>
        <v>2.7120608627617595</v>
      </c>
      <c r="I270" s="29">
        <f t="shared" si="188"/>
        <v>-0.2376987382835512</v>
      </c>
      <c r="J270" s="29">
        <f t="shared" si="189"/>
        <v>-0.42145198250385862</v>
      </c>
      <c r="K270" s="26">
        <f t="shared" si="152"/>
        <v>-2.2153103561700744</v>
      </c>
      <c r="L270" s="26">
        <f t="shared" si="153"/>
        <v>9.8384014495736E-2</v>
      </c>
      <c r="M270" s="26">
        <f t="shared" si="154"/>
        <v>0.84182078564368279</v>
      </c>
      <c r="N270" s="26">
        <f t="shared" si="155"/>
        <v>0.69884855587320183</v>
      </c>
      <c r="O270" s="26">
        <f t="shared" si="156"/>
        <v>-0.3207439672509293</v>
      </c>
      <c r="P270" s="26">
        <f t="shared" si="157"/>
        <v>0.42049444803886887</v>
      </c>
      <c r="Q270" s="26">
        <f t="shared" si="158"/>
        <v>8.8407790415756499E-2</v>
      </c>
      <c r="R270" s="26">
        <f t="shared" si="159"/>
        <v>-5.4197089815166963</v>
      </c>
      <c r="S270" s="26">
        <f t="shared" si="160"/>
        <v>4.4089106416705251E-3</v>
      </c>
      <c r="T270" s="26">
        <f t="shared" si="161"/>
        <v>1.3037783269003345</v>
      </c>
      <c r="U270" s="26">
        <f t="shared" si="162"/>
        <v>0.78647018251563516</v>
      </c>
      <c r="V270" s="26">
        <f t="shared" si="163"/>
        <v>-0.59643771858677086</v>
      </c>
      <c r="W270" s="26">
        <f t="shared" si="164"/>
        <v>0.35515910985325461</v>
      </c>
      <c r="X270" s="26">
        <f t="shared" si="165"/>
        <v>0.20790988680262348</v>
      </c>
      <c r="Y270" s="26">
        <f t="shared" si="166"/>
        <v>0.52242914453956768</v>
      </c>
      <c r="Z270" s="26">
        <f t="shared" si="167"/>
        <v>0.62771560588822684</v>
      </c>
      <c r="AA270" s="26">
        <f t="shared" si="168"/>
        <v>0.54708525928890506</v>
      </c>
      <c r="AB270" s="26">
        <f t="shared" si="169"/>
        <v>0.63345908487283875</v>
      </c>
      <c r="AC270" s="26">
        <f t="shared" si="170"/>
        <v>1.1303785199418597</v>
      </c>
      <c r="AD270" s="26">
        <f t="shared" si="171"/>
        <v>0.75590874684434106</v>
      </c>
      <c r="AE270" s="26">
        <f t="shared" si="172"/>
        <v>2.9790269933549988E-2</v>
      </c>
      <c r="AF270" s="26">
        <f t="shared" si="173"/>
        <v>-2.6819694808070542</v>
      </c>
      <c r="AG270" s="26">
        <f t="shared" si="174"/>
        <v>6.4045716703589203E-2</v>
      </c>
      <c r="AH270" s="26">
        <f t="shared" si="175"/>
        <v>1.0090428005455565</v>
      </c>
      <c r="AI270" s="26">
        <f t="shared" si="176"/>
        <v>0.73283278198713275</v>
      </c>
      <c r="AJ270" s="26">
        <f t="shared" si="177"/>
        <v>-0.42194952845569345</v>
      </c>
      <c r="AK270" s="26">
        <f t="shared" si="178"/>
        <v>0.39605033934162681</v>
      </c>
      <c r="AL270" s="26">
        <f t="shared" si="179"/>
        <v>7.8427935646308872E-2</v>
      </c>
      <c r="AM270" s="27">
        <f t="shared" si="180"/>
        <v>0.40453588279823882</v>
      </c>
    </row>
    <row r="271" spans="1:39" ht="15" customHeight="1" x14ac:dyDescent="0.2">
      <c r="A271" s="24">
        <v>260</v>
      </c>
      <c r="B271" s="29">
        <f t="shared" si="181"/>
        <v>2.7508823633590733</v>
      </c>
      <c r="C271" s="29">
        <f t="shared" si="182"/>
        <v>-3.2180414255467897</v>
      </c>
      <c r="D271" s="29">
        <f t="shared" si="183"/>
        <v>-2.2250597937352556</v>
      </c>
      <c r="E271" s="29">
        <f t="shared" si="184"/>
        <v>-0.29281242631345789</v>
      </c>
      <c r="F271" s="29">
        <f t="shared" si="185"/>
        <v>0.46047113895578129</v>
      </c>
      <c r="G271" s="29">
        <f t="shared" si="186"/>
        <v>0.84297465767581459</v>
      </c>
      <c r="H271" s="29">
        <f t="shared" si="187"/>
        <v>2.7248344670514695</v>
      </c>
      <c r="I271" s="29">
        <f t="shared" si="188"/>
        <v>-0.23405315293459877</v>
      </c>
      <c r="J271" s="29">
        <f t="shared" si="189"/>
        <v>-0.42593101162813229</v>
      </c>
      <c r="K271" s="26">
        <f t="shared" si="152"/>
        <v>-2.2250597937352556</v>
      </c>
      <c r="L271" s="26">
        <f t="shared" si="153"/>
        <v>9.7522574352590111E-2</v>
      </c>
      <c r="M271" s="26">
        <f t="shared" si="154"/>
        <v>0.84297465767581459</v>
      </c>
      <c r="N271" s="26">
        <f t="shared" si="155"/>
        <v>0.6990913431843252</v>
      </c>
      <c r="O271" s="26">
        <f t="shared" si="156"/>
        <v>-0.32382267277818005</v>
      </c>
      <c r="P271" s="26">
        <f t="shared" si="157"/>
        <v>0.41974441674424651</v>
      </c>
      <c r="Q271" s="26">
        <f t="shared" si="158"/>
        <v>8.8092687693983845E-2</v>
      </c>
      <c r="R271" s="26">
        <f t="shared" si="159"/>
        <v>-5.4431012192820454</v>
      </c>
      <c r="S271" s="26">
        <f t="shared" si="160"/>
        <v>4.3074123617533799E-3</v>
      </c>
      <c r="T271" s="26">
        <f t="shared" si="161"/>
        <v>1.3034457966315958</v>
      </c>
      <c r="U271" s="26">
        <f t="shared" si="162"/>
        <v>0.78641433378034231</v>
      </c>
      <c r="V271" s="26">
        <f t="shared" si="163"/>
        <v>-0.59825678029527418</v>
      </c>
      <c r="W271" s="26">
        <f t="shared" si="164"/>
        <v>0.35474261616003755</v>
      </c>
      <c r="X271" s="26">
        <f t="shared" si="165"/>
        <v>0.20817854569999633</v>
      </c>
      <c r="Y271" s="26">
        <f t="shared" si="166"/>
        <v>0.52582256962381768</v>
      </c>
      <c r="Z271" s="26">
        <f t="shared" si="167"/>
        <v>0.62850826677160332</v>
      </c>
      <c r="AA271" s="26">
        <f t="shared" si="168"/>
        <v>0.55016223136235665</v>
      </c>
      <c r="AB271" s="26">
        <f t="shared" si="169"/>
        <v>0.6341732291077129</v>
      </c>
      <c r="AC271" s="26">
        <f t="shared" si="170"/>
        <v>1.1382197327185364</v>
      </c>
      <c r="AD271" s="26">
        <f t="shared" si="171"/>
        <v>0.75735262986266383</v>
      </c>
      <c r="AE271" s="26">
        <f t="shared" si="172"/>
        <v>2.9438873117282712E-2</v>
      </c>
      <c r="AF271" s="26">
        <f t="shared" si="173"/>
        <v>-2.6922188559229721</v>
      </c>
      <c r="AG271" s="26">
        <f t="shared" si="174"/>
        <v>6.3434067926672943E-2</v>
      </c>
      <c r="AH271" s="26">
        <f t="shared" si="175"/>
        <v>1.010633370318138</v>
      </c>
      <c r="AI271" s="26">
        <f t="shared" si="176"/>
        <v>0.73314408253465813</v>
      </c>
      <c r="AJ271" s="26">
        <f t="shared" si="177"/>
        <v>-0.42467836102883016</v>
      </c>
      <c r="AK271" s="26">
        <f t="shared" si="178"/>
        <v>0.39539780319002876</v>
      </c>
      <c r="AL271" s="26">
        <f t="shared" si="179"/>
        <v>7.8169711383750354E-2</v>
      </c>
      <c r="AM271" s="27">
        <f t="shared" si="180"/>
        <v>0.40387981789501326</v>
      </c>
    </row>
    <row r="272" spans="1:39" ht="15" customHeight="1" x14ac:dyDescent="0.2">
      <c r="A272" s="24">
        <v>261</v>
      </c>
      <c r="B272" s="29">
        <f t="shared" si="181"/>
        <v>2.7639500411906948</v>
      </c>
      <c r="C272" s="29">
        <f t="shared" si="182"/>
        <v>-3.2316170299003253</v>
      </c>
      <c r="D272" s="29">
        <f t="shared" si="183"/>
        <v>-2.2347832316472434</v>
      </c>
      <c r="E272" s="29">
        <f t="shared" si="184"/>
        <v>-0.29090540317192448</v>
      </c>
      <c r="F272" s="29">
        <f t="shared" si="185"/>
        <v>0.45899291523192487</v>
      </c>
      <c r="G272" s="29">
        <f t="shared" si="186"/>
        <v>0.84410866742488277</v>
      </c>
      <c r="H272" s="29">
        <f t="shared" si="187"/>
        <v>2.737530648307807</v>
      </c>
      <c r="I272" s="29">
        <f t="shared" si="188"/>
        <v>-0.23039049536681883</v>
      </c>
      <c r="J272" s="29">
        <f t="shared" si="189"/>
        <v>-0.43039589802709316</v>
      </c>
      <c r="K272" s="26">
        <f t="shared" si="152"/>
        <v>-2.2347832316472434</v>
      </c>
      <c r="L272" s="26">
        <f t="shared" si="153"/>
        <v>9.6670138588055898E-2</v>
      </c>
      <c r="M272" s="26">
        <f t="shared" si="154"/>
        <v>0.84410866742488277</v>
      </c>
      <c r="N272" s="26">
        <f t="shared" si="155"/>
        <v>0.69932984259366726</v>
      </c>
      <c r="O272" s="26">
        <f t="shared" si="156"/>
        <v>-0.32687737972608139</v>
      </c>
      <c r="P272" s="26">
        <f t="shared" si="157"/>
        <v>0.41900059817932866</v>
      </c>
      <c r="Q272" s="26">
        <f t="shared" si="158"/>
        <v>8.778075063731762E-2</v>
      </c>
      <c r="R272" s="26">
        <f t="shared" si="159"/>
        <v>-5.4664002615475686</v>
      </c>
      <c r="S272" s="26">
        <f t="shared" si="160"/>
        <v>4.2086313711256033E-3</v>
      </c>
      <c r="T272" s="26">
        <f t="shared" si="161"/>
        <v>1.3031015826568075</v>
      </c>
      <c r="U272" s="26">
        <f t="shared" si="162"/>
        <v>0.78635651155036368</v>
      </c>
      <c r="V272" s="26">
        <f t="shared" si="163"/>
        <v>-0.60004370689221898</v>
      </c>
      <c r="W272" s="26">
        <f t="shared" si="164"/>
        <v>0.35433369438972501</v>
      </c>
      <c r="X272" s="26">
        <f t="shared" si="165"/>
        <v>0.20844248910021049</v>
      </c>
      <c r="Y272" s="26">
        <f t="shared" si="166"/>
        <v>0.52916680954345141</v>
      </c>
      <c r="Z272" s="26">
        <f t="shared" si="167"/>
        <v>0.62928876256540811</v>
      </c>
      <c r="AA272" s="26">
        <f t="shared" si="168"/>
        <v>0.55320326425295829</v>
      </c>
      <c r="AB272" s="26">
        <f t="shared" si="169"/>
        <v>0.634878452978754</v>
      </c>
      <c r="AC272" s="26">
        <f t="shared" si="170"/>
        <v>1.1460314148519115</v>
      </c>
      <c r="AD272" s="26">
        <f t="shared" si="171"/>
        <v>0.75878529230211833</v>
      </c>
      <c r="AE272" s="26">
        <f t="shared" si="172"/>
        <v>2.9092267604887246E-2</v>
      </c>
      <c r="AF272" s="26">
        <f t="shared" si="173"/>
        <v>-2.7024502203568739</v>
      </c>
      <c r="AG272" s="26">
        <f t="shared" si="174"/>
        <v>6.2828928885200461E-2</v>
      </c>
      <c r="AH272" s="26">
        <f t="shared" si="175"/>
        <v>1.0121961794848833</v>
      </c>
      <c r="AI272" s="26">
        <f t="shared" si="176"/>
        <v>0.73344972509015338</v>
      </c>
      <c r="AJ272" s="26">
        <f t="shared" si="177"/>
        <v>-0.42737962509368277</v>
      </c>
      <c r="AK272" s="26">
        <f t="shared" si="178"/>
        <v>0.394752226183195</v>
      </c>
      <c r="AL272" s="26">
        <f t="shared" si="179"/>
        <v>7.791466003829417E-2</v>
      </c>
      <c r="AM272" s="27">
        <f t="shared" si="180"/>
        <v>0.40323016738070955</v>
      </c>
    </row>
    <row r="273" spans="1:39" ht="15" customHeight="1" x14ac:dyDescent="0.2">
      <c r="A273" s="24">
        <v>262</v>
      </c>
      <c r="B273" s="29">
        <f t="shared" si="181"/>
        <v>2.7769423112838973</v>
      </c>
      <c r="C273" s="29">
        <f t="shared" si="182"/>
        <v>-3.2451249848656669</v>
      </c>
      <c r="D273" s="29">
        <f t="shared" si="183"/>
        <v>-2.2444801175107933</v>
      </c>
      <c r="E273" s="29">
        <f t="shared" si="184"/>
        <v>-0.28901515245494758</v>
      </c>
      <c r="F273" s="29">
        <f t="shared" si="185"/>
        <v>0.45752358135404975</v>
      </c>
      <c r="G273" s="29">
        <f t="shared" si="186"/>
        <v>0.84522277564597448</v>
      </c>
      <c r="H273" s="29">
        <f t="shared" si="187"/>
        <v>2.7501489646892163</v>
      </c>
      <c r="I273" s="29">
        <f t="shared" si="188"/>
        <v>-0.2267111353935255</v>
      </c>
      <c r="J273" s="29">
        <f t="shared" si="189"/>
        <v>-0.43484641030418991</v>
      </c>
      <c r="K273" s="26">
        <f t="shared" si="152"/>
        <v>-2.2444801175107933</v>
      </c>
      <c r="L273" s="26">
        <f t="shared" si="153"/>
        <v>9.5826663286027888E-2</v>
      </c>
      <c r="M273" s="26">
        <f t="shared" si="154"/>
        <v>0.84522277564597448</v>
      </c>
      <c r="N273" s="26">
        <f t="shared" si="155"/>
        <v>0.69956405143473077</v>
      </c>
      <c r="O273" s="26">
        <f t="shared" si="156"/>
        <v>-0.32990777185976067</v>
      </c>
      <c r="P273" s="26">
        <f t="shared" si="157"/>
        <v>0.41826306385459228</v>
      </c>
      <c r="Q273" s="26">
        <f t="shared" si="158"/>
        <v>8.747199529251537E-2</v>
      </c>
      <c r="R273" s="26">
        <f t="shared" si="159"/>
        <v>-5.4896051023764603</v>
      </c>
      <c r="S273" s="26">
        <f t="shared" si="160"/>
        <v>4.1124921402881966E-3</v>
      </c>
      <c r="T273" s="26">
        <f t="shared" si="161"/>
        <v>1.3027463570000242</v>
      </c>
      <c r="U273" s="26">
        <f t="shared" si="162"/>
        <v>0.78629682758789632</v>
      </c>
      <c r="V273" s="26">
        <f t="shared" si="163"/>
        <v>-0.60179869084106297</v>
      </c>
      <c r="W273" s="26">
        <f t="shared" si="164"/>
        <v>0.35393228955129868</v>
      </c>
      <c r="X273" s="26">
        <f t="shared" si="165"/>
        <v>0.20870174324221352</v>
      </c>
      <c r="Y273" s="26">
        <f t="shared" si="166"/>
        <v>0.532462193773104</v>
      </c>
      <c r="Z273" s="26">
        <f t="shared" si="167"/>
        <v>0.63005719625919943</v>
      </c>
      <c r="AA273" s="26">
        <f t="shared" si="168"/>
        <v>0.5562076231910269</v>
      </c>
      <c r="AB273" s="26">
        <f t="shared" si="169"/>
        <v>0.63557460420305867</v>
      </c>
      <c r="AC273" s="26">
        <f t="shared" si="170"/>
        <v>1.1538128955368716</v>
      </c>
      <c r="AD273" s="26">
        <f t="shared" si="171"/>
        <v>0.76020666860988184</v>
      </c>
      <c r="AE273" s="26">
        <f t="shared" si="172"/>
        <v>2.8750420889585512E-2</v>
      </c>
      <c r="AF273" s="26">
        <f t="shared" si="173"/>
        <v>-2.7126627910925629</v>
      </c>
      <c r="AG273" s="26">
        <f t="shared" si="174"/>
        <v>6.2230275839020452E-2</v>
      </c>
      <c r="AH273" s="26">
        <f t="shared" si="175"/>
        <v>1.0137312045450766</v>
      </c>
      <c r="AI273" s="26">
        <f t="shared" si="176"/>
        <v>0.73374971680984769</v>
      </c>
      <c r="AJ273" s="26">
        <f t="shared" si="177"/>
        <v>-0.43005311302582183</v>
      </c>
      <c r="AK273" s="26">
        <f t="shared" si="178"/>
        <v>0.39411364873942312</v>
      </c>
      <c r="AL273" s="26">
        <f t="shared" si="179"/>
        <v>7.7662784061350701E-2</v>
      </c>
      <c r="AM273" s="27">
        <f t="shared" si="180"/>
        <v>0.40258694348566509</v>
      </c>
    </row>
    <row r="274" spans="1:39" ht="15" customHeight="1" x14ac:dyDescent="0.2">
      <c r="A274" s="24">
        <v>263</v>
      </c>
      <c r="B274" s="29">
        <f t="shared" si="181"/>
        <v>2.7898589901591553</v>
      </c>
      <c r="C274" s="29">
        <f t="shared" si="182"/>
        <v>-3.2585648770120401</v>
      </c>
      <c r="D274" s="29">
        <f t="shared" si="183"/>
        <v>-2.2541499178247482</v>
      </c>
      <c r="E274" s="29">
        <f t="shared" si="184"/>
        <v>-0.28714236287997252</v>
      </c>
      <c r="F274" s="29">
        <f t="shared" si="185"/>
        <v>0.45606384427431684</v>
      </c>
      <c r="G274" s="29">
        <f t="shared" si="186"/>
        <v>0.84631694937885005</v>
      </c>
      <c r="H274" s="29">
        <f t="shared" si="187"/>
        <v>2.7626890228149108</v>
      </c>
      <c r="I274" s="29">
        <f t="shared" si="188"/>
        <v>-0.22301543587762701</v>
      </c>
      <c r="J274" s="29">
        <f t="shared" si="189"/>
        <v>-0.43928233810218109</v>
      </c>
      <c r="K274" s="26">
        <f t="shared" si="152"/>
        <v>-2.2541499178247482</v>
      </c>
      <c r="L274" s="26">
        <f t="shared" si="153"/>
        <v>9.4992102138112322E-2</v>
      </c>
      <c r="M274" s="26">
        <f t="shared" si="154"/>
        <v>0.84631694937885005</v>
      </c>
      <c r="N274" s="26">
        <f t="shared" si="155"/>
        <v>0.69979396828501028</v>
      </c>
      <c r="O274" s="26">
        <f t="shared" si="156"/>
        <v>-0.33291355713272125</v>
      </c>
      <c r="P274" s="26">
        <f t="shared" si="157"/>
        <v>0.41753187915817996</v>
      </c>
      <c r="Q274" s="26">
        <f t="shared" si="158"/>
        <v>8.7166435056680494E-2</v>
      </c>
      <c r="R274" s="26">
        <f t="shared" si="159"/>
        <v>-5.5127147948367883</v>
      </c>
      <c r="S274" s="26">
        <f t="shared" si="160"/>
        <v>4.0189210277653924E-3</v>
      </c>
      <c r="T274" s="26">
        <f t="shared" si="161"/>
        <v>1.3023807936531668</v>
      </c>
      <c r="U274" s="26">
        <f t="shared" si="162"/>
        <v>0.78623539404129406</v>
      </c>
      <c r="V274" s="26">
        <f t="shared" si="163"/>
        <v>-0.60352193819975064</v>
      </c>
      <c r="W274" s="26">
        <f t="shared" si="164"/>
        <v>0.35353834378921523</v>
      </c>
      <c r="X274" s="26">
        <f t="shared" si="165"/>
        <v>0.20895633647539544</v>
      </c>
      <c r="Y274" s="26">
        <f t="shared" si="166"/>
        <v>0.53570907233440712</v>
      </c>
      <c r="Z274" s="26">
        <f t="shared" si="167"/>
        <v>0.63081367524632892</v>
      </c>
      <c r="AA274" s="26">
        <f t="shared" si="168"/>
        <v>0.55917458649887752</v>
      </c>
      <c r="AB274" s="26">
        <f t="shared" si="169"/>
        <v>0.63626153402223229</v>
      </c>
      <c r="AC274" s="26">
        <f t="shared" si="170"/>
        <v>1.1615635346002462</v>
      </c>
      <c r="AD274" s="26">
        <f t="shared" si="171"/>
        <v>0.7616167011337257</v>
      </c>
      <c r="AE274" s="26">
        <f t="shared" si="172"/>
        <v>2.8413298589183726E-2</v>
      </c>
      <c r="AF274" s="26">
        <f t="shared" si="173"/>
        <v>-2.722855804677633</v>
      </c>
      <c r="AG274" s="26">
        <f t="shared" si="174"/>
        <v>6.1638082936253134E-2</v>
      </c>
      <c r="AH274" s="26">
        <f t="shared" si="175"/>
        <v>1.0152384307731943</v>
      </c>
      <c r="AI274" s="26">
        <f t="shared" si="176"/>
        <v>0.73404406637923025</v>
      </c>
      <c r="AJ274" s="26">
        <f t="shared" si="177"/>
        <v>-0.43269864040378925</v>
      </c>
      <c r="AK274" s="26">
        <f t="shared" si="178"/>
        <v>0.39348210561412739</v>
      </c>
      <c r="AL274" s="26">
        <f t="shared" si="179"/>
        <v>7.7414083719263643E-2</v>
      </c>
      <c r="AM274" s="27">
        <f t="shared" si="180"/>
        <v>0.40195015384052335</v>
      </c>
    </row>
    <row r="275" spans="1:39" ht="15" customHeight="1" x14ac:dyDescent="0.2">
      <c r="A275" s="24">
        <v>264</v>
      </c>
      <c r="B275" s="29">
        <f t="shared" si="181"/>
        <v>2.8026999324349142</v>
      </c>
      <c r="C275" s="29">
        <f t="shared" si="182"/>
        <v>-3.2719363319196568</v>
      </c>
      <c r="D275" s="29">
        <f t="shared" si="183"/>
        <v>-2.2637921178853793</v>
      </c>
      <c r="E275" s="29">
        <f t="shared" si="184"/>
        <v>-0.28528771618223153</v>
      </c>
      <c r="F275" s="29">
        <f t="shared" si="185"/>
        <v>0.45461440631271649</v>
      </c>
      <c r="G275" s="29">
        <f t="shared" si="186"/>
        <v>0.84739116173250617</v>
      </c>
      <c r="H275" s="29">
        <f t="shared" si="187"/>
        <v>2.7751504763599333</v>
      </c>
      <c r="I275" s="29">
        <f t="shared" si="188"/>
        <v>-0.21930375217189615</v>
      </c>
      <c r="J275" s="29">
        <f t="shared" si="189"/>
        <v>-0.44370349174132057</v>
      </c>
      <c r="K275" s="26">
        <f t="shared" si="152"/>
        <v>-2.2637921178853793</v>
      </c>
      <c r="L275" s="26">
        <f t="shared" si="153"/>
        <v>9.4166406548759934E-2</v>
      </c>
      <c r="M275" s="26">
        <f t="shared" si="154"/>
        <v>0.84739116173250617</v>
      </c>
      <c r="N275" s="26">
        <f t="shared" si="155"/>
        <v>0.7000195929168902</v>
      </c>
      <c r="O275" s="26">
        <f t="shared" si="156"/>
        <v>-0.33589446707094361</v>
      </c>
      <c r="P275" s="26">
        <f t="shared" si="157"/>
        <v>0.41680710352346201</v>
      </c>
      <c r="Q275" s="26">
        <f t="shared" si="158"/>
        <v>8.6864080773808985E-2</v>
      </c>
      <c r="R275" s="26">
        <f t="shared" si="159"/>
        <v>-5.5357284498050365</v>
      </c>
      <c r="S275" s="26">
        <f t="shared" si="160"/>
        <v>3.9278462539540076E-3</v>
      </c>
      <c r="T275" s="26">
        <f t="shared" si="161"/>
        <v>1.3020055680452227</v>
      </c>
      <c r="U275" s="26">
        <f t="shared" si="162"/>
        <v>0.78617232336309517</v>
      </c>
      <c r="V275" s="26">
        <f t="shared" si="163"/>
        <v>-0.60521366770581553</v>
      </c>
      <c r="W275" s="26">
        <f t="shared" si="164"/>
        <v>0.35315179659899532</v>
      </c>
      <c r="X275" s="26">
        <f t="shared" si="165"/>
        <v>0.20920629912155375</v>
      </c>
      <c r="Y275" s="26">
        <f t="shared" si="166"/>
        <v>0.53890781454953496</v>
      </c>
      <c r="Z275" s="26">
        <f t="shared" si="167"/>
        <v>0.63155831100744464</v>
      </c>
      <c r="AA275" s="26">
        <f t="shared" si="168"/>
        <v>0.56210344555027469</v>
      </c>
      <c r="AB275" s="26">
        <f t="shared" si="169"/>
        <v>0.63693909716315111</v>
      </c>
      <c r="AC275" s="26">
        <f t="shared" si="170"/>
        <v>1.1692827219872053</v>
      </c>
      <c r="AD275" s="26">
        <f t="shared" si="171"/>
        <v>0.76301533988382164</v>
      </c>
      <c r="AE275" s="26">
        <f t="shared" si="172"/>
        <v>2.8080864565190287E-2</v>
      </c>
      <c r="AF275" s="26">
        <f t="shared" si="173"/>
        <v>-2.7330285173701219</v>
      </c>
      <c r="AG275" s="26">
        <f t="shared" si="174"/>
        <v>6.1052322290892254E-2</v>
      </c>
      <c r="AH275" s="26">
        <f t="shared" si="175"/>
        <v>1.0167178518629911</v>
      </c>
      <c r="AI275" s="26">
        <f t="shared" si="176"/>
        <v>0.73433278393638091</v>
      </c>
      <c r="AJ275" s="26">
        <f t="shared" si="177"/>
        <v>-0.43531604531295343</v>
      </c>
      <c r="AK275" s="26">
        <f t="shared" si="178"/>
        <v>0.39285762608645031</v>
      </c>
      <c r="AL275" s="26">
        <f t="shared" si="179"/>
        <v>7.7168557187140593E-2</v>
      </c>
      <c r="AM275" s="27">
        <f t="shared" si="180"/>
        <v>0.4013198016476936</v>
      </c>
    </row>
    <row r="276" spans="1:39" ht="15" customHeight="1" x14ac:dyDescent="0.2">
      <c r="A276" s="24">
        <v>265</v>
      </c>
      <c r="B276" s="29">
        <f t="shared" si="181"/>
        <v>2.8154650294918278</v>
      </c>
      <c r="C276" s="29">
        <f t="shared" si="182"/>
        <v>-3.2852390130740718</v>
      </c>
      <c r="D276" s="29">
        <f t="shared" si="183"/>
        <v>-2.2734062216672659</v>
      </c>
      <c r="E276" s="29">
        <f t="shared" si="184"/>
        <v>-0.28345188696041546</v>
      </c>
      <c r="F276" s="29">
        <f t="shared" si="185"/>
        <v>0.45317596485758849</v>
      </c>
      <c r="G276" s="29">
        <f t="shared" si="186"/>
        <v>0.84844539166195698</v>
      </c>
      <c r="H276" s="29">
        <f t="shared" si="187"/>
        <v>2.7875330246432268</v>
      </c>
      <c r="I276" s="29">
        <f t="shared" si="188"/>
        <v>-0.21557643158164433</v>
      </c>
      <c r="J276" s="29">
        <f t="shared" si="189"/>
        <v>-0.44810970184790039</v>
      </c>
      <c r="K276" s="26">
        <f t="shared" si="152"/>
        <v>-2.2734062216672659</v>
      </c>
      <c r="L276" s="26">
        <f t="shared" si="153"/>
        <v>9.3349525739849643E-2</v>
      </c>
      <c r="M276" s="26">
        <f t="shared" si="154"/>
        <v>0.84844539166195698</v>
      </c>
      <c r="N276" s="26">
        <f t="shared" si="155"/>
        <v>0.70024092624717926</v>
      </c>
      <c r="O276" s="26">
        <f t="shared" si="156"/>
        <v>-0.33885025614107889</v>
      </c>
      <c r="P276" s="26">
        <f t="shared" si="157"/>
        <v>0.4160887906001805</v>
      </c>
      <c r="Q276" s="26">
        <f t="shared" si="158"/>
        <v>8.6564940831560425E-2</v>
      </c>
      <c r="R276" s="26">
        <f t="shared" si="159"/>
        <v>-5.5586452347413378</v>
      </c>
      <c r="S276" s="26">
        <f t="shared" si="160"/>
        <v>3.8391978737287447E-3</v>
      </c>
      <c r="T276" s="26">
        <f t="shared" si="161"/>
        <v>1.3016213565195454</v>
      </c>
      <c r="U276" s="26">
        <f t="shared" si="162"/>
        <v>0.78610772822888553</v>
      </c>
      <c r="V276" s="26">
        <f t="shared" si="163"/>
        <v>-0.60687410987707768</v>
      </c>
      <c r="W276" s="26">
        <f t="shared" si="164"/>
        <v>0.35277258503817277</v>
      </c>
      <c r="X276" s="26">
        <f t="shared" si="165"/>
        <v>0.20945166333908466</v>
      </c>
      <c r="Y276" s="26">
        <f t="shared" si="166"/>
        <v>0.54205880782456184</v>
      </c>
      <c r="Z276" s="26">
        <f t="shared" si="167"/>
        <v>0.63229121880351147</v>
      </c>
      <c r="AA276" s="26">
        <f t="shared" si="168"/>
        <v>0.56499350470154153</v>
      </c>
      <c r="AB276" s="26">
        <f t="shared" si="169"/>
        <v>0.63760715179185812</v>
      </c>
      <c r="AC276" s="26">
        <f t="shared" si="170"/>
        <v>1.1769698772245798</v>
      </c>
      <c r="AD276" s="26">
        <f t="shared" si="171"/>
        <v>0.76440254229273707</v>
      </c>
      <c r="AE276" s="26">
        <f t="shared" si="172"/>
        <v>2.7753081039062773E-2</v>
      </c>
      <c r="AF276" s="26">
        <f t="shared" si="173"/>
        <v>-2.74318020524951</v>
      </c>
      <c r="AG276" s="26">
        <f t="shared" si="174"/>
        <v>6.0472964061027208E-2</v>
      </c>
      <c r="AH276" s="26">
        <f t="shared" si="175"/>
        <v>1.0181694695591301</v>
      </c>
      <c r="AI276" s="26">
        <f t="shared" si="176"/>
        <v>0.73461588099349817</v>
      </c>
      <c r="AJ276" s="26">
        <f t="shared" si="177"/>
        <v>-0.4379051876375083</v>
      </c>
      <c r="AK276" s="26">
        <f t="shared" si="178"/>
        <v>0.3922402341479565</v>
      </c>
      <c r="AL276" s="26">
        <f t="shared" si="179"/>
        <v>7.6926200642221873E-2</v>
      </c>
      <c r="AM276" s="27">
        <f t="shared" si="180"/>
        <v>0.40069588585192972</v>
      </c>
    </row>
    <row r="277" spans="1:39" ht="15" customHeight="1" x14ac:dyDescent="0.2">
      <c r="A277" s="24">
        <v>266</v>
      </c>
      <c r="B277" s="29">
        <f t="shared" si="181"/>
        <v>2.828154208146886</v>
      </c>
      <c r="C277" s="29">
        <f t="shared" si="182"/>
        <v>-3.2984726207574395</v>
      </c>
      <c r="D277" s="29">
        <f t="shared" si="183"/>
        <v>-2.2829917516830531</v>
      </c>
      <c r="E277" s="29">
        <f t="shared" si="184"/>
        <v>-0.28163554254252327</v>
      </c>
      <c r="F277" s="29">
        <f t="shared" si="185"/>
        <v>0.45174921208192798</v>
      </c>
      <c r="G277" s="29">
        <f t="shared" si="186"/>
        <v>0.84947962373779495</v>
      </c>
      <c r="H277" s="29">
        <f t="shared" si="187"/>
        <v>2.7998364112122278</v>
      </c>
      <c r="I277" s="29">
        <f t="shared" si="188"/>
        <v>-0.21183381285004721</v>
      </c>
      <c r="J277" s="29">
        <f t="shared" si="189"/>
        <v>-0.4525008189746893</v>
      </c>
      <c r="K277" s="26">
        <f t="shared" si="152"/>
        <v>-2.2829917516830531</v>
      </c>
      <c r="L277" s="26">
        <f t="shared" si="153"/>
        <v>9.2541406854508887E-2</v>
      </c>
      <c r="M277" s="26">
        <f t="shared" si="154"/>
        <v>0.84947962373779495</v>
      </c>
      <c r="N277" s="26">
        <f t="shared" si="155"/>
        <v>0.70045797028540224</v>
      </c>
      <c r="O277" s="26">
        <f t="shared" si="156"/>
        <v>-0.34178070110539227</v>
      </c>
      <c r="P277" s="26">
        <f t="shared" si="157"/>
        <v>0.41537698842848214</v>
      </c>
      <c r="Q277" s="26">
        <f t="shared" si="158"/>
        <v>8.6269021257957698E-2</v>
      </c>
      <c r="R277" s="26">
        <f t="shared" si="159"/>
        <v>-5.5814643724404931</v>
      </c>
      <c r="S277" s="26">
        <f t="shared" si="160"/>
        <v>3.7529077479418328E-3</v>
      </c>
      <c r="T277" s="26">
        <f t="shared" si="161"/>
        <v>1.3012288358197228</v>
      </c>
      <c r="U277" s="26">
        <f t="shared" si="162"/>
        <v>0.78604172145706352</v>
      </c>
      <c r="V277" s="26">
        <f t="shared" si="163"/>
        <v>-0.60850350612954585</v>
      </c>
      <c r="W277" s="26">
        <f t="shared" si="164"/>
        <v>0.35240064393228576</v>
      </c>
      <c r="X277" s="26">
        <f t="shared" si="165"/>
        <v>0.20969246298965907</v>
      </c>
      <c r="Y277" s="26">
        <f t="shared" si="166"/>
        <v>0.54516245646383288</v>
      </c>
      <c r="Z277" s="26">
        <f t="shared" si="167"/>
        <v>0.63301251737853204</v>
      </c>
      <c r="AA277" s="26">
        <f t="shared" si="168"/>
        <v>0.56784408119527163</v>
      </c>
      <c r="AB277" s="26">
        <f t="shared" si="169"/>
        <v>0.63826555946088026</v>
      </c>
      <c r="AC277" s="26">
        <f t="shared" si="170"/>
        <v>1.184624448863371</v>
      </c>
      <c r="AD277" s="26">
        <f t="shared" si="171"/>
        <v>0.76577827297427692</v>
      </c>
      <c r="AE277" s="26">
        <f t="shared" si="172"/>
        <v>2.7429908705456169E-2</v>
      </c>
      <c r="AF277" s="26">
        <f t="shared" si="173"/>
        <v>-2.7533101642936066</v>
      </c>
      <c r="AG277" s="26">
        <f t="shared" si="174"/>
        <v>5.9899976527449064E-2</v>
      </c>
      <c r="AH277" s="26">
        <f t="shared" si="175"/>
        <v>1.0195932932771996</v>
      </c>
      <c r="AI277" s="26">
        <f t="shared" si="176"/>
        <v>0.73489337035678692</v>
      </c>
      <c r="AJ277" s="26">
        <f t="shared" si="177"/>
        <v>-0.44046594834327968</v>
      </c>
      <c r="AK277" s="26">
        <f t="shared" si="178"/>
        <v>0.39162994869274559</v>
      </c>
      <c r="AL277" s="26">
        <f t="shared" si="179"/>
        <v>7.668700835654127E-2</v>
      </c>
      <c r="AM277" s="27">
        <f t="shared" si="180"/>
        <v>0.40007840130961425</v>
      </c>
    </row>
    <row r="278" spans="1:39" ht="15" customHeight="1" x14ac:dyDescent="0.2">
      <c r="A278" s="24">
        <v>267</v>
      </c>
      <c r="B278" s="29">
        <f t="shared" si="181"/>
        <v>2.8407674293397833</v>
      </c>
      <c r="C278" s="29">
        <f t="shared" si="182"/>
        <v>-3.3116368909392522</v>
      </c>
      <c r="D278" s="29">
        <f t="shared" si="183"/>
        <v>-2.2925482488234081</v>
      </c>
      <c r="E278" s="29">
        <f t="shared" si="184"/>
        <v>-0.27983934287147594</v>
      </c>
      <c r="F278" s="29">
        <f t="shared" si="185"/>
        <v>0.45033483467534069</v>
      </c>
      <c r="G278" s="29">
        <f t="shared" si="186"/>
        <v>0.85049384790908245</v>
      </c>
      <c r="H278" s="29">
        <f t="shared" si="187"/>
        <v>2.8120604224272916</v>
      </c>
      <c r="I278" s="29">
        <f t="shared" si="188"/>
        <v>-0.20807622566627831</v>
      </c>
      <c r="J278" s="29">
        <f t="shared" si="189"/>
        <v>-0.45687671321471773</v>
      </c>
      <c r="K278" s="26">
        <f t="shared" si="152"/>
        <v>-2.2925482488234081</v>
      </c>
      <c r="L278" s="26">
        <f t="shared" si="153"/>
        <v>9.1741995059972603E-2</v>
      </c>
      <c r="M278" s="26">
        <f t="shared" si="154"/>
        <v>0.85049384790908245</v>
      </c>
      <c r="N278" s="26">
        <f t="shared" si="155"/>
        <v>0.70067072808095898</v>
      </c>
      <c r="O278" s="26">
        <f t="shared" si="156"/>
        <v>-0.34468560036597784</v>
      </c>
      <c r="P278" s="26">
        <f t="shared" si="157"/>
        <v>0.41467173961518933</v>
      </c>
      <c r="Q278" s="26">
        <f t="shared" si="158"/>
        <v>8.5976325817743685E-2</v>
      </c>
      <c r="R278" s="26">
        <f t="shared" si="159"/>
        <v>-5.6041851397626603</v>
      </c>
      <c r="S278" s="26">
        <f t="shared" si="160"/>
        <v>3.6689095139489786E-3</v>
      </c>
      <c r="T278" s="26">
        <f t="shared" si="161"/>
        <v>1.3008286825844231</v>
      </c>
      <c r="U278" s="26">
        <f t="shared" si="162"/>
        <v>0.78597441592956829</v>
      </c>
      <c r="V278" s="26">
        <f t="shared" si="163"/>
        <v>-0.61010210791395703</v>
      </c>
      <c r="W278" s="26">
        <f t="shared" si="164"/>
        <v>0.35203590607563628</v>
      </c>
      <c r="X278" s="26">
        <f t="shared" si="165"/>
        <v>0.20992873350761082</v>
      </c>
      <c r="Y278" s="26">
        <f t="shared" si="166"/>
        <v>0.54821918051637519</v>
      </c>
      <c r="Z278" s="26">
        <f t="shared" si="167"/>
        <v>0.63372232867211131</v>
      </c>
      <c r="AA278" s="26">
        <f t="shared" si="168"/>
        <v>0.57065450503760651</v>
      </c>
      <c r="AB278" s="26">
        <f t="shared" si="169"/>
        <v>0.63891418505026276</v>
      </c>
      <c r="AC278" s="26">
        <f t="shared" si="170"/>
        <v>1.1922459139026818</v>
      </c>
      <c r="AD278" s="26">
        <f t="shared" si="171"/>
        <v>0.76714250348180668</v>
      </c>
      <c r="AE278" s="26">
        <f t="shared" si="172"/>
        <v>2.7111306842360208E-2</v>
      </c>
      <c r="AF278" s="26">
        <f t="shared" si="173"/>
        <v>-2.763417710422877</v>
      </c>
      <c r="AG278" s="26">
        <f t="shared" si="174"/>
        <v>5.9333326172417149E-2</v>
      </c>
      <c r="AH278" s="26">
        <f t="shared" si="175"/>
        <v>1.0209893397129473</v>
      </c>
      <c r="AI278" s="26">
        <f t="shared" si="176"/>
        <v>0.73516526604485422</v>
      </c>
      <c r="AJ278" s="26">
        <f t="shared" si="177"/>
        <v>-0.4429982287538527</v>
      </c>
      <c r="AK278" s="26">
        <f t="shared" si="178"/>
        <v>0.39102678370836458</v>
      </c>
      <c r="AL278" s="26">
        <f t="shared" si="179"/>
        <v>7.6450972788654065E-2</v>
      </c>
      <c r="AM278" s="27">
        <f t="shared" si="180"/>
        <v>0.39946733895636877</v>
      </c>
    </row>
    <row r="279" spans="1:39" ht="15" customHeight="1" x14ac:dyDescent="0.2">
      <c r="A279" s="24">
        <v>268</v>
      </c>
      <c r="B279" s="29">
        <f t="shared" si="181"/>
        <v>2.8533046868336864</v>
      </c>
      <c r="C279" s="29">
        <f t="shared" si="182"/>
        <v>-3.3247315941689743</v>
      </c>
      <c r="D279" s="29">
        <f t="shared" si="183"/>
        <v>-2.3020752721784721</v>
      </c>
      <c r="E279" s="29">
        <f t="shared" si="184"/>
        <v>-0.27806394041005228</v>
      </c>
      <c r="F279" s="29">
        <f t="shared" si="185"/>
        <v>0.44893351359147587</v>
      </c>
      <c r="G279" s="29">
        <f t="shared" si="186"/>
        <v>0.85148805926011362</v>
      </c>
      <c r="H279" s="29">
        <f t="shared" si="187"/>
        <v>2.8242048860490612</v>
      </c>
      <c r="I279" s="29">
        <f t="shared" si="188"/>
        <v>-0.20430399019652673</v>
      </c>
      <c r="J279" s="29">
        <f t="shared" si="189"/>
        <v>-0.46123727380978646</v>
      </c>
      <c r="K279" s="26">
        <f t="shared" si="152"/>
        <v>-2.3020752721784721</v>
      </c>
      <c r="L279" s="26">
        <f t="shared" si="153"/>
        <v>9.0951233649297289E-2</v>
      </c>
      <c r="M279" s="26">
        <f t="shared" si="154"/>
        <v>0.85148805926011362</v>
      </c>
      <c r="N279" s="26">
        <f t="shared" si="155"/>
        <v>0.70087920366926226</v>
      </c>
      <c r="O279" s="26">
        <f t="shared" si="156"/>
        <v>-0.34756477330064572</v>
      </c>
      <c r="P279" s="26">
        <f t="shared" si="157"/>
        <v>0.41397308151168843</v>
      </c>
      <c r="Q279" s="26">
        <f t="shared" si="158"/>
        <v>8.5686856108141515E-2</v>
      </c>
      <c r="R279" s="26">
        <f t="shared" si="159"/>
        <v>-5.6268068663474464</v>
      </c>
      <c r="S279" s="26">
        <f t="shared" si="160"/>
        <v>3.5871385552869385E-3</v>
      </c>
      <c r="T279" s="26">
        <f t="shared" si="161"/>
        <v>1.3004215728515895</v>
      </c>
      <c r="U279" s="26">
        <f t="shared" si="162"/>
        <v>0.78590592451362551</v>
      </c>
      <c r="V279" s="26">
        <f t="shared" si="163"/>
        <v>-0.61167017587223416</v>
      </c>
      <c r="W279" s="26">
        <f t="shared" si="164"/>
        <v>0.35167830242657916</v>
      </c>
      <c r="X279" s="26">
        <f t="shared" si="165"/>
        <v>0.21016051177224107</v>
      </c>
      <c r="Y279" s="26">
        <f t="shared" si="166"/>
        <v>0.55122941465521436</v>
      </c>
      <c r="Z279" s="26">
        <f t="shared" si="167"/>
        <v>0.63442077754196657</v>
      </c>
      <c r="AA279" s="26">
        <f t="shared" si="168"/>
        <v>0.57342411885006128</v>
      </c>
      <c r="AB279" s="26">
        <f t="shared" si="169"/>
        <v>0.63955289670261739</v>
      </c>
      <c r="AC279" s="26">
        <f t="shared" si="170"/>
        <v>1.1998337771971881</v>
      </c>
      <c r="AD279" s="26">
        <f t="shared" si="171"/>
        <v>0.76849521206663751</v>
      </c>
      <c r="AE279" s="26">
        <f t="shared" si="172"/>
        <v>2.6797233418035568E-2</v>
      </c>
      <c r="AF279" s="26">
        <f t="shared" si="173"/>
        <v>-2.77350217951376</v>
      </c>
      <c r="AG279" s="26">
        <f t="shared" si="174"/>
        <v>5.8772977758377379E-2</v>
      </c>
      <c r="AH279" s="26">
        <f t="shared" si="175"/>
        <v>1.0223576324415373</v>
      </c>
      <c r="AI279" s="26">
        <f t="shared" si="176"/>
        <v>0.73543158320576485</v>
      </c>
      <c r="AJ279" s="26">
        <f t="shared" si="177"/>
        <v>-0.44550194982241098</v>
      </c>
      <c r="AK279" s="26">
        <f t="shared" si="178"/>
        <v>0.39043074846693226</v>
      </c>
      <c r="AL279" s="26">
        <f t="shared" si="179"/>
        <v>7.6218084674224459E-2</v>
      </c>
      <c r="AM279" s="27">
        <f t="shared" si="180"/>
        <v>0.39886268597264263</v>
      </c>
    </row>
    <row r="280" spans="1:39" ht="15" customHeight="1" x14ac:dyDescent="0.2">
      <c r="A280" s="24">
        <v>269</v>
      </c>
      <c r="B280" s="29">
        <f t="shared" si="181"/>
        <v>2.8657660059323895</v>
      </c>
      <c r="C280" s="29">
        <f t="shared" si="182"/>
        <v>-3.3377565344728208</v>
      </c>
      <c r="D280" s="29">
        <f t="shared" si="183"/>
        <v>-2.3115723988420829</v>
      </c>
      <c r="E280" s="29">
        <f t="shared" si="184"/>
        <v>-0.27630998006468094</v>
      </c>
      <c r="F280" s="29">
        <f t="shared" si="185"/>
        <v>0.44754592381073238</v>
      </c>
      <c r="G280" s="29">
        <f t="shared" si="186"/>
        <v>0.85246225776156925</v>
      </c>
      <c r="H280" s="29">
        <f t="shared" si="187"/>
        <v>2.8362696698316889</v>
      </c>
      <c r="I280" s="29">
        <f t="shared" si="188"/>
        <v>-0.20051741663789371</v>
      </c>
      <c r="J280" s="29">
        <f t="shared" si="189"/>
        <v>-0.46558240875498891</v>
      </c>
      <c r="K280" s="26">
        <f t="shared" si="152"/>
        <v>-2.3115723988420829</v>
      </c>
      <c r="L280" s="26">
        <f t="shared" si="153"/>
        <v>9.0169064141761221E-2</v>
      </c>
      <c r="M280" s="26">
        <f t="shared" si="154"/>
        <v>0.85246225776156925</v>
      </c>
      <c r="N280" s="26">
        <f t="shared" si="155"/>
        <v>0.70108340201696018</v>
      </c>
      <c r="O280" s="26">
        <f t="shared" si="156"/>
        <v>-0.35041805959275019</v>
      </c>
      <c r="P280" s="26">
        <f t="shared" si="157"/>
        <v>0.41328104639285068</v>
      </c>
      <c r="Q280" s="26">
        <f t="shared" si="158"/>
        <v>8.5400611653784805E-2</v>
      </c>
      <c r="R280" s="26">
        <f t="shared" si="159"/>
        <v>-5.6493289333149033</v>
      </c>
      <c r="S280" s="26">
        <f t="shared" si="160"/>
        <v>3.5075319706216516E-3</v>
      </c>
      <c r="T280" s="26">
        <f t="shared" si="161"/>
        <v>1.3000081815723017</v>
      </c>
      <c r="U280" s="26">
        <f t="shared" si="162"/>
        <v>0.78583635998455925</v>
      </c>
      <c r="V280" s="26">
        <f t="shared" si="163"/>
        <v>-0.61320797901497937</v>
      </c>
      <c r="W280" s="26">
        <f t="shared" si="164"/>
        <v>0.35132776229713863</v>
      </c>
      <c r="X280" s="26">
        <f t="shared" si="165"/>
        <v>0.2103878359832187</v>
      </c>
      <c r="Y280" s="26">
        <f t="shared" si="166"/>
        <v>0.55419360709030663</v>
      </c>
      <c r="Z280" s="26">
        <f t="shared" si="167"/>
        <v>0.63510799149644248</v>
      </c>
      <c r="AA280" s="26">
        <f t="shared" si="168"/>
        <v>0.57615227769688837</v>
      </c>
      <c r="AB280" s="26">
        <f t="shared" si="169"/>
        <v>0.64018156575247476</v>
      </c>
      <c r="AC280" s="26">
        <f t="shared" si="170"/>
        <v>1.2073875708502049</v>
      </c>
      <c r="AD280" s="26">
        <f t="shared" si="171"/>
        <v>0.76983638343702909</v>
      </c>
      <c r="AE280" s="26">
        <f t="shared" si="172"/>
        <v>2.6487645194673146E-2</v>
      </c>
      <c r="AF280" s="26">
        <f t="shared" si="173"/>
        <v>-2.7835629273825142</v>
      </c>
      <c r="AG280" s="26">
        <f t="shared" si="174"/>
        <v>5.8218894406436961E-2</v>
      </c>
      <c r="AH280" s="26">
        <f t="shared" si="175"/>
        <v>1.0236982015076208</v>
      </c>
      <c r="AI280" s="26">
        <f t="shared" si="176"/>
        <v>0.7356923380328958</v>
      </c>
      <c r="AJ280" s="26">
        <f t="shared" si="177"/>
        <v>-0.44797705140152633</v>
      </c>
      <c r="AK280" s="26">
        <f t="shared" si="178"/>
        <v>0.38984184771593067</v>
      </c>
      <c r="AL280" s="26">
        <f t="shared" si="179"/>
        <v>7.5988333115285439E-2</v>
      </c>
      <c r="AM280" s="27">
        <f t="shared" si="180"/>
        <v>0.3982644259469621</v>
      </c>
    </row>
    <row r="281" spans="1:39" ht="15" customHeight="1" x14ac:dyDescent="0.2">
      <c r="A281" s="24">
        <v>270</v>
      </c>
      <c r="B281" s="29">
        <f t="shared" si="181"/>
        <v>2.8781514422156591</v>
      </c>
      <c r="C281" s="29">
        <f t="shared" si="182"/>
        <v>-3.3507115482567724</v>
      </c>
      <c r="D281" s="29">
        <f t="shared" si="183"/>
        <v>-2.3210392237000153</v>
      </c>
      <c r="E281" s="29">
        <f t="shared" si="184"/>
        <v>-0.27457809912760001</v>
      </c>
      <c r="F281" s="29">
        <f t="shared" si="185"/>
        <v>0.4461727341180039</v>
      </c>
      <c r="G281" s="29">
        <f t="shared" si="186"/>
        <v>0.85341644801657623</v>
      </c>
      <c r="H281" s="29">
        <f t="shared" si="187"/>
        <v>2.8482546801246249</v>
      </c>
      <c r="I281" s="29">
        <f t="shared" si="188"/>
        <v>-0.19671680479509118</v>
      </c>
      <c r="J281" s="29">
        <f t="shared" si="189"/>
        <v>-0.46991204440046097</v>
      </c>
      <c r="K281" s="26">
        <f t="shared" si="152"/>
        <v>-2.3210392237000153</v>
      </c>
      <c r="L281" s="26">
        <f t="shared" si="153"/>
        <v>8.9395426381796331E-2</v>
      </c>
      <c r="M281" s="26">
        <f t="shared" si="154"/>
        <v>0.85341644801657623</v>
      </c>
      <c r="N281" s="26">
        <f t="shared" si="155"/>
        <v>0.70128332896634538</v>
      </c>
      <c r="O281" s="26">
        <f t="shared" si="156"/>
        <v>-0.35324531855709751</v>
      </c>
      <c r="P281" s="26">
        <f t="shared" si="157"/>
        <v>0.41259566163644174</v>
      </c>
      <c r="Q281" s="26">
        <f t="shared" si="158"/>
        <v>8.5117590000606563E-2</v>
      </c>
      <c r="R281" s="26">
        <f t="shared" si="159"/>
        <v>-5.6717507719567877</v>
      </c>
      <c r="S281" s="26">
        <f t="shared" si="160"/>
        <v>3.4300285420792577E-3</v>
      </c>
      <c r="T281" s="26">
        <f t="shared" si="161"/>
        <v>1.2995891821345802</v>
      </c>
      <c r="U281" s="26">
        <f t="shared" si="162"/>
        <v>0.78576583494971586</v>
      </c>
      <c r="V281" s="26">
        <f t="shared" si="163"/>
        <v>-0.61471579392097775</v>
      </c>
      <c r="W281" s="26">
        <f t="shared" si="164"/>
        <v>0.35098421353678366</v>
      </c>
      <c r="X281" s="26">
        <f t="shared" si="165"/>
        <v>0.21061074553923362</v>
      </c>
      <c r="Y281" s="26">
        <f t="shared" si="166"/>
        <v>0.55711221851564385</v>
      </c>
      <c r="Z281" s="26">
        <f t="shared" si="167"/>
        <v>0.63578410043706124</v>
      </c>
      <c r="AA281" s="26">
        <f t="shared" si="168"/>
        <v>0.57883834888897623</v>
      </c>
      <c r="AB281" s="26">
        <f t="shared" si="169"/>
        <v>0.64080006665023548</v>
      </c>
      <c r="AC281" s="26">
        <f t="shared" si="170"/>
        <v>1.2149068535943075</v>
      </c>
      <c r="AD281" s="26">
        <f t="shared" si="171"/>
        <v>0.7711660085183204</v>
      </c>
      <c r="AE281" s="26">
        <f t="shared" si="172"/>
        <v>2.6182497828718707E-2</v>
      </c>
      <c r="AF281" s="26">
        <f t="shared" si="173"/>
        <v>-2.7935993297411286</v>
      </c>
      <c r="AG281" s="26">
        <f t="shared" si="174"/>
        <v>5.7671037674412784E-2</v>
      </c>
      <c r="AH281" s="26">
        <f t="shared" si="175"/>
        <v>1.0250110830069801</v>
      </c>
      <c r="AI281" s="26">
        <f t="shared" si="176"/>
        <v>0.7359475476797257</v>
      </c>
      <c r="AJ281" s="26">
        <f t="shared" si="177"/>
        <v>-0.45042349151300987</v>
      </c>
      <c r="AK281" s="26">
        <f t="shared" si="178"/>
        <v>0.38926008186815325</v>
      </c>
      <c r="AL281" s="26">
        <f t="shared" si="179"/>
        <v>7.5761705668000681E-2</v>
      </c>
      <c r="AM281" s="27">
        <f t="shared" si="180"/>
        <v>0.39767253903655958</v>
      </c>
    </row>
    <row r="282" spans="1:39" ht="15" customHeight="1" x14ac:dyDescent="0.2">
      <c r="A282" s="24">
        <v>271</v>
      </c>
      <c r="B282" s="29">
        <f t="shared" si="181"/>
        <v>2.89046108029441</v>
      </c>
      <c r="C282" s="29">
        <f t="shared" si="182"/>
        <v>-3.3635965032177593</v>
      </c>
      <c r="D282" s="29">
        <f t="shared" si="183"/>
        <v>-2.3304753592034442</v>
      </c>
      <c r="E282" s="29">
        <f t="shared" si="184"/>
        <v>-0.27286892723687833</v>
      </c>
      <c r="F282" s="29">
        <f t="shared" si="185"/>
        <v>0.44481460689520103</v>
      </c>
      <c r="G282" s="29">
        <f t="shared" si="186"/>
        <v>0.85435063900216324</v>
      </c>
      <c r="H282" s="29">
        <f t="shared" si="187"/>
        <v>2.8601598604854912</v>
      </c>
      <c r="I282" s="29">
        <f t="shared" si="188"/>
        <v>-0.19290244367979387</v>
      </c>
      <c r="J282" s="29">
        <f t="shared" si="189"/>
        <v>-0.47422612505149009</v>
      </c>
      <c r="K282" s="26">
        <f t="shared" si="152"/>
        <v>-2.3304753592034442</v>
      </c>
      <c r="L282" s="26">
        <f t="shared" si="153"/>
        <v>8.8630258636311965E-2</v>
      </c>
      <c r="M282" s="26">
        <f t="shared" si="154"/>
        <v>0.85435063900216324</v>
      </c>
      <c r="N282" s="26">
        <f t="shared" si="155"/>
        <v>0.70147899117904855</v>
      </c>
      <c r="O282" s="26">
        <f t="shared" si="156"/>
        <v>-0.35604642846393808</v>
      </c>
      <c r="P282" s="26">
        <f t="shared" si="157"/>
        <v>0.41191694990250566</v>
      </c>
      <c r="Q282" s="26">
        <f t="shared" si="158"/>
        <v>8.4837786808491675E-2</v>
      </c>
      <c r="R282" s="26">
        <f t="shared" si="159"/>
        <v>-5.6940718624212039</v>
      </c>
      <c r="S282" s="26">
        <f t="shared" si="160"/>
        <v>3.3545687030660781E-3</v>
      </c>
      <c r="T282" s="26">
        <f t="shared" si="161"/>
        <v>1.2991652458973642</v>
      </c>
      <c r="U282" s="26">
        <f t="shared" si="162"/>
        <v>0.78569446177353508</v>
      </c>
      <c r="V282" s="26">
        <f t="shared" si="163"/>
        <v>-0.61619390395953499</v>
      </c>
      <c r="W282" s="26">
        <f t="shared" si="164"/>
        <v>0.350647582710227</v>
      </c>
      <c r="X282" s="26">
        <f t="shared" si="165"/>
        <v>0.21082928092003575</v>
      </c>
      <c r="Y282" s="26">
        <f t="shared" si="166"/>
        <v>0.55998572109096578</v>
      </c>
      <c r="Z282" s="26">
        <f t="shared" si="167"/>
        <v>0.63644923641110096</v>
      </c>
      <c r="AA282" s="26">
        <f t="shared" si="168"/>
        <v>0.58148171176528485</v>
      </c>
      <c r="AB282" s="26">
        <f t="shared" si="169"/>
        <v>0.64140827688100721</v>
      </c>
      <c r="AC282" s="26">
        <f t="shared" si="170"/>
        <v>1.2223912101613896</v>
      </c>
      <c r="AD282" s="26">
        <f t="shared" si="171"/>
        <v>0.77248408421466974</v>
      </c>
      <c r="AE282" s="26">
        <f t="shared" si="172"/>
        <v>2.5881745967818746E-2</v>
      </c>
      <c r="AF282" s="26">
        <f t="shared" si="173"/>
        <v>-2.8036107821267935</v>
      </c>
      <c r="AG282" s="26">
        <f t="shared" si="174"/>
        <v>5.7129367634285735E-2</v>
      </c>
      <c r="AH282" s="26">
        <f t="shared" si="175"/>
        <v>1.0262963186604859</v>
      </c>
      <c r="AI282" s="26">
        <f t="shared" si="176"/>
        <v>0.73619723017368754</v>
      </c>
      <c r="AJ282" s="26">
        <f t="shared" si="177"/>
        <v>-0.45284124561978711</v>
      </c>
      <c r="AK282" s="26">
        <f t="shared" si="178"/>
        <v>0.38868544719033893</v>
      </c>
      <c r="AL282" s="26">
        <f t="shared" si="179"/>
        <v>7.5538188428776881E-2</v>
      </c>
      <c r="AM282" s="27">
        <f t="shared" si="180"/>
        <v>0.39708700212512305</v>
      </c>
    </row>
    <row r="283" spans="1:39" ht="15" customHeight="1" x14ac:dyDescent="0.2">
      <c r="A283" s="24">
        <v>272</v>
      </c>
      <c r="B283" s="29">
        <f t="shared" si="181"/>
        <v>2.9026950325871819</v>
      </c>
      <c r="C283" s="29">
        <f t="shared" si="182"/>
        <v>-3.3764112972647982</v>
      </c>
      <c r="D283" s="29">
        <f t="shared" si="183"/>
        <v>-2.3398804351288205</v>
      </c>
      <c r="E283" s="29">
        <f t="shared" si="184"/>
        <v>-0.27118308635377647</v>
      </c>
      <c r="F283" s="29">
        <f t="shared" si="185"/>
        <v>0.44347219792826298</v>
      </c>
      <c r="G283" s="29">
        <f t="shared" si="186"/>
        <v>0.8552648438065894</v>
      </c>
      <c r="H283" s="29">
        <f t="shared" si="187"/>
        <v>2.8719851903063733</v>
      </c>
      <c r="I283" s="29">
        <f t="shared" si="188"/>
        <v>-0.18907461113243534</v>
      </c>
      <c r="J283" s="29">
        <f t="shared" si="189"/>
        <v>-0.47852461256804069</v>
      </c>
      <c r="K283" s="26">
        <f t="shared" si="152"/>
        <v>-2.3398804351288205</v>
      </c>
      <c r="L283" s="26">
        <f t="shared" si="153"/>
        <v>8.7873497690282715E-2</v>
      </c>
      <c r="M283" s="26">
        <f t="shared" si="154"/>
        <v>0.8552648438065894</v>
      </c>
      <c r="N283" s="26">
        <f t="shared" si="155"/>
        <v>0.70167039607911064</v>
      </c>
      <c r="O283" s="26">
        <f t="shared" si="156"/>
        <v>-0.35882128586292716</v>
      </c>
      <c r="P283" s="26">
        <f t="shared" si="157"/>
        <v>0.41124492931224593</v>
      </c>
      <c r="Q283" s="26">
        <f t="shared" si="158"/>
        <v>8.456119594251707E-2</v>
      </c>
      <c r="R283" s="26">
        <f t="shared" si="159"/>
        <v>-5.7162917323936187</v>
      </c>
      <c r="S283" s="26">
        <f t="shared" si="160"/>
        <v>3.2810945056771933E-3</v>
      </c>
      <c r="T283" s="26">
        <f t="shared" si="161"/>
        <v>1.2987370417348525</v>
      </c>
      <c r="U283" s="26">
        <f t="shared" si="162"/>
        <v>0.78562235250380508</v>
      </c>
      <c r="V283" s="26">
        <f t="shared" si="163"/>
        <v>-0.61764259853634618</v>
      </c>
      <c r="W283" s="26">
        <f t="shared" si="164"/>
        <v>0.35031779526914303</v>
      </c>
      <c r="X283" s="26">
        <f t="shared" si="165"/>
        <v>0.21104348357197361</v>
      </c>
      <c r="Y283" s="26">
        <f t="shared" si="166"/>
        <v>0.56281459745836138</v>
      </c>
      <c r="Z283" s="26">
        <f t="shared" si="167"/>
        <v>0.63710353337416403</v>
      </c>
      <c r="AA283" s="26">
        <f t="shared" si="168"/>
        <v>0.58408175745281299</v>
      </c>
      <c r="AB283" s="26">
        <f t="shared" si="169"/>
        <v>0.64200607687861411</v>
      </c>
      <c r="AC283" s="26">
        <f t="shared" si="170"/>
        <v>1.2298402506439363</v>
      </c>
      <c r="AD283" s="26">
        <f t="shared" si="171"/>
        <v>0.77379061317283893</v>
      </c>
      <c r="AE283" s="26">
        <f t="shared" si="172"/>
        <v>2.5585343344360096E-2</v>
      </c>
      <c r="AF283" s="26">
        <f t="shared" si="173"/>
        <v>-2.8135966998064368</v>
      </c>
      <c r="AG283" s="26">
        <f t="shared" si="174"/>
        <v>5.6593842948904079E-2</v>
      </c>
      <c r="AH283" s="26">
        <f t="shared" si="175"/>
        <v>1.027553955381076</v>
      </c>
      <c r="AI283" s="26">
        <f t="shared" si="176"/>
        <v>0.73644140432920668</v>
      </c>
      <c r="AJ283" s="26">
        <f t="shared" si="177"/>
        <v>-0.45523030590163271</v>
      </c>
      <c r="AK283" s="26">
        <f t="shared" si="178"/>
        <v>0.38811793599005473</v>
      </c>
      <c r="AL283" s="26">
        <f t="shared" si="179"/>
        <v>7.5317766118590104E-2</v>
      </c>
      <c r="AM283" s="27">
        <f t="shared" si="180"/>
        <v>0.39650778897744082</v>
      </c>
    </row>
    <row r="284" spans="1:39" ht="15" customHeight="1" x14ac:dyDescent="0.2">
      <c r="A284" s="24">
        <v>273</v>
      </c>
      <c r="B284" s="29">
        <f t="shared" si="181"/>
        <v>2.9148534381192395</v>
      </c>
      <c r="C284" s="29">
        <f t="shared" si="182"/>
        <v>-3.3891558574517164</v>
      </c>
      <c r="D284" s="29">
        <f t="shared" si="183"/>
        <v>-2.349254098325293</v>
      </c>
      <c r="E284" s="29">
        <f t="shared" si="184"/>
        <v>-0.26952119075691372</v>
      </c>
      <c r="F284" s="29">
        <f t="shared" si="185"/>
        <v>0.44214615622834941</v>
      </c>
      <c r="G284" s="29">
        <f t="shared" si="186"/>
        <v>0.85615907936300428</v>
      </c>
      <c r="H284" s="29">
        <f t="shared" si="187"/>
        <v>2.8837306834556711</v>
      </c>
      <c r="I284" s="29">
        <f t="shared" si="188"/>
        <v>-0.18523357346617397</v>
      </c>
      <c r="J284" s="29">
        <f t="shared" si="189"/>
        <v>-0.48280748596467166</v>
      </c>
      <c r="K284" s="26">
        <f t="shared" si="152"/>
        <v>-2.349254098325293</v>
      </c>
      <c r="L284" s="26">
        <f t="shared" si="153"/>
        <v>8.7125078940487419E-2</v>
      </c>
      <c r="M284" s="26">
        <f t="shared" si="154"/>
        <v>0.85615907936300428</v>
      </c>
      <c r="N284" s="26">
        <f t="shared" si="155"/>
        <v>0.70185755179552367</v>
      </c>
      <c r="O284" s="26">
        <f t="shared" si="156"/>
        <v>-0.36156980490879576</v>
      </c>
      <c r="P284" s="26">
        <f t="shared" si="157"/>
        <v>0.41057961362596579</v>
      </c>
      <c r="Q284" s="26">
        <f t="shared" si="158"/>
        <v>8.4287809562623675E-2</v>
      </c>
      <c r="R284" s="26">
        <f t="shared" si="159"/>
        <v>-5.7384099557770094</v>
      </c>
      <c r="S284" s="26">
        <f t="shared" si="160"/>
        <v>3.2095495877872047E-3</v>
      </c>
      <c r="T284" s="26">
        <f t="shared" si="161"/>
        <v>1.2983052355913536</v>
      </c>
      <c r="U284" s="26">
        <f t="shared" si="162"/>
        <v>0.78554961879912477</v>
      </c>
      <c r="V284" s="26">
        <f t="shared" si="163"/>
        <v>-0.61906217236344985</v>
      </c>
      <c r="W284" s="26">
        <f t="shared" si="164"/>
        <v>0.34999477571772669</v>
      </c>
      <c r="X284" s="26">
        <f t="shared" si="165"/>
        <v>0.21125339579712424</v>
      </c>
      <c r="Y284" s="26">
        <f t="shared" si="166"/>
        <v>0.5655993397939465</v>
      </c>
      <c r="Z284" s="26">
        <f t="shared" si="167"/>
        <v>0.63774712696267577</v>
      </c>
      <c r="AA284" s="26">
        <f t="shared" si="168"/>
        <v>0.58663788860609056</v>
      </c>
      <c r="AB284" s="26">
        <f t="shared" si="169"/>
        <v>0.64259334993505701</v>
      </c>
      <c r="AC284" s="26">
        <f t="shared" si="170"/>
        <v>1.2372536098492257</v>
      </c>
      <c r="AD284" s="26">
        <f t="shared" si="171"/>
        <v>0.77508560354843314</v>
      </c>
      <c r="AE284" s="26">
        <f t="shared" si="172"/>
        <v>2.5293242865586294E-2</v>
      </c>
      <c r="AF284" s="26">
        <f t="shared" si="173"/>
        <v>-2.8235565176577699</v>
      </c>
      <c r="AG284" s="26">
        <f t="shared" si="174"/>
        <v>5.6064420947793653E-2</v>
      </c>
      <c r="AH284" s="26">
        <f t="shared" si="175"/>
        <v>1.0287840448344401</v>
      </c>
      <c r="AI284" s="26">
        <f t="shared" si="176"/>
        <v>0.73668008966003928</v>
      </c>
      <c r="AJ284" s="26">
        <f t="shared" si="177"/>
        <v>-0.45759068053645474</v>
      </c>
      <c r="AK284" s="26">
        <f t="shared" si="178"/>
        <v>0.38755753680042992</v>
      </c>
      <c r="AL284" s="26">
        <f t="shared" si="179"/>
        <v>7.5100422165408298E-2</v>
      </c>
      <c r="AM284" s="27">
        <f t="shared" si="180"/>
        <v>0.39593487039074254</v>
      </c>
    </row>
    <row r="285" spans="1:39" ht="15" customHeight="1" x14ac:dyDescent="0.2">
      <c r="A285" s="24">
        <v>274</v>
      </c>
      <c r="B285" s="29">
        <f t="shared" si="181"/>
        <v>2.9269364613454569</v>
      </c>
      <c r="C285" s="29">
        <f t="shared" si="182"/>
        <v>-3.4018301389229539</v>
      </c>
      <c r="D285" s="29">
        <f t="shared" si="183"/>
        <v>-2.3585960124507883</v>
      </c>
      <c r="E285" s="29">
        <f t="shared" si="184"/>
        <v>-0.26788384705269686</v>
      </c>
      <c r="F285" s="29">
        <f t="shared" si="185"/>
        <v>0.44083712386688156</v>
      </c>
      <c r="G285" s="29">
        <f t="shared" si="186"/>
        <v>0.85703336617987758</v>
      </c>
      <c r="H285" s="29">
        <f t="shared" si="187"/>
        <v>2.8953963869374753</v>
      </c>
      <c r="I285" s="29">
        <f t="shared" si="188"/>
        <v>-0.18137958513270508</v>
      </c>
      <c r="J285" s="29">
        <f t="shared" si="189"/>
        <v>-0.48707474101175208</v>
      </c>
      <c r="K285" s="26">
        <f t="shared" si="152"/>
        <v>-2.3585960124507883</v>
      </c>
      <c r="L285" s="26">
        <f t="shared" si="153"/>
        <v>8.6384936487297753E-2</v>
      </c>
      <c r="M285" s="26">
        <f t="shared" si="154"/>
        <v>0.85703336617987758</v>
      </c>
      <c r="N285" s="26">
        <f t="shared" si="155"/>
        <v>0.70204046710432244</v>
      </c>
      <c r="O285" s="26">
        <f t="shared" si="156"/>
        <v>-0.36429191669035943</v>
      </c>
      <c r="P285" s="26">
        <f t="shared" si="157"/>
        <v>0.40992101241965617</v>
      </c>
      <c r="Q285" s="26">
        <f t="shared" si="158"/>
        <v>8.4017618211577952E-2</v>
      </c>
      <c r="R285" s="26">
        <f t="shared" si="159"/>
        <v>-5.7604261513737427</v>
      </c>
      <c r="S285" s="26">
        <f t="shared" si="160"/>
        <v>3.1398791399107257E-3</v>
      </c>
      <c r="T285" s="26">
        <f t="shared" si="161"/>
        <v>1.2978704900467593</v>
      </c>
      <c r="U285" s="26">
        <f t="shared" si="162"/>
        <v>0.78547637185760288</v>
      </c>
      <c r="V285" s="26">
        <f t="shared" si="163"/>
        <v>-0.62045292475370861</v>
      </c>
      <c r="W285" s="26">
        <f t="shared" si="164"/>
        <v>0.34967844777204765</v>
      </c>
      <c r="X285" s="26">
        <f t="shared" si="165"/>
        <v>0.21145906064608672</v>
      </c>
      <c r="Y285" s="26">
        <f t="shared" si="166"/>
        <v>0.56834044889466862</v>
      </c>
      <c r="Z285" s="26">
        <f t="shared" si="167"/>
        <v>0.63838015427622019</v>
      </c>
      <c r="AA285" s="26">
        <f t="shared" si="168"/>
        <v>0.58914951912718072</v>
      </c>
      <c r="AB285" s="26">
        <f t="shared" si="169"/>
        <v>0.64316998210569887</v>
      </c>
      <c r="AC285" s="26">
        <f t="shared" si="170"/>
        <v>1.244630946648063</v>
      </c>
      <c r="AD285" s="26">
        <f t="shared" si="171"/>
        <v>0.7763690687749657</v>
      </c>
      <c r="AE285" s="26">
        <f t="shared" si="172"/>
        <v>2.5005396700288011E-2</v>
      </c>
      <c r="AF285" s="26">
        <f t="shared" si="173"/>
        <v>-2.8334896900282853</v>
      </c>
      <c r="AG285" s="26">
        <f t="shared" si="174"/>
        <v>5.5541057701943494E-2</v>
      </c>
      <c r="AH285" s="26">
        <f t="shared" si="175"/>
        <v>1.0299866429940623</v>
      </c>
      <c r="AI285" s="26">
        <f t="shared" si="176"/>
        <v>0.73691330629102014</v>
      </c>
      <c r="AJ285" s="26">
        <f t="shared" si="177"/>
        <v>-0.45992239298869431</v>
      </c>
      <c r="AK285" s="26">
        <f t="shared" si="178"/>
        <v>0.38700423456237543</v>
      </c>
      <c r="AL285" s="26">
        <f t="shared" si="179"/>
        <v>7.4886138784605052E-2</v>
      </c>
      <c r="AM285" s="27">
        <f t="shared" si="180"/>
        <v>0.3953682143425577</v>
      </c>
    </row>
    <row r="286" spans="1:39" ht="15" customHeight="1" x14ac:dyDescent="0.2">
      <c r="A286" s="24">
        <v>275</v>
      </c>
      <c r="B286" s="29">
        <f t="shared" si="181"/>
        <v>2.9389442909980157</v>
      </c>
      <c r="C286" s="29">
        <f t="shared" si="182"/>
        <v>-3.4144341238737987</v>
      </c>
      <c r="D286" s="29">
        <f t="shared" si="183"/>
        <v>-2.3679058576978109</v>
      </c>
      <c r="E286" s="29">
        <f t="shared" si="184"/>
        <v>-0.26627165420145948</v>
      </c>
      <c r="F286" s="29">
        <f t="shared" si="185"/>
        <v>0.4395457358240849</v>
      </c>
      <c r="G286" s="29">
        <f t="shared" si="186"/>
        <v>0.85788772806861957</v>
      </c>
      <c r="H286" s="29">
        <f t="shared" si="187"/>
        <v>2.906982379570259</v>
      </c>
      <c r="I286" s="29">
        <f t="shared" si="188"/>
        <v>-0.17751288840954066</v>
      </c>
      <c r="J286" s="29">
        <f t="shared" si="189"/>
        <v>-0.49132638983880572</v>
      </c>
      <c r="K286" s="26">
        <f t="shared" si="152"/>
        <v>-2.3679058576978109</v>
      </c>
      <c r="L286" s="26">
        <f t="shared" si="153"/>
        <v>8.5653003224427635E-2</v>
      </c>
      <c r="M286" s="26">
        <f t="shared" si="154"/>
        <v>0.85788772806861957</v>
      </c>
      <c r="N286" s="26">
        <f t="shared" si="155"/>
        <v>0.70221915137031155</v>
      </c>
      <c r="O286" s="26">
        <f t="shared" si="156"/>
        <v>-0.36698756856436043</v>
      </c>
      <c r="P286" s="26">
        <f t="shared" si="157"/>
        <v>0.40926913125986109</v>
      </c>
      <c r="Q286" s="26">
        <f t="shared" si="158"/>
        <v>8.3750610901100697E-2</v>
      </c>
      <c r="R286" s="26">
        <f t="shared" si="159"/>
        <v>-5.7823399815716101</v>
      </c>
      <c r="S286" s="26">
        <f t="shared" si="160"/>
        <v>3.0720298719142439E-3</v>
      </c>
      <c r="T286" s="26">
        <f t="shared" si="161"/>
        <v>1.2974334638927045</v>
      </c>
      <c r="U286" s="26">
        <f t="shared" si="162"/>
        <v>0.78540272234680653</v>
      </c>
      <c r="V286" s="26">
        <f t="shared" si="163"/>
        <v>-0.62181515894013561</v>
      </c>
      <c r="W286" s="26">
        <f t="shared" si="164"/>
        <v>0.34936873451317219</v>
      </c>
      <c r="X286" s="26">
        <f t="shared" si="165"/>
        <v>0.21166052181449552</v>
      </c>
      <c r="Y286" s="26">
        <f t="shared" si="166"/>
        <v>0.57103843330020476</v>
      </c>
      <c r="Z286" s="26">
        <f t="shared" si="167"/>
        <v>0.63900275366960402</v>
      </c>
      <c r="AA286" s="26">
        <f t="shared" si="168"/>
        <v>0.59161607386716009</v>
      </c>
      <c r="AB286" s="26">
        <f t="shared" si="169"/>
        <v>0.64373586211044354</v>
      </c>
      <c r="AC286" s="26">
        <f t="shared" si="170"/>
        <v>1.2519719433195773</v>
      </c>
      <c r="AD286" s="26">
        <f t="shared" si="171"/>
        <v>0.77764102733608709</v>
      </c>
      <c r="AE286" s="26">
        <f t="shared" si="172"/>
        <v>2.4721756362075385E-2</v>
      </c>
      <c r="AF286" s="26">
        <f t="shared" si="173"/>
        <v>-2.843395690573594</v>
      </c>
      <c r="AG286" s="26">
        <f t="shared" si="174"/>
        <v>5.5023708097448595E-2</v>
      </c>
      <c r="AH286" s="26">
        <f t="shared" si="175"/>
        <v>1.0311618096912449</v>
      </c>
      <c r="AI286" s="26">
        <f t="shared" si="176"/>
        <v>0.73714107486931968</v>
      </c>
      <c r="AJ286" s="26">
        <f t="shared" si="177"/>
        <v>-0.46222548130627172</v>
      </c>
      <c r="AK286" s="26">
        <f t="shared" si="178"/>
        <v>0.38645801080395797</v>
      </c>
      <c r="AL286" s="26">
        <f t="shared" si="179"/>
        <v>7.4674897057276049E-2</v>
      </c>
      <c r="AM286" s="27">
        <f t="shared" si="180"/>
        <v>0.39480778613494766</v>
      </c>
    </row>
    <row r="287" spans="1:39" ht="15" customHeight="1" x14ac:dyDescent="0.2">
      <c r="A287" s="24">
        <v>276</v>
      </c>
      <c r="B287" s="29">
        <f t="shared" si="181"/>
        <v>2.9508771389597968</v>
      </c>
      <c r="C287" s="29">
        <f t="shared" si="182"/>
        <v>-3.4269678205262797</v>
      </c>
      <c r="D287" s="29">
        <f t="shared" si="183"/>
        <v>-2.3771833305099928</v>
      </c>
      <c r="E287" s="29">
        <f t="shared" si="184"/>
        <v>-0.26468520355875674</v>
      </c>
      <c r="F287" s="29">
        <f t="shared" si="185"/>
        <v>0.43827261985066812</v>
      </c>
      <c r="G287" s="29">
        <f t="shared" si="186"/>
        <v>0.85872219186879195</v>
      </c>
      <c r="H287" s="29">
        <f t="shared" si="187"/>
        <v>2.9184887706865017</v>
      </c>
      <c r="I287" s="29">
        <f t="shared" si="188"/>
        <v>-0.17363371310833586</v>
      </c>
      <c r="J287" s="29">
        <f t="shared" si="189"/>
        <v>-0.49556246054074704</v>
      </c>
      <c r="K287" s="26">
        <f t="shared" si="152"/>
        <v>-2.3771833305099928</v>
      </c>
      <c r="L287" s="26">
        <f t="shared" si="153"/>
        <v>8.4929210926565787E-2</v>
      </c>
      <c r="M287" s="26">
        <f t="shared" si="154"/>
        <v>0.85872219186879195</v>
      </c>
      <c r="N287" s="26">
        <f t="shared" si="155"/>
        <v>0.70239361448849968</v>
      </c>
      <c r="O287" s="26">
        <f t="shared" si="156"/>
        <v>-0.36965672349552264</v>
      </c>
      <c r="P287" s="26">
        <f t="shared" si="157"/>
        <v>0.40862397187647542</v>
      </c>
      <c r="Q287" s="26">
        <f t="shared" si="158"/>
        <v>8.3486775196053284E-2</v>
      </c>
      <c r="R287" s="26">
        <f t="shared" si="159"/>
        <v>-5.8041511510362724</v>
      </c>
      <c r="S287" s="26">
        <f t="shared" si="160"/>
        <v>3.0059499796553503E-3</v>
      </c>
      <c r="T287" s="26">
        <f t="shared" si="161"/>
        <v>1.2969948117194601</v>
      </c>
      <c r="U287" s="26">
        <f t="shared" si="162"/>
        <v>0.78532878033497722</v>
      </c>
      <c r="V287" s="26">
        <f t="shared" si="163"/>
        <v>-0.62314918142028031</v>
      </c>
      <c r="W287" s="26">
        <f t="shared" si="164"/>
        <v>0.34906555853405558</v>
      </c>
      <c r="X287" s="26">
        <f t="shared" si="165"/>
        <v>0.21185782354329047</v>
      </c>
      <c r="Y287" s="26">
        <f t="shared" si="166"/>
        <v>0.573693808449804</v>
      </c>
      <c r="Z287" s="26">
        <f t="shared" si="167"/>
        <v>0.63961506455451345</v>
      </c>
      <c r="AA287" s="26">
        <f t="shared" si="168"/>
        <v>0.59403698831003515</v>
      </c>
      <c r="AB287" s="26">
        <f t="shared" si="169"/>
        <v>0.64429088123116662</v>
      </c>
      <c r="AC287" s="26">
        <f t="shared" si="170"/>
        <v>1.2592763048935129</v>
      </c>
      <c r="AD287" s="26">
        <f t="shared" si="171"/>
        <v>0.7789015025412841</v>
      </c>
      <c r="AE287" s="26">
        <f t="shared" si="172"/>
        <v>2.4442272789250902E-2</v>
      </c>
      <c r="AF287" s="26">
        <f t="shared" si="173"/>
        <v>-2.8532740120764757</v>
      </c>
      <c r="AG287" s="26">
        <f t="shared" si="174"/>
        <v>5.4512325907901685E-2</v>
      </c>
      <c r="AH287" s="26">
        <f t="shared" si="175"/>
        <v>1.0323096081607033</v>
      </c>
      <c r="AI287" s="26">
        <f t="shared" si="176"/>
        <v>0.73736341647530557</v>
      </c>
      <c r="AJ287" s="26">
        <f t="shared" si="177"/>
        <v>-0.46449999742738868</v>
      </c>
      <c r="AK287" s="26">
        <f t="shared" si="178"/>
        <v>0.38591884381663127</v>
      </c>
      <c r="AL287" s="26">
        <f t="shared" si="179"/>
        <v>7.4466677006382723E-2</v>
      </c>
      <c r="AM287" s="27">
        <f t="shared" si="180"/>
        <v>0.39425354853497735</v>
      </c>
    </row>
    <row r="288" spans="1:39" ht="15" customHeight="1" x14ac:dyDescent="0.2">
      <c r="A288" s="24">
        <v>277</v>
      </c>
      <c r="B288" s="29">
        <f t="shared" si="181"/>
        <v>2.9627352391642328</v>
      </c>
      <c r="C288" s="29">
        <f t="shared" si="182"/>
        <v>-3.4394312621218099</v>
      </c>
      <c r="D288" s="29">
        <f t="shared" si="183"/>
        <v>-2.3864281432903773</v>
      </c>
      <c r="E288" s="29">
        <f t="shared" si="184"/>
        <v>-0.26312507893125686</v>
      </c>
      <c r="F288" s="29">
        <f t="shared" si="185"/>
        <v>0.43701839634226031</v>
      </c>
      <c r="G288" s="29">
        <f t="shared" si="186"/>
        <v>0.8595367871712889</v>
      </c>
      <c r="H288" s="29">
        <f t="shared" si="187"/>
        <v>2.929915698854709</v>
      </c>
      <c r="I288" s="29">
        <f t="shared" si="188"/>
        <v>-0.16974227630379668</v>
      </c>
      <c r="J288" s="29">
        <f t="shared" si="189"/>
        <v>-0.49978299678770105</v>
      </c>
      <c r="K288" s="26">
        <f t="shared" si="152"/>
        <v>-2.3864281432903773</v>
      </c>
      <c r="L288" s="26">
        <f t="shared" si="153"/>
        <v>8.4213490334825086E-2</v>
      </c>
      <c r="M288" s="26">
        <f t="shared" si="154"/>
        <v>0.8595367871712889</v>
      </c>
      <c r="N288" s="26">
        <f t="shared" si="155"/>
        <v>0.70256386682531446</v>
      </c>
      <c r="O288" s="26">
        <f t="shared" si="156"/>
        <v>-0.37229935940407405</v>
      </c>
      <c r="P288" s="26">
        <f t="shared" si="157"/>
        <v>0.40798553233316842</v>
      </c>
      <c r="Q288" s="26">
        <f t="shared" si="158"/>
        <v>8.3226097296589405E-2</v>
      </c>
      <c r="R288" s="26">
        <f t="shared" si="159"/>
        <v>-5.8258594054121868</v>
      </c>
      <c r="S288" s="26">
        <f t="shared" si="160"/>
        <v>2.9415891116198619E-3</v>
      </c>
      <c r="T288" s="26">
        <f t="shared" si="161"/>
        <v>1.2965551835135491</v>
      </c>
      <c r="U288" s="26">
        <f t="shared" si="162"/>
        <v>0.785254655223524</v>
      </c>
      <c r="V288" s="26">
        <f t="shared" si="163"/>
        <v>-0.62445530132577998</v>
      </c>
      <c r="W288" s="26">
        <f t="shared" si="164"/>
        <v>0.34876884208022518</v>
      </c>
      <c r="X288" s="26">
        <f t="shared" si="165"/>
        <v>0.21205101052276534</v>
      </c>
      <c r="Y288" s="26">
        <f t="shared" si="166"/>
        <v>0.57630709587385542</v>
      </c>
      <c r="Z288" s="26">
        <f t="shared" si="167"/>
        <v>0.64021722721061458</v>
      </c>
      <c r="AA288" s="26">
        <f t="shared" si="168"/>
        <v>0.59641170824003198</v>
      </c>
      <c r="AB288" s="26">
        <f t="shared" si="169"/>
        <v>0.64483493320565199</v>
      </c>
      <c r="AC288" s="26">
        <f t="shared" si="170"/>
        <v>1.2665437584913768</v>
      </c>
      <c r="AD288" s="26">
        <f t="shared" si="171"/>
        <v>0.780150522305327</v>
      </c>
      <c r="AE288" s="26">
        <f t="shared" si="172"/>
        <v>2.4166896421310261E-2</v>
      </c>
      <c r="AF288" s="26">
        <f t="shared" si="173"/>
        <v>-2.8631241662479545</v>
      </c>
      <c r="AG288" s="26">
        <f t="shared" si="174"/>
        <v>5.4006863865438529E-2</v>
      </c>
      <c r="AH288" s="26">
        <f t="shared" si="175"/>
        <v>1.0334301045822922</v>
      </c>
      <c r="AI288" s="26">
        <f t="shared" si="176"/>
        <v>0.73758035253309595</v>
      </c>
      <c r="AJ288" s="26">
        <f t="shared" si="177"/>
        <v>-0.46674600649836817</v>
      </c>
      <c r="AK288" s="26">
        <f t="shared" si="178"/>
        <v>0.38538670882805753</v>
      </c>
      <c r="AL288" s="26">
        <f t="shared" si="179"/>
        <v>7.4261457670661002E-2</v>
      </c>
      <c r="AM288" s="27">
        <f t="shared" si="180"/>
        <v>0.39370546191132599</v>
      </c>
    </row>
    <row r="289" spans="1:39" ht="15" customHeight="1" x14ac:dyDescent="0.2">
      <c r="A289" s="24">
        <v>278</v>
      </c>
      <c r="B289" s="29">
        <f t="shared" si="181"/>
        <v>2.9745188465222472</v>
      </c>
      <c r="C289" s="29">
        <f t="shared" si="182"/>
        <v>-3.4518245059315609</v>
      </c>
      <c r="D289" s="29">
        <f t="shared" si="183"/>
        <v>-2.3956400241023807</v>
      </c>
      <c r="E289" s="29">
        <f t="shared" si="184"/>
        <v>-0.26159185664667151</v>
      </c>
      <c r="F289" s="29">
        <f t="shared" si="185"/>
        <v>0.43578367822621566</v>
      </c>
      <c r="G289" s="29">
        <f t="shared" si="186"/>
        <v>0.86033154603984863</v>
      </c>
      <c r="H289" s="29">
        <f t="shared" si="187"/>
        <v>2.9412633306251257</v>
      </c>
      <c r="I289" s="29">
        <f t="shared" si="188"/>
        <v>-0.16583878208266892</v>
      </c>
      <c r="J289" s="29">
        <f t="shared" si="189"/>
        <v>-0.50398805743903852</v>
      </c>
      <c r="K289" s="26">
        <f t="shared" si="152"/>
        <v>-2.3956400241023807</v>
      </c>
      <c r="L289" s="26">
        <f t="shared" si="153"/>
        <v>8.3505771239952759E-2</v>
      </c>
      <c r="M289" s="26">
        <f t="shared" si="154"/>
        <v>0.86033154603984863</v>
      </c>
      <c r="N289" s="26">
        <f t="shared" si="155"/>
        <v>0.70272991915966376</v>
      </c>
      <c r="O289" s="26">
        <f t="shared" si="156"/>
        <v>-0.37491546852188629</v>
      </c>
      <c r="P289" s="26">
        <f t="shared" si="157"/>
        <v>0.40735380719515091</v>
      </c>
      <c r="Q289" s="26">
        <f t="shared" si="158"/>
        <v>8.2968562118192091E-2</v>
      </c>
      <c r="R289" s="26">
        <f t="shared" si="159"/>
        <v>-5.8474645300339416</v>
      </c>
      <c r="S289" s="26">
        <f t="shared" si="160"/>
        <v>2.8788983356220384E-3</v>
      </c>
      <c r="T289" s="26">
        <f t="shared" si="161"/>
        <v>1.2961152242660643</v>
      </c>
      <c r="U289" s="26">
        <f t="shared" si="162"/>
        <v>0.78518045568079831</v>
      </c>
      <c r="V289" s="26">
        <f t="shared" si="163"/>
        <v>-0.62573382981709424</v>
      </c>
      <c r="W289" s="26">
        <f t="shared" si="164"/>
        <v>0.34847850718429618</v>
      </c>
      <c r="X289" s="26">
        <f t="shared" si="165"/>
        <v>0.21224012780040161</v>
      </c>
      <c r="Y289" s="26">
        <f t="shared" si="166"/>
        <v>0.57887882241986643</v>
      </c>
      <c r="Z289" s="26">
        <f t="shared" si="167"/>
        <v>0.64080938260592912</v>
      </c>
      <c r="AA289" s="26">
        <f t="shared" si="168"/>
        <v>0.59873968939317712</v>
      </c>
      <c r="AB289" s="26">
        <f t="shared" si="169"/>
        <v>0.64536791411827699</v>
      </c>
      <c r="AC289" s="26">
        <f t="shared" si="170"/>
        <v>1.2737740526676995</v>
      </c>
      <c r="AD289" s="26">
        <f t="shared" si="171"/>
        <v>0.78138811893171056</v>
      </c>
      <c r="AE289" s="26">
        <f t="shared" si="172"/>
        <v>2.3895577272107962E-2</v>
      </c>
      <c r="AF289" s="26">
        <f t="shared" si="173"/>
        <v>-2.8729456835116944</v>
      </c>
      <c r="AG289" s="26">
        <f t="shared" si="174"/>
        <v>5.3507273730350309E-2</v>
      </c>
      <c r="AH289" s="26">
        <f t="shared" si="175"/>
        <v>1.0345233676193928</v>
      </c>
      <c r="AI289" s="26">
        <f t="shared" si="176"/>
        <v>0.73779190472088563</v>
      </c>
      <c r="AJ289" s="26">
        <f t="shared" si="177"/>
        <v>-0.46896358620360223</v>
      </c>
      <c r="AK289" s="26">
        <f t="shared" si="178"/>
        <v>0.38486157817128297</v>
      </c>
      <c r="AL289" s="26">
        <f t="shared" si="179"/>
        <v>7.4059217176245279E-2</v>
      </c>
      <c r="AM289" s="27">
        <f t="shared" si="180"/>
        <v>0.39316348436694692</v>
      </c>
    </row>
    <row r="290" spans="1:39" ht="15" customHeight="1" x14ac:dyDescent="0.2">
      <c r="A290" s="24">
        <v>279</v>
      </c>
      <c r="B290" s="29">
        <f t="shared" si="181"/>
        <v>2.9862282358768066</v>
      </c>
      <c r="C290" s="29">
        <f t="shared" si="182"/>
        <v>-3.4641476322854241</v>
      </c>
      <c r="D290" s="29">
        <f t="shared" si="183"/>
        <v>-2.4048187163643351</v>
      </c>
      <c r="E290" s="29">
        <f t="shared" si="184"/>
        <v>-0.26008610563716822</v>
      </c>
      <c r="F290" s="29">
        <f t="shared" si="185"/>
        <v>0.43456907086038482</v>
      </c>
      <c r="G290" s="29">
        <f t="shared" si="186"/>
        <v>0.86110650273123379</v>
      </c>
      <c r="H290" s="29">
        <f t="shared" si="187"/>
        <v>2.9525318593002945</v>
      </c>
      <c r="I290" s="29">
        <f t="shared" si="188"/>
        <v>-0.16192342131227394</v>
      </c>
      <c r="J290" s="29">
        <f t="shared" si="189"/>
        <v>-0.50817771616219243</v>
      </c>
      <c r="K290" s="26">
        <f t="shared" si="152"/>
        <v>-2.4048187163643351</v>
      </c>
      <c r="L290" s="26">
        <f t="shared" si="153"/>
        <v>8.2805982563255165E-2</v>
      </c>
      <c r="M290" s="26">
        <f t="shared" si="154"/>
        <v>0.86110650273123379</v>
      </c>
      <c r="N290" s="26">
        <f t="shared" si="155"/>
        <v>0.70289178262390506</v>
      </c>
      <c r="O290" s="26">
        <f t="shared" si="156"/>
        <v>-0.37750505675826274</v>
      </c>
      <c r="P290" s="26">
        <f t="shared" si="157"/>
        <v>0.40672878769403636</v>
      </c>
      <c r="Q290" s="26">
        <f t="shared" si="158"/>
        <v>8.2714153369530252E-2</v>
      </c>
      <c r="R290" s="26">
        <f t="shared" si="159"/>
        <v>-5.8689663486497592</v>
      </c>
      <c r="S290" s="26">
        <f t="shared" si="160"/>
        <v>2.8178301056280201E-3</v>
      </c>
      <c r="T290" s="26">
        <f t="shared" si="161"/>
        <v>1.2956755735916186</v>
      </c>
      <c r="U290" s="26">
        <f t="shared" si="162"/>
        <v>0.78510628957715389</v>
      </c>
      <c r="V290" s="26">
        <f t="shared" si="163"/>
        <v>-0.62698507950334781</v>
      </c>
      <c r="W290" s="26">
        <f t="shared" si="164"/>
        <v>0.34819447579437951</v>
      </c>
      <c r="X290" s="26">
        <f t="shared" si="165"/>
        <v>0.21242522069248182</v>
      </c>
      <c r="Y290" s="26">
        <f t="shared" si="166"/>
        <v>0.58140951951247155</v>
      </c>
      <c r="Z290" s="26">
        <f t="shared" si="167"/>
        <v>0.64139167222630156</v>
      </c>
      <c r="AA290" s="26">
        <f t="shared" si="168"/>
        <v>0.60102039709406552</v>
      </c>
      <c r="AB290" s="26">
        <f t="shared" si="169"/>
        <v>0.64588972228768005</v>
      </c>
      <c r="AC290" s="26">
        <f t="shared" si="170"/>
        <v>1.2809669567525992</v>
      </c>
      <c r="AD290" s="26">
        <f t="shared" si="171"/>
        <v>0.78261432890030713</v>
      </c>
      <c r="AE290" s="26">
        <f t="shared" si="172"/>
        <v>2.3628264999731922E-2</v>
      </c>
      <c r="AF290" s="26">
        <f t="shared" si="173"/>
        <v>-2.8827381127729526</v>
      </c>
      <c r="AG290" s="26">
        <f t="shared" si="174"/>
        <v>5.3013506359187966E-2</v>
      </c>
      <c r="AH290" s="26">
        <f t="shared" si="175"/>
        <v>1.0355894679544504</v>
      </c>
      <c r="AI290" s="26">
        <f t="shared" si="176"/>
        <v>0.7379980948811149</v>
      </c>
      <c r="AJ290" s="26">
        <f t="shared" si="177"/>
        <v>-0.47115282610856146</v>
      </c>
      <c r="AK290" s="26">
        <f t="shared" si="178"/>
        <v>0.38434342145005901</v>
      </c>
      <c r="AL290" s="26">
        <f t="shared" si="179"/>
        <v>7.3859932805968836E-2</v>
      </c>
      <c r="AM290" s="27">
        <f t="shared" si="180"/>
        <v>0.3926275718677128</v>
      </c>
    </row>
    <row r="291" spans="1:39" ht="15" customHeight="1" x14ac:dyDescent="0.2">
      <c r="A291" s="24">
        <v>280</v>
      </c>
      <c r="B291" s="29">
        <f t="shared" si="181"/>
        <v>2.9978637009854934</v>
      </c>
      <c r="C291" s="29">
        <f t="shared" si="182"/>
        <v>-3.4764007436203164</v>
      </c>
      <c r="D291" s="29">
        <f t="shared" si="183"/>
        <v>-2.4139639785384746</v>
      </c>
      <c r="E291" s="29">
        <f t="shared" si="184"/>
        <v>-0.25860838753571264</v>
      </c>
      <c r="F291" s="29">
        <f t="shared" si="185"/>
        <v>0.43337517194344366</v>
      </c>
      <c r="G291" s="29">
        <f t="shared" si="186"/>
        <v>0.86186169341439911</v>
      </c>
      <c r="H291" s="29">
        <f t="shared" si="187"/>
        <v>2.9637215037314766</v>
      </c>
      <c r="I291" s="29">
        <f t="shared" si="188"/>
        <v>-0.15799637142802753</v>
      </c>
      <c r="J291" s="29">
        <f t="shared" si="189"/>
        <v>-0.51235206105676445</v>
      </c>
      <c r="K291" s="26">
        <f t="shared" si="152"/>
        <v>-2.4139639785384746</v>
      </c>
      <c r="L291" s="26">
        <f t="shared" si="153"/>
        <v>8.2114052435200521E-2</v>
      </c>
      <c r="M291" s="26">
        <f t="shared" si="154"/>
        <v>0.86186169341439911</v>
      </c>
      <c r="N291" s="26">
        <f t="shared" si="155"/>
        <v>0.70304946864478068</v>
      </c>
      <c r="O291" s="26">
        <f t="shared" si="156"/>
        <v>-0.38006814307630482</v>
      </c>
      <c r="P291" s="26">
        <f t="shared" si="157"/>
        <v>0.40611046188957411</v>
      </c>
      <c r="Q291" s="26">
        <f t="shared" si="158"/>
        <v>8.2462853628081617E-2</v>
      </c>
      <c r="R291" s="26">
        <f t="shared" si="159"/>
        <v>-5.8903647221587914</v>
      </c>
      <c r="S291" s="26">
        <f t="shared" si="160"/>
        <v>2.7583382287577098E-3</v>
      </c>
      <c r="T291" s="26">
        <f t="shared" si="161"/>
        <v>1.2952368653578428</v>
      </c>
      <c r="U291" s="26">
        <f t="shared" si="162"/>
        <v>0.78503226392128977</v>
      </c>
      <c r="V291" s="26">
        <f t="shared" si="163"/>
        <v>-0.62820936388712412</v>
      </c>
      <c r="W291" s="26">
        <f t="shared" si="164"/>
        <v>0.34791666989645953</v>
      </c>
      <c r="X291" s="26">
        <f t="shared" si="165"/>
        <v>0.21260633469946147</v>
      </c>
      <c r="Y291" s="26">
        <f t="shared" si="166"/>
        <v>0.58389972244701882</v>
      </c>
      <c r="Z291" s="26">
        <f t="shared" si="167"/>
        <v>0.64196423791376633</v>
      </c>
      <c r="AA291" s="26">
        <f t="shared" si="168"/>
        <v>0.60325330587868642</v>
      </c>
      <c r="AB291" s="26">
        <f t="shared" si="169"/>
        <v>0.64640025815163826</v>
      </c>
      <c r="AC291" s="26">
        <f t="shared" si="170"/>
        <v>1.2881222601967552</v>
      </c>
      <c r="AD291" s="26">
        <f t="shared" si="171"/>
        <v>0.78382919265942286</v>
      </c>
      <c r="AE291" s="26">
        <f t="shared" si="172"/>
        <v>2.3364908973138459E-2</v>
      </c>
      <c r="AF291" s="26">
        <f t="shared" si="173"/>
        <v>-2.8925010211732975</v>
      </c>
      <c r="AG291" s="26">
        <f t="shared" si="174"/>
        <v>5.2525511771292145E-2</v>
      </c>
      <c r="AH291" s="26">
        <f t="shared" si="175"/>
        <v>1.0366284778221302</v>
      </c>
      <c r="AI291" s="26">
        <f t="shared" si="176"/>
        <v>0.73819894493055349</v>
      </c>
      <c r="AJ291" s="26">
        <f t="shared" si="177"/>
        <v>-0.47331382701671088</v>
      </c>
      <c r="AK291" s="26">
        <f t="shared" si="178"/>
        <v>0.38383220570013077</v>
      </c>
      <c r="AL291" s="26">
        <f t="shared" si="179"/>
        <v>7.3663581066313752E-2</v>
      </c>
      <c r="AM291" s="27">
        <f t="shared" si="180"/>
        <v>0.39209767836699533</v>
      </c>
    </row>
    <row r="292" spans="1:39" ht="15" customHeight="1" x14ac:dyDescent="0.2">
      <c r="A292" s="24">
        <v>281</v>
      </c>
      <c r="B292" s="29">
        <f t="shared" si="181"/>
        <v>3.0094255535314121</v>
      </c>
      <c r="C292" s="29">
        <f t="shared" si="182"/>
        <v>-3.488583963548475</v>
      </c>
      <c r="D292" s="29">
        <f t="shared" si="183"/>
        <v>-2.4230755838151845</v>
      </c>
      <c r="E292" s="29">
        <f t="shared" si="184"/>
        <v>-0.25715925678479329</v>
      </c>
      <c r="F292" s="29">
        <f t="shared" si="185"/>
        <v>0.43220257143636359</v>
      </c>
      <c r="G292" s="29">
        <f t="shared" si="186"/>
        <v>0.86259715588894359</v>
      </c>
      <c r="H292" s="29">
        <f t="shared" si="187"/>
        <v>2.9748325071417998</v>
      </c>
      <c r="I292" s="29">
        <f t="shared" si="188"/>
        <v>-0.1540577962393542</v>
      </c>
      <c r="J292" s="29">
        <f t="shared" si="189"/>
        <v>-0.51651119428437342</v>
      </c>
      <c r="K292" s="26">
        <f t="shared" si="152"/>
        <v>-2.4230755838151845</v>
      </c>
      <c r="L292" s="26">
        <f t="shared" si="153"/>
        <v>8.1429908271671375E-2</v>
      </c>
      <c r="M292" s="26">
        <f t="shared" si="154"/>
        <v>0.86259715588894359</v>
      </c>
      <c r="N292" s="26">
        <f t="shared" si="155"/>
        <v>0.70320298888437116</v>
      </c>
      <c r="O292" s="26">
        <f t="shared" si="156"/>
        <v>-0.38260475888068379</v>
      </c>
      <c r="P292" s="26">
        <f t="shared" si="157"/>
        <v>0.4054988148280575</v>
      </c>
      <c r="Q292" s="26">
        <f t="shared" si="158"/>
        <v>8.2214644413479629E-2</v>
      </c>
      <c r="R292" s="26">
        <f t="shared" si="159"/>
        <v>-5.9116595473636595</v>
      </c>
      <c r="S292" s="26">
        <f t="shared" si="160"/>
        <v>2.7003778325157234E-3</v>
      </c>
      <c r="T292" s="26">
        <f t="shared" si="161"/>
        <v>1.2947997273253071</v>
      </c>
      <c r="U292" s="26">
        <f t="shared" si="162"/>
        <v>0.78495848479787311</v>
      </c>
      <c r="V292" s="26">
        <f t="shared" si="163"/>
        <v>-0.62940699683398349</v>
      </c>
      <c r="W292" s="26">
        <f t="shared" si="164"/>
        <v>0.34764501163083278</v>
      </c>
      <c r="X292" s="26">
        <f t="shared" si="165"/>
        <v>0.21278351542506818</v>
      </c>
      <c r="Y292" s="26">
        <f t="shared" si="166"/>
        <v>0.58634996971622755</v>
      </c>
      <c r="Z292" s="26">
        <f t="shared" si="167"/>
        <v>0.64252722171360388</v>
      </c>
      <c r="AA292" s="26">
        <f t="shared" si="168"/>
        <v>0.60543789910415025</v>
      </c>
      <c r="AB292" s="26">
        <f t="shared" si="169"/>
        <v>0.64689942414936852</v>
      </c>
      <c r="AC292" s="26">
        <f t="shared" si="170"/>
        <v>1.295239771919803</v>
      </c>
      <c r="AD292" s="26">
        <f t="shared" si="171"/>
        <v>0.78503275442242226</v>
      </c>
      <c r="AE292" s="26">
        <f t="shared" si="172"/>
        <v>2.3105458335605306E-2</v>
      </c>
      <c r="AF292" s="26">
        <f t="shared" si="173"/>
        <v>-2.9022339938322474</v>
      </c>
      <c r="AG292" s="26">
        <f t="shared" si="174"/>
        <v>5.2043239213692076E-2</v>
      </c>
      <c r="AH292" s="26">
        <f t="shared" si="175"/>
        <v>1.0376404705405138</v>
      </c>
      <c r="AI292" s="26">
        <f t="shared" si="176"/>
        <v>0.73839447677035275</v>
      </c>
      <c r="AJ292" s="26">
        <f t="shared" si="177"/>
        <v>-0.47544670034107694</v>
      </c>
      <c r="AK292" s="26">
        <f t="shared" si="178"/>
        <v>0.38332789554633623</v>
      </c>
      <c r="AL292" s="26">
        <f t="shared" si="179"/>
        <v>7.3470137751991432E-2</v>
      </c>
      <c r="AM292" s="27">
        <f t="shared" si="180"/>
        <v>0.39157375592614452</v>
      </c>
    </row>
    <row r="293" spans="1:39" ht="15" customHeight="1" x14ac:dyDescent="0.2">
      <c r="A293" s="24">
        <v>282</v>
      </c>
      <c r="B293" s="29">
        <f t="shared" si="181"/>
        <v>3.0209141221626417</v>
      </c>
      <c r="C293" s="29">
        <f t="shared" si="182"/>
        <v>-3.5006974359462948</v>
      </c>
      <c r="D293" s="29">
        <f t="shared" si="183"/>
        <v>-2.4321533197932927</v>
      </c>
      <c r="E293" s="29">
        <f t="shared" si="184"/>
        <v>-0.25573926075698838</v>
      </c>
      <c r="F293" s="29">
        <f t="shared" si="185"/>
        <v>0.43105185149460218</v>
      </c>
      <c r="G293" s="29">
        <f t="shared" si="186"/>
        <v>0.8633129293031232</v>
      </c>
      <c r="H293" s="29">
        <f t="shared" si="187"/>
        <v>2.9858651359768875</v>
      </c>
      <c r="I293" s="29">
        <f t="shared" si="188"/>
        <v>-0.15010784575338521</v>
      </c>
      <c r="J293" s="29">
        <f t="shared" si="189"/>
        <v>-0.52065523170464245</v>
      </c>
      <c r="K293" s="26">
        <f t="shared" si="152"/>
        <v>-2.4321533197932927</v>
      </c>
      <c r="L293" s="26">
        <f t="shared" si="153"/>
        <v>8.0753476847847033E-2</v>
      </c>
      <c r="M293" s="26">
        <f t="shared" si="154"/>
        <v>0.8633129293031232</v>
      </c>
      <c r="N293" s="26">
        <f t="shared" si="155"/>
        <v>0.70335235518111383</v>
      </c>
      <c r="O293" s="26">
        <f t="shared" si="156"/>
        <v>-0.38511494741754604</v>
      </c>
      <c r="P293" s="26">
        <f t="shared" si="157"/>
        <v>0.40489382869723711</v>
      </c>
      <c r="Q293" s="26">
        <f t="shared" si="158"/>
        <v>8.1969506258553801E-2</v>
      </c>
      <c r="R293" s="26">
        <f t="shared" si="159"/>
        <v>-5.9328507557395875</v>
      </c>
      <c r="S293" s="26">
        <f t="shared" si="160"/>
        <v>2.6439053322974892E-3</v>
      </c>
      <c r="T293" s="26">
        <f t="shared" si="161"/>
        <v>1.2943647807977254</v>
      </c>
      <c r="U293" s="26">
        <f t="shared" si="162"/>
        <v>0.78488505730643043</v>
      </c>
      <c r="V293" s="26">
        <f t="shared" si="163"/>
        <v>-0.63057829206640259</v>
      </c>
      <c r="W293" s="26">
        <f t="shared" si="164"/>
        <v>0.34737942340271361</v>
      </c>
      <c r="X293" s="26">
        <f t="shared" si="165"/>
        <v>0.21295680849908724</v>
      </c>
      <c r="Y293" s="26">
        <f t="shared" si="166"/>
        <v>0.58876080236934891</v>
      </c>
      <c r="Z293" s="26">
        <f t="shared" si="167"/>
        <v>0.64308076572987549</v>
      </c>
      <c r="AA293" s="26">
        <f t="shared" si="168"/>
        <v>0.60757366854613482</v>
      </c>
      <c r="AB293" s="26">
        <f t="shared" si="169"/>
        <v>0.64738712460145853</v>
      </c>
      <c r="AC293" s="26">
        <f t="shared" si="170"/>
        <v>1.3023193196631098</v>
      </c>
      <c r="AD293" s="26">
        <f t="shared" si="171"/>
        <v>0.78622506196906616</v>
      </c>
      <c r="AE293" s="26">
        <f t="shared" si="172"/>
        <v>2.2849862065064799E-2</v>
      </c>
      <c r="AF293" s="26">
        <f t="shared" si="173"/>
        <v>-2.9119366335769459</v>
      </c>
      <c r="AG293" s="26">
        <f t="shared" si="174"/>
        <v>5.1566637224325175E-2</v>
      </c>
      <c r="AH293" s="26">
        <f t="shared" si="175"/>
        <v>1.038625520040737</v>
      </c>
      <c r="AI293" s="26">
        <f t="shared" si="176"/>
        <v>0.73858471219612321</v>
      </c>
      <c r="AJ293" s="26">
        <f t="shared" si="177"/>
        <v>-0.477551567491106</v>
      </c>
      <c r="AK293" s="26">
        <f t="shared" si="178"/>
        <v>0.38283045335538896</v>
      </c>
      <c r="AL293" s="26">
        <f t="shared" si="179"/>
        <v>7.3279578008146315E-2</v>
      </c>
      <c r="AM293" s="27">
        <f t="shared" si="180"/>
        <v>0.39105575483085214</v>
      </c>
    </row>
    <row r="294" spans="1:39" ht="15" customHeight="1" x14ac:dyDescent="0.2">
      <c r="A294" s="24">
        <v>283</v>
      </c>
      <c r="B294" s="29">
        <f t="shared" si="181"/>
        <v>3.0323297515603627</v>
      </c>
      <c r="C294" s="29">
        <f t="shared" si="182"/>
        <v>-3.5127413240641698</v>
      </c>
      <c r="D294" s="29">
        <f t="shared" si="183"/>
        <v>-2.441196988157142</v>
      </c>
      <c r="E294" s="29">
        <f t="shared" si="184"/>
        <v>-0.25434893988684404</v>
      </c>
      <c r="F294" s="29">
        <f t="shared" si="185"/>
        <v>0.42992358641058853</v>
      </c>
      <c r="G294" s="29">
        <f t="shared" si="186"/>
        <v>0.86400905387168148</v>
      </c>
      <c r="H294" s="29">
        <f t="shared" si="187"/>
        <v>2.996819678783591</v>
      </c>
      <c r="I294" s="29">
        <f t="shared" si="188"/>
        <v>-0.146146656015813</v>
      </c>
      <c r="J294" s="29">
        <f t="shared" si="189"/>
        <v>-0.52478430251767572</v>
      </c>
      <c r="K294" s="26">
        <f t="shared" si="152"/>
        <v>-2.441196988157142</v>
      </c>
      <c r="L294" s="26">
        <f t="shared" si="153"/>
        <v>8.0084684369703882E-2</v>
      </c>
      <c r="M294" s="26">
        <f t="shared" si="154"/>
        <v>0.86400905387168148</v>
      </c>
      <c r="N294" s="26">
        <f t="shared" si="155"/>
        <v>0.70349757949093272</v>
      </c>
      <c r="O294" s="26">
        <f t="shared" si="156"/>
        <v>-0.38759876318719289</v>
      </c>
      <c r="P294" s="26">
        <f t="shared" si="157"/>
        <v>0.40429548297759355</v>
      </c>
      <c r="Q294" s="26">
        <f t="shared" si="158"/>
        <v>8.1727418778042821E-2</v>
      </c>
      <c r="R294" s="26">
        <f t="shared" si="159"/>
        <v>-5.9539383122213119</v>
      </c>
      <c r="S294" s="26">
        <f t="shared" si="160"/>
        <v>2.5888783992124333E-3</v>
      </c>
      <c r="T294" s="26">
        <f t="shared" si="161"/>
        <v>1.29393264028227</v>
      </c>
      <c r="U294" s="26">
        <f t="shared" si="162"/>
        <v>0.78481208550149806</v>
      </c>
      <c r="V294" s="26">
        <f t="shared" si="163"/>
        <v>-0.63172356268177843</v>
      </c>
      <c r="W294" s="26">
        <f t="shared" si="164"/>
        <v>0.34711982798712426</v>
      </c>
      <c r="X294" s="26">
        <f t="shared" si="165"/>
        <v>0.21312625950378111</v>
      </c>
      <c r="Y294" s="26">
        <f t="shared" si="166"/>
        <v>0.59113276340322063</v>
      </c>
      <c r="Z294" s="26">
        <f t="shared" si="167"/>
        <v>0.64362501198920996</v>
      </c>
      <c r="AA294" s="26">
        <f t="shared" si="168"/>
        <v>0.60966011398483744</v>
      </c>
      <c r="AB294" s="26">
        <f t="shared" si="169"/>
        <v>0.64786326558762375</v>
      </c>
      <c r="AC294" s="26">
        <f t="shared" si="170"/>
        <v>1.3093607493477977</v>
      </c>
      <c r="AD294" s="26">
        <f t="shared" si="171"/>
        <v>0.78740616645167516</v>
      </c>
      <c r="AE294" s="26">
        <f t="shared" si="172"/>
        <v>2.2598069031386423E-2</v>
      </c>
      <c r="AF294" s="26">
        <f t="shared" si="173"/>
        <v>-2.9216085606609492</v>
      </c>
      <c r="AG294" s="26">
        <f t="shared" si="174"/>
        <v>5.1095653693537045E-2</v>
      </c>
      <c r="AH294" s="26">
        <f t="shared" si="175"/>
        <v>1.039583700395426</v>
      </c>
      <c r="AI294" s="26">
        <f t="shared" si="176"/>
        <v>0.73876967280808181</v>
      </c>
      <c r="AJ294" s="26">
        <f t="shared" si="177"/>
        <v>-0.47962855927536985</v>
      </c>
      <c r="AK294" s="26">
        <f t="shared" si="178"/>
        <v>0.38233983938423688</v>
      </c>
      <c r="AL294" s="26">
        <f t="shared" si="179"/>
        <v>7.3091876390182026E-2</v>
      </c>
      <c r="AM294" s="27">
        <f t="shared" si="180"/>
        <v>0.39054362370339246</v>
      </c>
    </row>
    <row r="295" spans="1:39" ht="15" customHeight="1" x14ac:dyDescent="0.2">
      <c r="A295" s="24">
        <v>284</v>
      </c>
      <c r="B295" s="29">
        <f t="shared" si="181"/>
        <v>3.0436728015357013</v>
      </c>
      <c r="C295" s="29">
        <f t="shared" si="182"/>
        <v>-3.5247158096577111</v>
      </c>
      <c r="D295" s="29">
        <f t="shared" si="183"/>
        <v>-2.4502064043511398</v>
      </c>
      <c r="E295" s="29">
        <f t="shared" si="184"/>
        <v>-0.25298882781354176</v>
      </c>
      <c r="F295" s="29">
        <f t="shared" si="185"/>
        <v>0.42881834256607676</v>
      </c>
      <c r="G295" s="29">
        <f t="shared" si="186"/>
        <v>0.86468557059373152</v>
      </c>
      <c r="H295" s="29">
        <f t="shared" si="187"/>
        <v>3.0076964451173329</v>
      </c>
      <c r="I295" s="29">
        <f t="shared" si="188"/>
        <v>-0.14217434896825745</v>
      </c>
      <c r="J295" s="29">
        <f t="shared" si="189"/>
        <v>-0.52889854891332222</v>
      </c>
      <c r="K295" s="26">
        <f t="shared" si="152"/>
        <v>-2.4502064043511398</v>
      </c>
      <c r="L295" s="26">
        <f t="shared" si="153"/>
        <v>7.9423456543128504E-2</v>
      </c>
      <c r="M295" s="26">
        <f t="shared" si="154"/>
        <v>0.86468557059373152</v>
      </c>
      <c r="N295" s="26">
        <f t="shared" si="155"/>
        <v>0.70363867382851686</v>
      </c>
      <c r="O295" s="26">
        <f t="shared" si="156"/>
        <v>-0.39005627137008109</v>
      </c>
      <c r="P295" s="26">
        <f t="shared" si="157"/>
        <v>0.40370375458984398</v>
      </c>
      <c r="Q295" s="26">
        <f t="shared" si="158"/>
        <v>8.1488360734968485E-2</v>
      </c>
      <c r="R295" s="26">
        <f t="shared" si="159"/>
        <v>-5.9749222140088509</v>
      </c>
      <c r="S295" s="26">
        <f t="shared" si="160"/>
        <v>2.5352559282620954E-3</v>
      </c>
      <c r="T295" s="26">
        <f t="shared" si="161"/>
        <v>1.2935039131598083</v>
      </c>
      <c r="U295" s="26">
        <f t="shared" si="162"/>
        <v>0.78473967233401831</v>
      </c>
      <c r="V295" s="26">
        <f t="shared" si="163"/>
        <v>-0.63284312069407844</v>
      </c>
      <c r="W295" s="26">
        <f t="shared" si="164"/>
        <v>0.34686614862819837</v>
      </c>
      <c r="X295" s="26">
        <f t="shared" si="165"/>
        <v>0.21329191390388136</v>
      </c>
      <c r="Y295" s="26">
        <f t="shared" si="166"/>
        <v>0.59346639718456151</v>
      </c>
      <c r="Z295" s="26">
        <f t="shared" si="167"/>
        <v>0.644160102312615</v>
      </c>
      <c r="AA295" s="26">
        <f t="shared" si="168"/>
        <v>0.61169674278018982</v>
      </c>
      <c r="AB295" s="26">
        <f t="shared" si="169"/>
        <v>0.64832775482247296</v>
      </c>
      <c r="AC295" s="26">
        <f t="shared" si="170"/>
        <v>1.3163639244388103</v>
      </c>
      <c r="AD295" s="26">
        <f t="shared" si="171"/>
        <v>0.78857612220622164</v>
      </c>
      <c r="AE295" s="26">
        <f t="shared" si="172"/>
        <v>2.2350028050679264E-2</v>
      </c>
      <c r="AF295" s="26">
        <f t="shared" si="173"/>
        <v>-2.9312494124731496</v>
      </c>
      <c r="AG295" s="26">
        <f t="shared" si="174"/>
        <v>5.063023592382989E-2</v>
      </c>
      <c r="AH295" s="26">
        <f t="shared" si="175"/>
        <v>1.0405150853462666</v>
      </c>
      <c r="AI295" s="26">
        <f t="shared" si="176"/>
        <v>0.73894937992130916</v>
      </c>
      <c r="AJ295" s="26">
        <f t="shared" si="177"/>
        <v>-0.48167781532057685</v>
      </c>
      <c r="AK295" s="26">
        <f t="shared" si="178"/>
        <v>0.38185601192391183</v>
      </c>
      <c r="AL295" s="26">
        <f t="shared" si="179"/>
        <v>7.2907006921217349E-2</v>
      </c>
      <c r="AM295" s="27">
        <f t="shared" si="180"/>
        <v>0.39003730961074645</v>
      </c>
    </row>
    <row r="296" spans="1:39" ht="15" customHeight="1" x14ac:dyDescent="0.2">
      <c r="A296" s="24">
        <v>285</v>
      </c>
      <c r="B296" s="29">
        <f t="shared" si="181"/>
        <v>3.0549436461552628</v>
      </c>
      <c r="C296" s="29">
        <f t="shared" si="182"/>
        <v>-3.5366210921406354</v>
      </c>
      <c r="D296" s="29">
        <f t="shared" si="183"/>
        <v>-2.4591813972524479</v>
      </c>
      <c r="E296" s="29">
        <f t="shared" si="184"/>
        <v>-0.25165945153384534</v>
      </c>
      <c r="F296" s="29">
        <f t="shared" si="185"/>
        <v>0.42773667839393842</v>
      </c>
      <c r="G296" s="29">
        <f t="shared" si="186"/>
        <v>0.86534252097090569</v>
      </c>
      <c r="H296" s="29">
        <f t="shared" si="187"/>
        <v>3.0184957644784687</v>
      </c>
      <c r="I296" s="29">
        <f t="shared" si="188"/>
        <v>-0.13819103232148827</v>
      </c>
      <c r="J296" s="29">
        <f t="shared" si="189"/>
        <v>-0.53299812572748384</v>
      </c>
      <c r="K296" s="26">
        <f t="shared" si="152"/>
        <v>-2.4591813972524479</v>
      </c>
      <c r="L296" s="26">
        <f t="shared" si="153"/>
        <v>7.8769718640645137E-2</v>
      </c>
      <c r="M296" s="26">
        <f t="shared" si="154"/>
        <v>0.86534252097090569</v>
      </c>
      <c r="N296" s="26">
        <f t="shared" si="155"/>
        <v>0.70377565020878197</v>
      </c>
      <c r="O296" s="26">
        <f t="shared" si="156"/>
        <v>-0.39248754726661406</v>
      </c>
      <c r="P296" s="26">
        <f t="shared" si="157"/>
        <v>0.4031186180385819</v>
      </c>
      <c r="Q296" s="26">
        <f t="shared" si="158"/>
        <v>8.1252310104668046E-2</v>
      </c>
      <c r="R296" s="26">
        <f t="shared" si="159"/>
        <v>-5.9958024893930837</v>
      </c>
      <c r="S296" s="26">
        <f t="shared" si="160"/>
        <v>2.4829980069072575E-3</v>
      </c>
      <c r="T296" s="26">
        <f t="shared" si="161"/>
        <v>1.2930791993648441</v>
      </c>
      <c r="U296" s="26">
        <f t="shared" si="162"/>
        <v>0.78466791959396232</v>
      </c>
      <c r="V296" s="26">
        <f t="shared" si="163"/>
        <v>-0.63393727659867005</v>
      </c>
      <c r="W296" s="26">
        <f t="shared" si="164"/>
        <v>0.34661830913303537</v>
      </c>
      <c r="X296" s="26">
        <f t="shared" si="165"/>
        <v>0.21345381698008686</v>
      </c>
      <c r="Y296" s="26">
        <f t="shared" si="166"/>
        <v>0.59576224890281493</v>
      </c>
      <c r="Z296" s="26">
        <f t="shared" si="167"/>
        <v>0.6446861781950769</v>
      </c>
      <c r="AA296" s="26">
        <f t="shared" si="168"/>
        <v>0.6136830694370603</v>
      </c>
      <c r="AB296" s="26">
        <f t="shared" si="169"/>
        <v>0.64878050152945899</v>
      </c>
      <c r="AC296" s="26">
        <f t="shared" si="170"/>
        <v>1.3233287253157584</v>
      </c>
      <c r="AD296" s="26">
        <f t="shared" si="171"/>
        <v>0.78973498656842189</v>
      </c>
      <c r="AE296" s="26">
        <f t="shared" si="172"/>
        <v>2.2105687936690863E-2</v>
      </c>
      <c r="AF296" s="26">
        <f t="shared" si="173"/>
        <v>-2.9408588432378204</v>
      </c>
      <c r="AG296" s="26">
        <f t="shared" si="174"/>
        <v>5.0170330687833685E-2</v>
      </c>
      <c r="AH296" s="26">
        <f t="shared" si="175"/>
        <v>1.0414197478309988</v>
      </c>
      <c r="AI296" s="26">
        <f t="shared" si="176"/>
        <v>0.73912385447614781</v>
      </c>
      <c r="AJ296" s="26">
        <f t="shared" si="177"/>
        <v>-0.48369948350727004</v>
      </c>
      <c r="AK296" s="26">
        <f t="shared" si="178"/>
        <v>0.38137892743880714</v>
      </c>
      <c r="AL296" s="26">
        <f t="shared" si="179"/>
        <v>7.2724943147187457E-2</v>
      </c>
      <c r="AM296" s="27">
        <f t="shared" si="180"/>
        <v>0.38953675816863326</v>
      </c>
    </row>
    <row r="297" spans="1:39" ht="15" customHeight="1" x14ac:dyDescent="0.2">
      <c r="A297" s="24">
        <v>286</v>
      </c>
      <c r="B297" s="29">
        <f t="shared" si="181"/>
        <v>3.0661426728952499</v>
      </c>
      <c r="C297" s="29">
        <f t="shared" si="182"/>
        <v>-3.5484573877595427</v>
      </c>
      <c r="D297" s="29">
        <f t="shared" si="183"/>
        <v>-2.4681218088424317</v>
      </c>
      <c r="E297" s="29">
        <f t="shared" si="184"/>
        <v>-0.25036133156482909</v>
      </c>
      <c r="F297" s="29">
        <f t="shared" si="185"/>
        <v>0.42667914434896526</v>
      </c>
      <c r="G297" s="29">
        <f t="shared" si="186"/>
        <v>0.86597994672596834</v>
      </c>
      <c r="H297" s="29">
        <f t="shared" si="187"/>
        <v>3.0292179852779646</v>
      </c>
      <c r="I297" s="29">
        <f t="shared" si="188"/>
        <v>-0.134196799443838</v>
      </c>
      <c r="J297" s="29">
        <f t="shared" si="189"/>
        <v>-0.53708320010568067</v>
      </c>
      <c r="K297" s="26">
        <f t="shared" si="152"/>
        <v>-2.4681218088424317</v>
      </c>
      <c r="L297" s="26">
        <f t="shared" si="153"/>
        <v>7.8123395565765072E-2</v>
      </c>
      <c r="M297" s="26">
        <f t="shared" si="154"/>
        <v>0.86597994672596834</v>
      </c>
      <c r="N297" s="26">
        <f t="shared" si="155"/>
        <v>0.70390852058854814</v>
      </c>
      <c r="O297" s="26">
        <f t="shared" si="156"/>
        <v>-0.39489267575111042</v>
      </c>
      <c r="P297" s="26">
        <f t="shared" si="157"/>
        <v>0.40254004555196865</v>
      </c>
      <c r="Q297" s="26">
        <f t="shared" si="158"/>
        <v>8.1019244136490504E-2</v>
      </c>
      <c r="R297" s="26">
        <f t="shared" si="159"/>
        <v>-6.0165791966019739</v>
      </c>
      <c r="S297" s="26">
        <f t="shared" si="160"/>
        <v>2.432065884054545E-3</v>
      </c>
      <c r="T297" s="26">
        <f t="shared" si="161"/>
        <v>1.2926590910749336</v>
      </c>
      <c r="U297" s="26">
        <f t="shared" si="162"/>
        <v>0.78459692785416002</v>
      </c>
      <c r="V297" s="26">
        <f t="shared" si="163"/>
        <v>-0.63500633895981784</v>
      </c>
      <c r="W297" s="26">
        <f t="shared" si="164"/>
        <v>0.3463762339602533</v>
      </c>
      <c r="X297" s="26">
        <f t="shared" si="165"/>
        <v>0.21361201376599076</v>
      </c>
      <c r="Y297" s="26">
        <f t="shared" si="166"/>
        <v>0.59802086405281818</v>
      </c>
      <c r="Z297" s="26">
        <f t="shared" si="167"/>
        <v>0.64520338069271244</v>
      </c>
      <c r="AA297" s="26">
        <f t="shared" si="168"/>
        <v>0.61561861516113925</v>
      </c>
      <c r="AB297" s="26">
        <f t="shared" si="169"/>
        <v>0.64922141631317709</v>
      </c>
      <c r="AC297" s="26">
        <f t="shared" si="170"/>
        <v>1.3302550486512055</v>
      </c>
      <c r="AD297" s="26">
        <f t="shared" si="171"/>
        <v>0.79088281969488905</v>
      </c>
      <c r="AE297" s="26">
        <f t="shared" si="172"/>
        <v>2.1864997549380143E-2</v>
      </c>
      <c r="AF297" s="26">
        <f t="shared" si="173"/>
        <v>-2.9504365237067245</v>
      </c>
      <c r="AG297" s="26">
        <f t="shared" si="174"/>
        <v>4.971588428448194E-2</v>
      </c>
      <c r="AH297" s="26">
        <f t="shared" si="175"/>
        <v>1.0422977595101046</v>
      </c>
      <c r="AI297" s="26">
        <f t="shared" si="176"/>
        <v>0.73929311694877131</v>
      </c>
      <c r="AJ297" s="26">
        <f t="shared" si="177"/>
        <v>-0.48569371942251399</v>
      </c>
      <c r="AK297" s="26">
        <f t="shared" si="178"/>
        <v>0.38090854070133645</v>
      </c>
      <c r="AL297" s="26">
        <f t="shared" si="179"/>
        <v>7.254565818961084E-2</v>
      </c>
      <c r="AM297" s="27">
        <f t="shared" si="180"/>
        <v>0.38904191364147223</v>
      </c>
    </row>
    <row r="298" spans="1:39" ht="15" customHeight="1" x14ac:dyDescent="0.2">
      <c r="A298" s="24">
        <v>287</v>
      </c>
      <c r="B298" s="29">
        <f t="shared" si="181"/>
        <v>3.077270281824005</v>
      </c>
      <c r="C298" s="29">
        <f t="shared" si="182"/>
        <v>-3.5602249287907348</v>
      </c>
      <c r="D298" s="29">
        <f t="shared" si="183"/>
        <v>-2.4770274938774528</v>
      </c>
      <c r="E298" s="29">
        <f t="shared" si="184"/>
        <v>-0.24909498211590322</v>
      </c>
      <c r="F298" s="29">
        <f t="shared" si="185"/>
        <v>0.42564628288725531</v>
      </c>
      <c r="G298" s="29">
        <f t="shared" si="186"/>
        <v>0.86659788952206573</v>
      </c>
      <c r="H298" s="29">
        <f t="shared" si="187"/>
        <v>3.0398634738326007</v>
      </c>
      <c r="I298" s="29">
        <f t="shared" si="188"/>
        <v>-0.1301917292641348</v>
      </c>
      <c r="J298" s="29">
        <f t="shared" si="189"/>
        <v>-0.54115395117404963</v>
      </c>
      <c r="K298" s="26">
        <f t="shared" si="152"/>
        <v>-2.4770274938774528</v>
      </c>
      <c r="L298" s="26">
        <f t="shared" si="153"/>
        <v>7.7484411914971477E-2</v>
      </c>
      <c r="M298" s="26">
        <f t="shared" si="154"/>
        <v>0.86659788952206573</v>
      </c>
      <c r="N298" s="26">
        <f t="shared" si="155"/>
        <v>0.70403729680845739</v>
      </c>
      <c r="O298" s="26">
        <f t="shared" si="156"/>
        <v>-0.39727175074026827</v>
      </c>
      <c r="P298" s="26">
        <f t="shared" si="157"/>
        <v>0.40196800721740933</v>
      </c>
      <c r="Q298" s="26">
        <f t="shared" si="158"/>
        <v>8.0789139413167621E-2</v>
      </c>
      <c r="R298" s="26">
        <f t="shared" si="159"/>
        <v>-6.0372524226681872</v>
      </c>
      <c r="S298" s="26">
        <f t="shared" si="160"/>
        <v>2.3824219394895491E-3</v>
      </c>
      <c r="T298" s="26">
        <f t="shared" si="161"/>
        <v>1.292244172409321</v>
      </c>
      <c r="U298" s="26">
        <f t="shared" si="162"/>
        <v>0.78452679641531742</v>
      </c>
      <c r="V298" s="26">
        <f t="shared" si="163"/>
        <v>-0.63605061402029994</v>
      </c>
      <c r="W298" s="26">
        <f t="shared" si="164"/>
        <v>0.34613984830339123</v>
      </c>
      <c r="X298" s="26">
        <f t="shared" si="165"/>
        <v>0.21376654898835609</v>
      </c>
      <c r="Y298" s="26">
        <f t="shared" si="166"/>
        <v>0.60024278794655217</v>
      </c>
      <c r="Z298" s="26">
        <f t="shared" si="167"/>
        <v>0.64571185031722778</v>
      </c>
      <c r="AA298" s="26">
        <f t="shared" si="168"/>
        <v>0.61750290740616254</v>
      </c>
      <c r="AB298" s="26">
        <f t="shared" si="169"/>
        <v>0.64965041103016252</v>
      </c>
      <c r="AC298" s="26">
        <f t="shared" si="170"/>
        <v>1.3371428067969817</v>
      </c>
      <c r="AD298" s="26">
        <f t="shared" si="171"/>
        <v>0.79201968438938264</v>
      </c>
      <c r="AE298" s="26">
        <f t="shared" si="172"/>
        <v>2.1627905840746003E-2</v>
      </c>
      <c r="AF298" s="26">
        <f t="shared" si="173"/>
        <v>-2.9599821408441827</v>
      </c>
      <c r="AG298" s="26">
        <f t="shared" si="174"/>
        <v>4.926684259337951E-2</v>
      </c>
      <c r="AH298" s="26">
        <f t="shared" si="175"/>
        <v>1.0431491902934178</v>
      </c>
      <c r="AI298" s="26">
        <f t="shared" si="176"/>
        <v>0.73945718726194232</v>
      </c>
      <c r="AJ298" s="26">
        <f t="shared" si="177"/>
        <v>-0.48766068582980049</v>
      </c>
      <c r="AK298" s="26">
        <f t="shared" si="178"/>
        <v>0.38044480492194593</v>
      </c>
      <c r="AL298" s="26">
        <f t="shared" si="179"/>
        <v>7.2369124796048748E-2</v>
      </c>
      <c r="AM298" s="27">
        <f t="shared" si="180"/>
        <v>0.38855271903831845</v>
      </c>
    </row>
    <row r="299" spans="1:39" ht="15" customHeight="1" x14ac:dyDescent="0.2">
      <c r="A299" s="24">
        <v>288</v>
      </c>
      <c r="B299" s="29">
        <f t="shared" si="181"/>
        <v>3.0883268848127519</v>
      </c>
      <c r="C299" s="29">
        <f t="shared" si="182"/>
        <v>-3.5719239627591546</v>
      </c>
      <c r="D299" s="29">
        <f t="shared" si="183"/>
        <v>-2.4858983195595488</v>
      </c>
      <c r="E299" s="29">
        <f t="shared" si="184"/>
        <v>-0.24786091126966528</v>
      </c>
      <c r="F299" s="29">
        <f t="shared" si="185"/>
        <v>0.42463862845375633</v>
      </c>
      <c r="G299" s="29">
        <f t="shared" si="186"/>
        <v>0.86719639068277055</v>
      </c>
      <c r="H299" s="29">
        <f t="shared" si="187"/>
        <v>3.0504326133898196</v>
      </c>
      <c r="I299" s="29">
        <f t="shared" si="188"/>
        <v>-0.12617588618847708</v>
      </c>
      <c r="J299" s="29">
        <f t="shared" si="189"/>
        <v>-0.54521056971791215</v>
      </c>
      <c r="K299" s="26">
        <f t="shared" si="152"/>
        <v>-2.4858983195595488</v>
      </c>
      <c r="L299" s="26">
        <f t="shared" si="153"/>
        <v>7.6852692037358103E-2</v>
      </c>
      <c r="M299" s="26">
        <f t="shared" si="154"/>
        <v>0.86719639068277055</v>
      </c>
      <c r="N299" s="26">
        <f t="shared" si="155"/>
        <v>0.70416199053515549</v>
      </c>
      <c r="O299" s="26">
        <f t="shared" si="156"/>
        <v>-0.39962487467636615</v>
      </c>
      <c r="P299" s="26">
        <f t="shared" si="157"/>
        <v>0.40140247111317356</v>
      </c>
      <c r="Q299" s="26">
        <f t="shared" si="158"/>
        <v>8.0561971907881072E-2</v>
      </c>
      <c r="R299" s="26">
        <f t="shared" si="159"/>
        <v>-6.0578222823187033</v>
      </c>
      <c r="S299" s="26">
        <f t="shared" si="160"/>
        <v>2.3340296537804053E-3</v>
      </c>
      <c r="T299" s="26">
        <f t="shared" si="161"/>
        <v>1.2918350191365269</v>
      </c>
      <c r="U299" s="26">
        <f t="shared" si="162"/>
        <v>0.7844576232521927</v>
      </c>
      <c r="V299" s="26">
        <f t="shared" si="163"/>
        <v>-0.63707040533255332</v>
      </c>
      <c r="W299" s="26">
        <f t="shared" si="164"/>
        <v>0.34590907816932398</v>
      </c>
      <c r="X299" s="26">
        <f t="shared" si="165"/>
        <v>0.21391746701065181</v>
      </c>
      <c r="Y299" s="26">
        <f t="shared" si="166"/>
        <v>0.6024285652532031</v>
      </c>
      <c r="Z299" s="26">
        <f t="shared" si="167"/>
        <v>0.64621172693744866</v>
      </c>
      <c r="AA299" s="26">
        <f t="shared" si="168"/>
        <v>0.61933547941310529</v>
      </c>
      <c r="AB299" s="26">
        <f t="shared" si="169"/>
        <v>0.65006739865833241</v>
      </c>
      <c r="AC299" s="26">
        <f t="shared" si="170"/>
        <v>1.3439919271790848</v>
      </c>
      <c r="AD299" s="26">
        <f t="shared" si="171"/>
        <v>0.79314564593418191</v>
      </c>
      <c r="AE299" s="26">
        <f t="shared" si="172"/>
        <v>2.1394361897993416E-2</v>
      </c>
      <c r="AF299" s="26">
        <f t="shared" si="173"/>
        <v>-2.9694953975059515</v>
      </c>
      <c r="AG299" s="26">
        <f t="shared" si="174"/>
        <v>4.8823151127356565E-2</v>
      </c>
      <c r="AH299" s="26">
        <f t="shared" si="175"/>
        <v>1.0439741078668616</v>
      </c>
      <c r="AI299" s="26">
        <f t="shared" si="176"/>
        <v>0.73961608469597384</v>
      </c>
      <c r="AJ299" s="26">
        <f t="shared" si="177"/>
        <v>-0.48960055215632997</v>
      </c>
      <c r="AK299" s="26">
        <f t="shared" si="178"/>
        <v>0.37998767187446958</v>
      </c>
      <c r="AL299" s="26">
        <f t="shared" si="179"/>
        <v>7.2195315388289785E-2</v>
      </c>
      <c r="AM299" s="27">
        <f t="shared" si="180"/>
        <v>0.3880691162048161</v>
      </c>
    </row>
    <row r="300" spans="1:39" ht="15" customHeight="1" x14ac:dyDescent="0.2">
      <c r="A300" s="24">
        <v>289</v>
      </c>
      <c r="B300" s="29">
        <f t="shared" si="181"/>
        <v>3.0993129047742602</v>
      </c>
      <c r="C300" s="29">
        <f t="shared" si="182"/>
        <v>-3.5835547516794737</v>
      </c>
      <c r="D300" s="29">
        <f t="shared" si="183"/>
        <v>-2.4947341652075186</v>
      </c>
      <c r="E300" s="29">
        <f t="shared" si="184"/>
        <v>-0.24665962117112303</v>
      </c>
      <c r="F300" s="29">
        <f t="shared" si="185"/>
        <v>0.42365670747754453</v>
      </c>
      <c r="G300" s="29">
        <f t="shared" si="186"/>
        <v>0.86777549091305706</v>
      </c>
      <c r="H300" s="29">
        <f t="shared" si="187"/>
        <v>3.0609258031822577</v>
      </c>
      <c r="I300" s="29">
        <f t="shared" si="188"/>
        <v>-0.12214932003017399</v>
      </c>
      <c r="J300" s="29">
        <f t="shared" si="189"/>
        <v>-0.54925325786801826</v>
      </c>
      <c r="K300" s="26">
        <f t="shared" si="152"/>
        <v>-2.4947341652075186</v>
      </c>
      <c r="L300" s="26">
        <f t="shared" si="153"/>
        <v>7.6228160091944636E-2</v>
      </c>
      <c r="M300" s="26">
        <f t="shared" si="154"/>
        <v>0.86777549091305706</v>
      </c>
      <c r="N300" s="26">
        <f t="shared" si="155"/>
        <v>0.70428261320375496</v>
      </c>
      <c r="O300" s="26">
        <f t="shared" si="156"/>
        <v>-0.40195215802538964</v>
      </c>
      <c r="P300" s="26">
        <f t="shared" si="157"/>
        <v>0.40084340343592578</v>
      </c>
      <c r="Q300" s="26">
        <f t="shared" si="158"/>
        <v>8.0337717039048184E-2</v>
      </c>
      <c r="R300" s="26">
        <f t="shared" si="159"/>
        <v>-6.0782889168869918</v>
      </c>
      <c r="S300" s="26">
        <f t="shared" si="160"/>
        <v>2.2868535786726364E-3</v>
      </c>
      <c r="T300" s="26">
        <f t="shared" si="161"/>
        <v>1.2914321983906016</v>
      </c>
      <c r="U300" s="26">
        <f t="shared" si="162"/>
        <v>0.78438950496090987</v>
      </c>
      <c r="V300" s="26">
        <f t="shared" si="163"/>
        <v>-0.63806601341073943</v>
      </c>
      <c r="W300" s="26">
        <f t="shared" si="164"/>
        <v>0.34568385045185007</v>
      </c>
      <c r="X300" s="26">
        <f t="shared" si="165"/>
        <v>0.21406481177975847</v>
      </c>
      <c r="Y300" s="26">
        <f t="shared" si="166"/>
        <v>0.60457873956674169</v>
      </c>
      <c r="Z300" s="26">
        <f t="shared" si="167"/>
        <v>0.64670314968767029</v>
      </c>
      <c r="AA300" s="26">
        <f t="shared" si="168"/>
        <v>0.621115869741934</v>
      </c>
      <c r="AB300" s="26">
        <f t="shared" si="169"/>
        <v>0.65047229316519961</v>
      </c>
      <c r="AC300" s="26">
        <f t="shared" si="170"/>
        <v>1.3508023517016126</v>
      </c>
      <c r="AD300" s="26">
        <f t="shared" si="171"/>
        <v>0.79426077192658517</v>
      </c>
      <c r="AE300" s="26">
        <f t="shared" si="172"/>
        <v>2.1164314984122301E-2</v>
      </c>
      <c r="AF300" s="26">
        <f t="shared" si="173"/>
        <v>-2.978976012112732</v>
      </c>
      <c r="AG300" s="26">
        <f t="shared" si="174"/>
        <v>4.8384755083206929E-2</v>
      </c>
      <c r="AH300" s="26">
        <f t="shared" si="175"/>
        <v>1.0447725772194785</v>
      </c>
      <c r="AI300" s="26">
        <f t="shared" si="176"/>
        <v>0.73976982779990341</v>
      </c>
      <c r="AJ300" s="26">
        <f t="shared" si="177"/>
        <v>-0.49151349399777339</v>
      </c>
      <c r="AK300" s="26">
        <f t="shared" si="178"/>
        <v>0.37953709201682895</v>
      </c>
      <c r="AL300" s="26">
        <f t="shared" si="179"/>
        <v>7.2024202108295438E-2</v>
      </c>
      <c r="AM300" s="27">
        <f t="shared" si="180"/>
        <v>0.3875910459112244</v>
      </c>
    </row>
    <row r="301" spans="1:39" ht="15" customHeight="1" x14ac:dyDescent="0.2">
      <c r="A301" s="24">
        <v>290</v>
      </c>
      <c r="B301" s="29">
        <f t="shared" si="181"/>
        <v>3.1102287749291104</v>
      </c>
      <c r="C301" s="29">
        <f t="shared" si="182"/>
        <v>-3.5951175713192947</v>
      </c>
      <c r="D301" s="29">
        <f t="shared" si="183"/>
        <v>-2.5035349219288832</v>
      </c>
      <c r="E301" s="29">
        <f t="shared" si="184"/>
        <v>-0.24549160822484886</v>
      </c>
      <c r="F301" s="29">
        <f t="shared" si="185"/>
        <v>0.42270103837442002</v>
      </c>
      <c r="G301" s="29">
        <f t="shared" si="186"/>
        <v>0.86833523002132629</v>
      </c>
      <c r="H301" s="29">
        <f t="shared" si="187"/>
        <v>3.0713434575119249</v>
      </c>
      <c r="I301" s="29">
        <f t="shared" si="188"/>
        <v>-0.1181120659521724</v>
      </c>
      <c r="J301" s="29">
        <f t="shared" si="189"/>
        <v>-0.55328222879453937</v>
      </c>
      <c r="K301" s="26">
        <f t="shared" si="152"/>
        <v>-2.5035349219288832</v>
      </c>
      <c r="L301" s="26">
        <f t="shared" si="153"/>
        <v>7.5610740102696611E-2</v>
      </c>
      <c r="M301" s="26">
        <f t="shared" si="154"/>
        <v>0.86833523002132629</v>
      </c>
      <c r="N301" s="26">
        <f t="shared" si="155"/>
        <v>0.70439917596059565</v>
      </c>
      <c r="O301" s="26">
        <f t="shared" si="156"/>
        <v>-0.40425371879020133</v>
      </c>
      <c r="P301" s="26">
        <f t="shared" si="157"/>
        <v>0.40029076862415397</v>
      </c>
      <c r="Q301" s="26">
        <f t="shared" si="158"/>
        <v>8.0116349722857985E-2</v>
      </c>
      <c r="R301" s="26">
        <f t="shared" si="159"/>
        <v>-6.0986524932481778</v>
      </c>
      <c r="S301" s="26">
        <f t="shared" si="160"/>
        <v>2.2408593079933678E-3</v>
      </c>
      <c r="T301" s="26">
        <f t="shared" si="161"/>
        <v>1.2910362683957464</v>
      </c>
      <c r="U301" s="26">
        <f t="shared" si="162"/>
        <v>0.78432253670737417</v>
      </c>
      <c r="V301" s="26">
        <f t="shared" si="163"/>
        <v>-0.63903773540308573</v>
      </c>
      <c r="W301" s="26">
        <f t="shared" si="164"/>
        <v>0.34546409300062292</v>
      </c>
      <c r="X301" s="26">
        <f t="shared" si="165"/>
        <v>0.21420862677574856</v>
      </c>
      <c r="Y301" s="26">
        <f t="shared" si="166"/>
        <v>0.60669385300022727</v>
      </c>
      <c r="Z301" s="26">
        <f t="shared" si="167"/>
        <v>0.64718625688259079</v>
      </c>
      <c r="AA301" s="26">
        <f t="shared" si="168"/>
        <v>0.62284362179647745</v>
      </c>
      <c r="AB301" s="26">
        <f t="shared" si="169"/>
        <v>0.65086500937498193</v>
      </c>
      <c r="AC301" s="26">
        <f t="shared" si="170"/>
        <v>1.3575740361601787</v>
      </c>
      <c r="AD301" s="26">
        <f t="shared" si="171"/>
        <v>0.79536513212053317</v>
      </c>
      <c r="AE301" s="26">
        <f t="shared" si="172"/>
        <v>2.0937714576023423E-2</v>
      </c>
      <c r="AF301" s="26">
        <f t="shared" si="173"/>
        <v>-2.9884237183190674</v>
      </c>
      <c r="AG301" s="26">
        <f t="shared" si="174"/>
        <v>4.7951599390615551E-2</v>
      </c>
      <c r="AH301" s="26">
        <f t="shared" si="175"/>
        <v>1.0455446601708975</v>
      </c>
      <c r="AI301" s="26">
        <f t="shared" si="176"/>
        <v>0.73991843430288284</v>
      </c>
      <c r="AJ301" s="26">
        <f t="shared" si="177"/>
        <v>-0.49339969264054973</v>
      </c>
      <c r="AK301" s="26">
        <f t="shared" si="178"/>
        <v>0.37909301460709555</v>
      </c>
      <c r="AL301" s="26">
        <f t="shared" si="179"/>
        <v>7.1855756861947784E-2</v>
      </c>
      <c r="AM301" s="27">
        <f t="shared" si="180"/>
        <v>0.38711844793657779</v>
      </c>
    </row>
    <row r="302" spans="1:39" ht="15" customHeight="1" x14ac:dyDescent="0.2">
      <c r="A302" s="24">
        <v>291</v>
      </c>
      <c r="B302" s="29">
        <f t="shared" si="181"/>
        <v>3.1210749380991922</v>
      </c>
      <c r="C302" s="29">
        <f t="shared" si="182"/>
        <v>-3.606612710484391</v>
      </c>
      <c r="D302" s="29">
        <f t="shared" si="183"/>
        <v>-2.51230049229317</v>
      </c>
      <c r="E302" s="29">
        <f t="shared" si="184"/>
        <v>-0.24435736329964247</v>
      </c>
      <c r="F302" s="29">
        <f t="shared" si="185"/>
        <v>0.42177213155640497</v>
      </c>
      <c r="G302" s="29">
        <f t="shared" si="186"/>
        <v>0.86887564664258132</v>
      </c>
      <c r="H302" s="29">
        <f t="shared" si="187"/>
        <v>3.0816860048639247</v>
      </c>
      <c r="I302" s="29">
        <f t="shared" si="188"/>
        <v>-0.11406414442129498</v>
      </c>
      <c r="J302" s="29">
        <f t="shared" si="189"/>
        <v>-0.55729770640885401</v>
      </c>
      <c r="K302" s="26">
        <f t="shared" si="152"/>
        <v>-2.51230049229317</v>
      </c>
      <c r="L302" s="26">
        <f t="shared" si="153"/>
        <v>7.500035601128073E-2</v>
      </c>
      <c r="M302" s="26">
        <f t="shared" si="154"/>
        <v>0.86887564664258132</v>
      </c>
      <c r="N302" s="26">
        <f t="shared" si="155"/>
        <v>0.70451168960631261</v>
      </c>
      <c r="O302" s="26">
        <f t="shared" si="156"/>
        <v>-0.40652968203882323</v>
      </c>
      <c r="P302" s="26">
        <f t="shared" si="157"/>
        <v>0.39974452947749517</v>
      </c>
      <c r="Q302" s="26">
        <f t="shared" si="158"/>
        <v>7.9897844423592004E-2</v>
      </c>
      <c r="R302" s="26">
        <f t="shared" si="159"/>
        <v>-6.118913202777561</v>
      </c>
      <c r="S302" s="26">
        <f t="shared" si="160"/>
        <v>2.196013449080359E-3</v>
      </c>
      <c r="T302" s="26">
        <f t="shared" si="161"/>
        <v>1.2906477781989862</v>
      </c>
      <c r="U302" s="26">
        <f t="shared" si="162"/>
        <v>0.78425681217676668</v>
      </c>
      <c r="V302" s="26">
        <f t="shared" si="163"/>
        <v>-0.63998586478384523</v>
      </c>
      <c r="W302" s="26">
        <f t="shared" si="164"/>
        <v>0.34524973468559689</v>
      </c>
      <c r="X302" s="26">
        <f t="shared" si="165"/>
        <v>0.2143489549646406</v>
      </c>
      <c r="Y302" s="26">
        <f t="shared" si="166"/>
        <v>0.60877444580602225</v>
      </c>
      <c r="Z302" s="26">
        <f t="shared" si="167"/>
        <v>0.64766118593858257</v>
      </c>
      <c r="AA302" s="26">
        <f t="shared" si="168"/>
        <v>0.6245182833429388</v>
      </c>
      <c r="AB302" s="26">
        <f t="shared" si="169"/>
        <v>0.65124546283471385</v>
      </c>
      <c r="AC302" s="26">
        <f t="shared" si="170"/>
        <v>1.3643069496651561</v>
      </c>
      <c r="AD302" s="26">
        <f t="shared" si="171"/>
        <v>0.79645879827333199</v>
      </c>
      <c r="AE302" s="26">
        <f t="shared" si="172"/>
        <v>2.0714510400168081E-2</v>
      </c>
      <c r="AF302" s="26">
        <f t="shared" si="173"/>
        <v>-2.9978382646783688</v>
      </c>
      <c r="AG302" s="26">
        <f t="shared" si="174"/>
        <v>4.7523628759283038E-2</v>
      </c>
      <c r="AH302" s="26">
        <f t="shared" si="175"/>
        <v>1.0462904148993437</v>
      </c>
      <c r="AI302" s="26">
        <f t="shared" si="176"/>
        <v>0.74006192102577795</v>
      </c>
      <c r="AJ302" s="26">
        <f t="shared" si="177"/>
        <v>-0.49525933460160809</v>
      </c>
      <c r="AK302" s="26">
        <f t="shared" si="178"/>
        <v>0.37865538781494418</v>
      </c>
      <c r="AL302" s="26">
        <f t="shared" si="179"/>
        <v>7.1689951360642892E-2</v>
      </c>
      <c r="AM302" s="27">
        <f t="shared" si="180"/>
        <v>0.38665126114904358</v>
      </c>
    </row>
    <row r="303" spans="1:39" ht="15" customHeight="1" x14ac:dyDescent="0.2">
      <c r="A303" s="24">
        <v>292</v>
      </c>
      <c r="B303" s="29">
        <f t="shared" si="181"/>
        <v>3.1318518460280309</v>
      </c>
      <c r="C303" s="29">
        <f t="shared" si="182"/>
        <v>-3.6180404703258509</v>
      </c>
      <c r="D303" s="29">
        <f t="shared" si="183"/>
        <v>-2.5210307900069306</v>
      </c>
      <c r="E303" s="29">
        <f t="shared" si="184"/>
        <v>-0.24325737194029501</v>
      </c>
      <c r="F303" s="29">
        <f t="shared" si="185"/>
        <v>0.4208704894477357</v>
      </c>
      <c r="G303" s="29">
        <f t="shared" si="186"/>
        <v>0.86939677796283521</v>
      </c>
      <c r="H303" s="29">
        <f t="shared" si="187"/>
        <v>3.0919538870495469</v>
      </c>
      <c r="I303" s="29">
        <f t="shared" si="188"/>
        <v>-0.11000556117361641</v>
      </c>
      <c r="J303" s="29">
        <f t="shared" si="189"/>
        <v>-0.56129992507314574</v>
      </c>
      <c r="K303" s="26">
        <f t="shared" si="152"/>
        <v>-2.5210307900069306</v>
      </c>
      <c r="L303" s="26">
        <f t="shared" si="153"/>
        <v>7.4396931727590654E-2</v>
      </c>
      <c r="M303" s="26">
        <f t="shared" si="154"/>
        <v>0.86939677796283521</v>
      </c>
      <c r="N303" s="26">
        <f t="shared" si="155"/>
        <v>0.70462016453921839</v>
      </c>
      <c r="O303" s="26">
        <f t="shared" si="156"/>
        <v>-0.40878017944784473</v>
      </c>
      <c r="P303" s="26">
        <f t="shared" si="157"/>
        <v>0.39920464727197047</v>
      </c>
      <c r="Q303" s="26">
        <f t="shared" si="158"/>
        <v>7.9682175201769179E-2</v>
      </c>
      <c r="R303" s="26">
        <f t="shared" si="159"/>
        <v>-6.1390712603327815</v>
      </c>
      <c r="S303" s="26">
        <f t="shared" si="160"/>
        <v>2.1522835947488206E-3</v>
      </c>
      <c r="T303" s="26">
        <f t="shared" si="161"/>
        <v>1.2902672674105709</v>
      </c>
      <c r="U303" s="26">
        <f t="shared" si="162"/>
        <v>0.78419242352407847</v>
      </c>
      <c r="V303" s="26">
        <f t="shared" si="163"/>
        <v>-0.64091069106419374</v>
      </c>
      <c r="W303" s="26">
        <f t="shared" si="164"/>
        <v>0.34504070545716026</v>
      </c>
      <c r="X303" s="26">
        <f t="shared" si="165"/>
        <v>0.21448583875402716</v>
      </c>
      <c r="Y303" s="26">
        <f t="shared" si="166"/>
        <v>0.61082105602110026</v>
      </c>
      <c r="Z303" s="26">
        <f t="shared" si="167"/>
        <v>0.6481280733010627</v>
      </c>
      <c r="AA303" s="26">
        <f t="shared" si="168"/>
        <v>0.62613940602254026</v>
      </c>
      <c r="AB303" s="26">
        <f t="shared" si="169"/>
        <v>0.65161356967946438</v>
      </c>
      <c r="AC303" s="26">
        <f t="shared" si="170"/>
        <v>1.371001074075076</v>
      </c>
      <c r="AD303" s="26">
        <f t="shared" si="171"/>
        <v>0.7975418439974471</v>
      </c>
      <c r="AE303" s="26">
        <f t="shared" si="172"/>
        <v>2.0494652465977023E-2</v>
      </c>
      <c r="AF303" s="26">
        <f t="shared" si="173"/>
        <v>-3.0072194143047506</v>
      </c>
      <c r="AG303" s="26">
        <f t="shared" si="174"/>
        <v>4.7100787724260275E-2</v>
      </c>
      <c r="AH303" s="26">
        <f t="shared" si="175"/>
        <v>1.0470098954702758</v>
      </c>
      <c r="AI303" s="26">
        <f t="shared" si="176"/>
        <v>0.74020030379297308</v>
      </c>
      <c r="AJ303" s="26">
        <f t="shared" si="177"/>
        <v>-0.49709261118565096</v>
      </c>
      <c r="AK303" s="26">
        <f t="shared" si="178"/>
        <v>0.37822415882853894</v>
      </c>
      <c r="AL303" s="26">
        <f t="shared" si="179"/>
        <v>7.1526757160777929E-2</v>
      </c>
      <c r="AM303" s="27">
        <f t="shared" si="180"/>
        <v>0.38618942358255132</v>
      </c>
    </row>
    <row r="304" spans="1:39" ht="15" customHeight="1" x14ac:dyDescent="0.2">
      <c r="A304" s="24">
        <v>293</v>
      </c>
      <c r="B304" s="29">
        <f t="shared" si="181"/>
        <v>3.1425599587275004</v>
      </c>
      <c r="C304" s="29">
        <f t="shared" si="182"/>
        <v>-3.6294011636689607</v>
      </c>
      <c r="D304" s="29">
        <f t="shared" si="183"/>
        <v>-2.5297257395908757</v>
      </c>
      <c r="E304" s="29">
        <f t="shared" si="184"/>
        <v>-0.24219211458606593</v>
      </c>
      <c r="F304" s="29">
        <f t="shared" si="185"/>
        <v>0.41999660650694598</v>
      </c>
      <c r="G304" s="29">
        <f t="shared" si="186"/>
        <v>0.86989865944481792</v>
      </c>
      <c r="H304" s="29">
        <f t="shared" si="187"/>
        <v>3.1021475583785048</v>
      </c>
      <c r="I304" s="29">
        <f t="shared" si="188"/>
        <v>-0.1059363071903118</v>
      </c>
      <c r="J304" s="29">
        <f t="shared" si="189"/>
        <v>-0.56528912931780717</v>
      </c>
      <c r="K304" s="26">
        <f t="shared" si="152"/>
        <v>-2.5297257395908757</v>
      </c>
      <c r="L304" s="26">
        <f t="shared" si="153"/>
        <v>7.3800391178080474E-2</v>
      </c>
      <c r="M304" s="26">
        <f t="shared" si="154"/>
        <v>0.86989865944481792</v>
      </c>
      <c r="N304" s="26">
        <f t="shared" si="155"/>
        <v>0.70472461069900405</v>
      </c>
      <c r="O304" s="26">
        <f t="shared" si="156"/>
        <v>-0.41100534886092888</v>
      </c>
      <c r="P304" s="26">
        <f t="shared" si="157"/>
        <v>0.39867108187115297</v>
      </c>
      <c r="Q304" s="26">
        <f t="shared" si="158"/>
        <v>7.9469315760157769E-2</v>
      </c>
      <c r="R304" s="26">
        <f t="shared" si="159"/>
        <v>-6.1591269032598364</v>
      </c>
      <c r="S304" s="26">
        <f t="shared" si="160"/>
        <v>2.1096382958067411E-3</v>
      </c>
      <c r="T304" s="26">
        <f t="shared" si="161"/>
        <v>1.289895265951764</v>
      </c>
      <c r="U304" s="26">
        <f t="shared" si="162"/>
        <v>0.78412946132565531</v>
      </c>
      <c r="V304" s="26">
        <f t="shared" si="163"/>
        <v>-0.64181249952137687</v>
      </c>
      <c r="W304" s="26">
        <f t="shared" si="164"/>
        <v>0.34483693640213109</v>
      </c>
      <c r="X304" s="26">
        <f t="shared" si="165"/>
        <v>0.2146193199514726</v>
      </c>
      <c r="Y304" s="26">
        <f t="shared" si="166"/>
        <v>0.61283421913662472</v>
      </c>
      <c r="Z304" s="26">
        <f t="shared" si="167"/>
        <v>0.6485870543777229</v>
      </c>
      <c r="AA304" s="26">
        <f t="shared" si="168"/>
        <v>0.62770654485875199</v>
      </c>
      <c r="AB304" s="26">
        <f t="shared" si="169"/>
        <v>0.65196924649674415</v>
      </c>
      <c r="AC304" s="26">
        <f t="shared" si="170"/>
        <v>1.3776564034404375</v>
      </c>
      <c r="AD304" s="26">
        <f t="shared" si="171"/>
        <v>0.79861434461732095</v>
      </c>
      <c r="AE304" s="26">
        <f t="shared" si="172"/>
        <v>2.0278091096955584E-2</v>
      </c>
      <c r="AF304" s="26">
        <f t="shared" si="173"/>
        <v>-3.016566944532336</v>
      </c>
      <c r="AG304" s="26">
        <f t="shared" si="174"/>
        <v>4.6683020689509337E-2</v>
      </c>
      <c r="AH304" s="26">
        <f t="shared" si="175"/>
        <v>1.047703151365698</v>
      </c>
      <c r="AI304" s="26">
        <f t="shared" si="176"/>
        <v>0.74033359734436321</v>
      </c>
      <c r="AJ304" s="26">
        <f t="shared" si="177"/>
        <v>-0.49889971805969363</v>
      </c>
      <c r="AK304" s="26">
        <f t="shared" si="178"/>
        <v>0.37779927395690127</v>
      </c>
      <c r="AL304" s="26">
        <f t="shared" si="179"/>
        <v>7.1366145701180869E-2</v>
      </c>
      <c r="AM304" s="27">
        <f t="shared" si="180"/>
        <v>0.38573287250976684</v>
      </c>
    </row>
    <row r="305" spans="1:39" ht="15" customHeight="1" x14ac:dyDescent="0.2">
      <c r="A305" s="24">
        <v>294</v>
      </c>
      <c r="B305" s="29">
        <f t="shared" si="181"/>
        <v>3.1531997438504593</v>
      </c>
      <c r="C305" s="29">
        <f t="shared" si="182"/>
        <v>-3.640695114363615</v>
      </c>
      <c r="D305" s="29">
        <f t="shared" si="183"/>
        <v>-2.5383852760594734</v>
      </c>
      <c r="E305" s="29">
        <f t="shared" si="184"/>
        <v>-0.24116206679550053</v>
      </c>
      <c r="F305" s="29">
        <f t="shared" si="185"/>
        <v>0.41915096925464501</v>
      </c>
      <c r="G305" s="29">
        <f t="shared" si="186"/>
        <v>0.87038132455503059</v>
      </c>
      <c r="H305" s="29">
        <f t="shared" si="187"/>
        <v>3.1122674848600353</v>
      </c>
      <c r="I305" s="29">
        <f t="shared" si="188"/>
        <v>-0.10185635868331488</v>
      </c>
      <c r="J305" s="29">
        <f t="shared" si="189"/>
        <v>-0.56926557356662244</v>
      </c>
      <c r="K305" s="26">
        <f t="shared" si="152"/>
        <v>-2.5383852760594734</v>
      </c>
      <c r="L305" s="26">
        <f t="shared" si="153"/>
        <v>7.3210658351947094E-2</v>
      </c>
      <c r="M305" s="26">
        <f t="shared" si="154"/>
        <v>0.87038132455503059</v>
      </c>
      <c r="N305" s="26">
        <f t="shared" si="155"/>
        <v>0.70482503751075942</v>
      </c>
      <c r="O305" s="26">
        <f t="shared" si="156"/>
        <v>-0.41320533386233749</v>
      </c>
      <c r="P305" s="26">
        <f t="shared" si="157"/>
        <v>0.39814379183330351</v>
      </c>
      <c r="Q305" s="26">
        <f t="shared" si="158"/>
        <v>7.9259239487700459E-2</v>
      </c>
      <c r="R305" s="26">
        <f t="shared" si="159"/>
        <v>-6.1790803904230884</v>
      </c>
      <c r="S305" s="26">
        <f t="shared" si="160"/>
        <v>2.068047034127332E-3</v>
      </c>
      <c r="T305" s="26">
        <f t="shared" si="161"/>
        <v>1.2895322938096756</v>
      </c>
      <c r="U305" s="26">
        <f t="shared" si="162"/>
        <v>0.78406801453171504</v>
      </c>
      <c r="V305" s="26">
        <f t="shared" si="163"/>
        <v>-0.64269157094540363</v>
      </c>
      <c r="W305" s="26">
        <f t="shared" si="164"/>
        <v>0.34463835979579199</v>
      </c>
      <c r="X305" s="26">
        <f t="shared" si="165"/>
        <v>0.21474943972557486</v>
      </c>
      <c r="Y305" s="26">
        <f t="shared" si="166"/>
        <v>0.61481446779098592</v>
      </c>
      <c r="Z305" s="26">
        <f t="shared" si="167"/>
        <v>0.64903826347738824</v>
      </c>
      <c r="AA305" s="26">
        <f t="shared" si="168"/>
        <v>0.62921925775953003</v>
      </c>
      <c r="AB305" s="26">
        <f t="shared" si="169"/>
        <v>0.65231241019018738</v>
      </c>
      <c r="AC305" s="26">
        <f t="shared" si="170"/>
        <v>1.3842729434581642</v>
      </c>
      <c r="AD305" s="26">
        <f t="shared" si="171"/>
        <v>0.79967637703116545</v>
      </c>
      <c r="AE305" s="26">
        <f t="shared" si="172"/>
        <v>2.0064776959679887E-2</v>
      </c>
      <c r="AF305" s="26">
        <f t="shared" si="173"/>
        <v>-3.0258806465726291</v>
      </c>
      <c r="AG305" s="26">
        <f t="shared" si="174"/>
        <v>4.6270271969711146E-2</v>
      </c>
      <c r="AH305" s="26">
        <f t="shared" si="175"/>
        <v>1.048370227014175</v>
      </c>
      <c r="AI305" s="26">
        <f t="shared" si="176"/>
        <v>0.74046181524751686</v>
      </c>
      <c r="AJ305" s="26">
        <f t="shared" si="177"/>
        <v>-0.50068085484480929</v>
      </c>
      <c r="AK305" s="26">
        <f t="shared" si="178"/>
        <v>0.37738067872782199</v>
      </c>
      <c r="AL305" s="26">
        <f t="shared" si="179"/>
        <v>7.1208088338535799E-2</v>
      </c>
      <c r="AM305" s="27">
        <f t="shared" si="180"/>
        <v>0.38528154451149105</v>
      </c>
    </row>
    <row r="306" spans="1:39" ht="15" customHeight="1" x14ac:dyDescent="0.2">
      <c r="A306" s="24">
        <v>295</v>
      </c>
      <c r="B306" s="29">
        <f t="shared" si="181"/>
        <v>3.1637716760888073</v>
      </c>
      <c r="C306" s="29">
        <f t="shared" si="182"/>
        <v>-3.651922656656013</v>
      </c>
      <c r="D306" s="29">
        <f t="shared" si="183"/>
        <v>-2.5470093446033388</v>
      </c>
      <c r="E306" s="29">
        <f t="shared" si="184"/>
        <v>-0.24016769947723446</v>
      </c>
      <c r="F306" s="29">
        <f t="shared" si="185"/>
        <v>0.4183340563066007</v>
      </c>
      <c r="G306" s="29">
        <f t="shared" si="186"/>
        <v>0.87084480449218038</v>
      </c>
      <c r="H306" s="29">
        <f t="shared" si="187"/>
        <v>3.122314143432539</v>
      </c>
      <c r="I306" s="29">
        <f t="shared" si="188"/>
        <v>-9.7765677090134992E-2</v>
      </c>
      <c r="J306" s="29">
        <f t="shared" si="189"/>
        <v>-0.57322952186968101</v>
      </c>
      <c r="K306" s="26">
        <f t="shared" si="152"/>
        <v>-2.5470093446033388</v>
      </c>
      <c r="L306" s="26">
        <f t="shared" si="153"/>
        <v>7.2627657345203933E-2</v>
      </c>
      <c r="M306" s="26">
        <f t="shared" si="154"/>
        <v>0.87084480449218038</v>
      </c>
      <c r="N306" s="26">
        <f t="shared" si="155"/>
        <v>0.70492145382930926</v>
      </c>
      <c r="O306" s="26">
        <f t="shared" si="156"/>
        <v>-0.41538028336536342</v>
      </c>
      <c r="P306" s="26">
        <f t="shared" si="157"/>
        <v>0.39762273451451868</v>
      </c>
      <c r="Q306" s="26">
        <f t="shared" si="158"/>
        <v>7.905191950140171E-2</v>
      </c>
      <c r="R306" s="26">
        <f t="shared" si="159"/>
        <v>-6.1989320012593518</v>
      </c>
      <c r="S306" s="26">
        <f t="shared" si="160"/>
        <v>2.0274801962852033E-3</v>
      </c>
      <c r="T306" s="26">
        <f t="shared" si="161"/>
        <v>1.2891788607987811</v>
      </c>
      <c r="U306" s="26">
        <f t="shared" si="162"/>
        <v>0.78400817041980009</v>
      </c>
      <c r="V306" s="26">
        <f t="shared" si="163"/>
        <v>-0.64354818140258008</v>
      </c>
      <c r="W306" s="26">
        <f t="shared" si="164"/>
        <v>0.34444490915013759</v>
      </c>
      <c r="X306" s="26">
        <f t="shared" si="165"/>
        <v>0.21487623856958568</v>
      </c>
      <c r="Y306" s="26">
        <f t="shared" si="166"/>
        <v>0.61676233148546844</v>
      </c>
      <c r="Z306" s="26">
        <f t="shared" si="167"/>
        <v>0.64948183375426838</v>
      </c>
      <c r="AA306" s="26">
        <f t="shared" si="168"/>
        <v>0.63067710501494589</v>
      </c>
      <c r="AB306" s="26">
        <f t="shared" si="169"/>
        <v>0.65264297784257075</v>
      </c>
      <c r="AC306" s="26">
        <f t="shared" si="170"/>
        <v>1.3908507109368713</v>
      </c>
      <c r="AD306" s="26">
        <f t="shared" si="171"/>
        <v>0.80072801957766304</v>
      </c>
      <c r="AE306" s="26">
        <f t="shared" si="172"/>
        <v>1.9854661090720122E-2</v>
      </c>
      <c r="AF306" s="26">
        <f t="shared" si="173"/>
        <v>-3.0351603251705446</v>
      </c>
      <c r="AG306" s="26">
        <f t="shared" si="174"/>
        <v>4.5862485830342511E-2</v>
      </c>
      <c r="AH306" s="26">
        <f t="shared" si="175"/>
        <v>1.0490111613215467</v>
      </c>
      <c r="AI306" s="26">
        <f t="shared" si="176"/>
        <v>0.74058496980998256</v>
      </c>
      <c r="AJ306" s="26">
        <f t="shared" si="177"/>
        <v>-0.50243622472487826</v>
      </c>
      <c r="AK306" s="26">
        <f t="shared" si="178"/>
        <v>0.37696831798138181</v>
      </c>
      <c r="AL306" s="26">
        <f t="shared" si="179"/>
        <v>7.1052556380856099E-2</v>
      </c>
      <c r="AM306" s="27">
        <f t="shared" si="180"/>
        <v>0.38483537554256358</v>
      </c>
    </row>
    <row r="307" spans="1:39" ht="15" customHeight="1" x14ac:dyDescent="0.2">
      <c r="A307" s="24">
        <v>296</v>
      </c>
      <c r="B307" s="29">
        <f t="shared" si="181"/>
        <v>3.1742762365964516</v>
      </c>
      <c r="C307" s="29">
        <f t="shared" si="182"/>
        <v>-3.6630841345813669</v>
      </c>
      <c r="D307" s="29">
        <f t="shared" si="183"/>
        <v>-2.5555979002747047</v>
      </c>
      <c r="E307" s="29">
        <f t="shared" si="184"/>
        <v>-0.23920947912644952</v>
      </c>
      <c r="F307" s="29">
        <f t="shared" si="185"/>
        <v>0.41754633841174599</v>
      </c>
      <c r="G307" s="29">
        <f t="shared" si="186"/>
        <v>0.87128912791701296</v>
      </c>
      <c r="H307" s="29">
        <f t="shared" si="187"/>
        <v>3.1322880212213828</v>
      </c>
      <c r="I307" s="29">
        <f t="shared" si="188"/>
        <v>-9.3664209077187144E-2</v>
      </c>
      <c r="J307" s="29">
        <f t="shared" si="189"/>
        <v>-0.57718124764395706</v>
      </c>
      <c r="K307" s="26">
        <f t="shared" si="152"/>
        <v>-2.5555979002747047</v>
      </c>
      <c r="L307" s="26">
        <f t="shared" si="153"/>
        <v>7.2051312402691012E-2</v>
      </c>
      <c r="M307" s="26">
        <f t="shared" si="154"/>
        <v>0.87128912791701296</v>
      </c>
      <c r="N307" s="26">
        <f t="shared" si="155"/>
        <v>0.70501386788385834</v>
      </c>
      <c r="O307" s="26">
        <f t="shared" si="156"/>
        <v>-0.41753035121551846</v>
      </c>
      <c r="P307" s="26">
        <f t="shared" si="157"/>
        <v>0.39710786616794369</v>
      </c>
      <c r="Q307" s="26">
        <f t="shared" si="158"/>
        <v>7.8847328686228735E-2</v>
      </c>
      <c r="R307" s="26">
        <f t="shared" si="159"/>
        <v>-6.2186820348560712</v>
      </c>
      <c r="S307" s="26">
        <f t="shared" si="160"/>
        <v>1.9879090477611145E-3</v>
      </c>
      <c r="T307" s="26">
        <f t="shared" si="161"/>
        <v>1.2888354663287589</v>
      </c>
      <c r="U307" s="26">
        <f t="shared" si="162"/>
        <v>0.7839500145491296</v>
      </c>
      <c r="V307" s="26">
        <f t="shared" si="163"/>
        <v>-0.64438260201517084</v>
      </c>
      <c r="W307" s="26">
        <f t="shared" si="164"/>
        <v>0.34425651925851281</v>
      </c>
      <c r="X307" s="26">
        <f t="shared" si="165"/>
        <v>0.21499975626748064</v>
      </c>
      <c r="Y307" s="26">
        <f t="shared" si="166"/>
        <v>0.61867833632174696</v>
      </c>
      <c r="Z307" s="26">
        <f t="shared" si="167"/>
        <v>0.64991789715737902</v>
      </c>
      <c r="AA307" s="26">
        <f t="shared" si="168"/>
        <v>0.63207964879056344</v>
      </c>
      <c r="AB307" s="26">
        <f t="shared" si="169"/>
        <v>0.65296086657823327</v>
      </c>
      <c r="AC307" s="26">
        <f t="shared" si="170"/>
        <v>1.3973897332730869</v>
      </c>
      <c r="AD307" s="26">
        <f t="shared" si="171"/>
        <v>0.80176935190750798</v>
      </c>
      <c r="AE307" s="26">
        <f t="shared" si="172"/>
        <v>1.9647694921584705E-2</v>
      </c>
      <c r="AF307" s="26">
        <f t="shared" si="173"/>
        <v>-3.04440579825962</v>
      </c>
      <c r="AG307" s="26">
        <f t="shared" si="174"/>
        <v>4.5459606526048829E-2</v>
      </c>
      <c r="AH307" s="26">
        <f t="shared" si="175"/>
        <v>1.0496259872023095</v>
      </c>
      <c r="AI307" s="26">
        <f t="shared" si="176"/>
        <v>0.74070307199171359</v>
      </c>
      <c r="AJ307" s="26">
        <f t="shared" si="177"/>
        <v>-0.50416603407212357</v>
      </c>
      <c r="AK307" s="26">
        <f t="shared" si="178"/>
        <v>0.37656213595915944</v>
      </c>
      <c r="AL307" s="26">
        <f t="shared" si="179"/>
        <v>7.0899521119062239E-2</v>
      </c>
      <c r="AM307" s="27">
        <f t="shared" si="180"/>
        <v>0.38439430099435629</v>
      </c>
    </row>
    <row r="308" spans="1:39" ht="15" customHeight="1" x14ac:dyDescent="0.2">
      <c r="A308" s="24">
        <v>297</v>
      </c>
      <c r="B308" s="29">
        <f t="shared" si="181"/>
        <v>3.1847139124366395</v>
      </c>
      <c r="C308" s="29">
        <f t="shared" si="182"/>
        <v>-3.6741799013773195</v>
      </c>
      <c r="D308" s="29">
        <f t="shared" si="183"/>
        <v>-2.5641509076762481</v>
      </c>
      <c r="E308" s="29">
        <f t="shared" si="184"/>
        <v>-0.23828786806666361</v>
      </c>
      <c r="F308" s="29">
        <f t="shared" si="185"/>
        <v>0.41678827849473371</v>
      </c>
      <c r="G308" s="29">
        <f t="shared" si="186"/>
        <v>0.87171432068354449</v>
      </c>
      <c r="H308" s="29">
        <f t="shared" si="187"/>
        <v>3.1421896148244608</v>
      </c>
      <c r="I308" s="29">
        <f t="shared" si="188"/>
        <v>-8.9551886551001991E-2</v>
      </c>
      <c r="J308" s="29">
        <f t="shared" si="189"/>
        <v>-0.58112103342147237</v>
      </c>
      <c r="K308" s="26">
        <f t="shared" si="152"/>
        <v>-2.5641509076762481</v>
      </c>
      <c r="L308" s="26">
        <f t="shared" si="153"/>
        <v>7.1481547958068353E-2</v>
      </c>
      <c r="M308" s="26">
        <f t="shared" si="154"/>
        <v>0.87171432068354449</v>
      </c>
      <c r="N308" s="26">
        <f t="shared" si="155"/>
        <v>0.70510228722293866</v>
      </c>
      <c r="O308" s="26">
        <f t="shared" si="156"/>
        <v>-0.41965569580829398</v>
      </c>
      <c r="P308" s="26">
        <f t="shared" si="157"/>
        <v>0.39659914203911056</v>
      </c>
      <c r="Q308" s="26">
        <f t="shared" si="158"/>
        <v>7.8645439733079303E-2</v>
      </c>
      <c r="R308" s="26">
        <f t="shared" si="159"/>
        <v>-6.2383308090535676</v>
      </c>
      <c r="S308" s="26">
        <f t="shared" si="160"/>
        <v>1.9493057077184363E-3</v>
      </c>
      <c r="T308" s="26">
        <f t="shared" si="161"/>
        <v>1.2885025991782781</v>
      </c>
      <c r="U308" s="26">
        <f t="shared" si="162"/>
        <v>0.78389363071580809</v>
      </c>
      <c r="V308" s="26">
        <f t="shared" si="163"/>
        <v>-0.64519509875647651</v>
      </c>
      <c r="W308" s="26">
        <f t="shared" si="164"/>
        <v>0.34407312623681385</v>
      </c>
      <c r="X308" s="26">
        <f t="shared" si="165"/>
        <v>0.21512003186237336</v>
      </c>
      <c r="Y308" s="26">
        <f t="shared" si="166"/>
        <v>0.62056300476039139</v>
      </c>
      <c r="Z308" s="26">
        <f t="shared" si="167"/>
        <v>0.65034658438490711</v>
      </c>
      <c r="AA308" s="26">
        <f t="shared" si="168"/>
        <v>0.63342645261688091</v>
      </c>
      <c r="AB308" s="26">
        <f t="shared" si="169"/>
        <v>0.65326599342494374</v>
      </c>
      <c r="AC308" s="26">
        <f t="shared" si="170"/>
        <v>1.4038900479385243</v>
      </c>
      <c r="AD308" s="26">
        <f t="shared" si="171"/>
        <v>0.80280045485970819</v>
      </c>
      <c r="AE308" s="26">
        <f t="shared" si="172"/>
        <v>1.9443830301768994E-2</v>
      </c>
      <c r="AF308" s="26">
        <f t="shared" si="173"/>
        <v>-3.0536168966169281</v>
      </c>
      <c r="AG308" s="26">
        <f t="shared" si="174"/>
        <v>4.5061578337340508E-2</v>
      </c>
      <c r="AH308" s="26">
        <f t="shared" si="175"/>
        <v>1.0502147311116146</v>
      </c>
      <c r="AI308" s="26">
        <f t="shared" si="176"/>
        <v>0.74081613131757051</v>
      </c>
      <c r="AJ308" s="26">
        <f t="shared" si="177"/>
        <v>-0.50587049208918544</v>
      </c>
      <c r="AK308" s="26">
        <f t="shared" si="178"/>
        <v>0.37616207638920601</v>
      </c>
      <c r="AL308" s="26">
        <f t="shared" si="179"/>
        <v>7.0748953856719435E-2</v>
      </c>
      <c r="AM308" s="27">
        <f t="shared" si="180"/>
        <v>0.38395825575394105</v>
      </c>
    </row>
    <row r="309" spans="1:39" ht="15" customHeight="1" x14ac:dyDescent="0.2">
      <c r="A309" s="24">
        <v>298</v>
      </c>
      <c r="B309" s="29">
        <f t="shared" si="181"/>
        <v>3.1950851960531121</v>
      </c>
      <c r="C309" s="29">
        <f t="shared" si="182"/>
        <v>-3.6852103189177474</v>
      </c>
      <c r="D309" s="29">
        <f t="shared" si="183"/>
        <v>-2.5726683406535122</v>
      </c>
      <c r="E309" s="29">
        <f t="shared" si="184"/>
        <v>-0.23740332469655548</v>
      </c>
      <c r="F309" s="29">
        <f t="shared" si="185"/>
        <v>0.41606033170267342</v>
      </c>
      <c r="G309" s="29">
        <f t="shared" si="186"/>
        <v>0.8721204055716808</v>
      </c>
      <c r="H309" s="29">
        <f t="shared" si="187"/>
        <v>3.1520194296250672</v>
      </c>
      <c r="I309" s="29">
        <f t="shared" si="188"/>
        <v>-8.5428626676691266E-2</v>
      </c>
      <c r="J309" s="29">
        <f t="shared" si="189"/>
        <v>-0.58504917060494888</v>
      </c>
      <c r="K309" s="26">
        <f t="shared" si="152"/>
        <v>-2.5726683406535122</v>
      </c>
      <c r="L309" s="26">
        <f t="shared" si="153"/>
        <v>7.0918288671840718E-2</v>
      </c>
      <c r="M309" s="26">
        <f t="shared" si="154"/>
        <v>0.8721204055716808</v>
      </c>
      <c r="N309" s="26">
        <f t="shared" si="155"/>
        <v>0.70518671865964389</v>
      </c>
      <c r="O309" s="26">
        <f t="shared" si="156"/>
        <v>-0.42175647972128327</v>
      </c>
      <c r="P309" s="26">
        <f t="shared" si="157"/>
        <v>0.39609651645747057</v>
      </c>
      <c r="Q309" s="26">
        <f t="shared" si="158"/>
        <v>7.8446225174871625E-2</v>
      </c>
      <c r="R309" s="26">
        <f t="shared" si="159"/>
        <v>-6.2578786595712597</v>
      </c>
      <c r="S309" s="26">
        <f t="shared" si="160"/>
        <v>1.9116431243529693E-3</v>
      </c>
      <c r="T309" s="26">
        <f t="shared" si="161"/>
        <v>1.2881807372743541</v>
      </c>
      <c r="U309" s="26">
        <f t="shared" si="162"/>
        <v>0.783839100908853</v>
      </c>
      <c r="V309" s="26">
        <f t="shared" si="163"/>
        <v>-0.64598593226061485</v>
      </c>
      <c r="W309" s="26">
        <f t="shared" si="164"/>
        <v>0.34389466756142545</v>
      </c>
      <c r="X309" s="26">
        <f t="shared" si="165"/>
        <v>0.21523710362716625</v>
      </c>
      <c r="Y309" s="26">
        <f t="shared" si="166"/>
        <v>0.6224168553995999</v>
      </c>
      <c r="Z309" s="26">
        <f t="shared" si="167"/>
        <v>0.6507680248433052</v>
      </c>
      <c r="AA309" s="26">
        <f t="shared" si="168"/>
        <v>0.63471708087512535</v>
      </c>
      <c r="AB309" s="26">
        <f t="shared" si="169"/>
        <v>0.65355827517525567</v>
      </c>
      <c r="AC309" s="26">
        <f t="shared" si="170"/>
        <v>1.4103517019784682</v>
      </c>
      <c r="AD309" s="26">
        <f t="shared" si="171"/>
        <v>0.80382141034256338</v>
      </c>
      <c r="AE309" s="26">
        <f t="shared" si="172"/>
        <v>1.924301951999045E-2</v>
      </c>
      <c r="AF309" s="26">
        <f t="shared" si="173"/>
        <v>-3.0627934635181475</v>
      </c>
      <c r="AG309" s="26">
        <f t="shared" si="174"/>
        <v>4.4668345605644158E-2</v>
      </c>
      <c r="AH309" s="26">
        <f t="shared" si="175"/>
        <v>1.0507774125777987</v>
      </c>
      <c r="AI309" s="26">
        <f t="shared" si="176"/>
        <v>0.74092415578986925</v>
      </c>
      <c r="AJ309" s="26">
        <f t="shared" si="177"/>
        <v>-0.50754981046746639</v>
      </c>
      <c r="AK309" s="26">
        <f t="shared" si="178"/>
        <v>0.37576808256687283</v>
      </c>
      <c r="AL309" s="26">
        <f t="shared" si="179"/>
        <v>7.0600825937992079E-2</v>
      </c>
      <c r="AM309" s="27">
        <f t="shared" si="180"/>
        <v>0.38352717426002036</v>
      </c>
    </row>
    <row r="310" spans="1:39" ht="15" customHeight="1" x14ac:dyDescent="0.2">
      <c r="A310" s="24">
        <v>299</v>
      </c>
      <c r="B310" s="29">
        <f t="shared" si="181"/>
        <v>3.2053905847645079</v>
      </c>
      <c r="C310" s="29">
        <f t="shared" si="182"/>
        <v>-3.6961757571665959</v>
      </c>
      <c r="D310" s="29">
        <f t="shared" si="183"/>
        <v>-2.5811501819911458</v>
      </c>
      <c r="E310" s="29">
        <f t="shared" si="184"/>
        <v>-0.2365563037415441</v>
      </c>
      <c r="F310" s="29">
        <f t="shared" si="185"/>
        <v>0.41536294545569219</v>
      </c>
      <c r="G310" s="29">
        <f t="shared" si="186"/>
        <v>0.87250740202119692</v>
      </c>
      <c r="H310" s="29">
        <f t="shared" si="187"/>
        <v>3.1617779791316116</v>
      </c>
      <c r="I310" s="29">
        <f t="shared" si="188"/>
        <v>-8.1294331903055642E-2</v>
      </c>
      <c r="J310" s="29">
        <f t="shared" si="189"/>
        <v>-0.5889659592308395</v>
      </c>
      <c r="K310" s="26">
        <f t="shared" si="152"/>
        <v>-2.5811501819911458</v>
      </c>
      <c r="L310" s="26">
        <f t="shared" si="153"/>
        <v>7.0361459467463472E-2</v>
      </c>
      <c r="M310" s="26">
        <f t="shared" si="154"/>
        <v>0.87250740202119692</v>
      </c>
      <c r="N310" s="26">
        <f t="shared" si="155"/>
        <v>0.70526716821713753</v>
      </c>
      <c r="O310" s="26">
        <f t="shared" si="156"/>
        <v>-0.42383286936042419</v>
      </c>
      <c r="P310" s="26">
        <f t="shared" si="157"/>
        <v>0.39559994292419282</v>
      </c>
      <c r="Q310" s="26">
        <f t="shared" si="158"/>
        <v>7.8249657420812302E-2</v>
      </c>
      <c r="R310" s="26">
        <f t="shared" si="159"/>
        <v>-6.2773259391577412</v>
      </c>
      <c r="S310" s="26">
        <f t="shared" si="160"/>
        <v>1.8748950508163068E-3</v>
      </c>
      <c r="T310" s="26">
        <f t="shared" si="161"/>
        <v>1.2878703474768891</v>
      </c>
      <c r="U310" s="26">
        <f t="shared" si="162"/>
        <v>0.783786505266997</v>
      </c>
      <c r="V310" s="26">
        <f t="shared" si="163"/>
        <v>-0.64675535764629699</v>
      </c>
      <c r="W310" s="26">
        <f t="shared" si="164"/>
        <v>0.34372108210406566</v>
      </c>
      <c r="X310" s="26">
        <f t="shared" si="165"/>
        <v>0.21535100903732923</v>
      </c>
      <c r="Y310" s="26">
        <f t="shared" si="166"/>
        <v>0.62424040277336212</v>
      </c>
      <c r="Z310" s="26">
        <f t="shared" si="167"/>
        <v>0.65118234661090035</v>
      </c>
      <c r="AA310" s="26">
        <f t="shared" si="168"/>
        <v>0.63595109827965279</v>
      </c>
      <c r="AB310" s="26">
        <f t="shared" si="169"/>
        <v>0.65383762824738001</v>
      </c>
      <c r="AC310" s="26">
        <f t="shared" si="170"/>
        <v>1.4167747515213041</v>
      </c>
      <c r="AD310" s="26">
        <f t="shared" si="171"/>
        <v>0.80483230121923099</v>
      </c>
      <c r="AE310" s="26">
        <f t="shared" si="172"/>
        <v>1.9045215323690492E-2</v>
      </c>
      <c r="AF310" s="26">
        <f t="shared" si="173"/>
        <v>-3.0719353543932337</v>
      </c>
      <c r="AG310" s="26">
        <f t="shared" si="174"/>
        <v>4.4279852766740922E-2</v>
      </c>
      <c r="AH310" s="26">
        <f t="shared" si="175"/>
        <v>1.051314043735345</v>
      </c>
      <c r="AI310" s="26">
        <f t="shared" si="176"/>
        <v>0.74102715180092515</v>
      </c>
      <c r="AJ310" s="26">
        <f t="shared" si="177"/>
        <v>-0.50920420306144853</v>
      </c>
      <c r="AK310" s="26">
        <f t="shared" si="178"/>
        <v>0.37538009743158457</v>
      </c>
      <c r="AL310" s="26">
        <f t="shared" si="179"/>
        <v>7.0455108773872968E-2</v>
      </c>
      <c r="AM310" s="27">
        <f t="shared" si="180"/>
        <v>0.38310099055570496</v>
      </c>
    </row>
    <row r="311" spans="1:39" ht="15" customHeight="1" x14ac:dyDescent="0.2">
      <c r="A311" s="24">
        <v>300</v>
      </c>
      <c r="B311" s="29">
        <f t="shared" si="181"/>
        <v>3.2156305802814447</v>
      </c>
      <c r="C311" s="29">
        <f t="shared" si="182"/>
        <v>-3.7070765936513874</v>
      </c>
      <c r="D311" s="29">
        <f t="shared" si="183"/>
        <v>-2.5895964231131563</v>
      </c>
      <c r="E311" s="29">
        <f t="shared" si="184"/>
        <v>-0.23574725650986031</v>
      </c>
      <c r="F311" s="29">
        <f t="shared" si="185"/>
        <v>0.41469655950096929</v>
      </c>
      <c r="G311" s="29">
        <f t="shared" si="186"/>
        <v>0.87287532586703653</v>
      </c>
      <c r="H311" s="29">
        <f t="shared" si="187"/>
        <v>3.1714657843436718</v>
      </c>
      <c r="I311" s="29">
        <f t="shared" si="188"/>
        <v>-7.7148889993734995E-2</v>
      </c>
      <c r="J311" s="29">
        <f t="shared" si="189"/>
        <v>-0.59287170773961984</v>
      </c>
      <c r="K311" s="26">
        <f t="shared" si="152"/>
        <v>-2.5895964231131563</v>
      </c>
      <c r="L311" s="26">
        <f t="shared" si="153"/>
        <v>6.9810985565579922E-2</v>
      </c>
      <c r="M311" s="26">
        <f t="shared" si="154"/>
        <v>0.87287532586703653</v>
      </c>
      <c r="N311" s="26">
        <f t="shared" si="155"/>
        <v>0.70534364107441705</v>
      </c>
      <c r="O311" s="26">
        <f t="shared" si="156"/>
        <v>-0.42588503462010385</v>
      </c>
      <c r="P311" s="26">
        <f t="shared" si="157"/>
        <v>0.3951093741963097</v>
      </c>
      <c r="Q311" s="26">
        <f t="shared" si="158"/>
        <v>7.8055708788899739E-2</v>
      </c>
      <c r="R311" s="26">
        <f t="shared" si="159"/>
        <v>-6.2966730167645437</v>
      </c>
      <c r="S311" s="26">
        <f t="shared" si="160"/>
        <v>1.8390360217116787E-3</v>
      </c>
      <c r="T311" s="26">
        <f t="shared" si="161"/>
        <v>1.2875718853680058</v>
      </c>
      <c r="U311" s="26">
        <f t="shared" si="162"/>
        <v>0.78373592203622433</v>
      </c>
      <c r="V311" s="26">
        <f t="shared" si="163"/>
        <v>-0.64750362435389686</v>
      </c>
      <c r="W311" s="26">
        <f t="shared" si="164"/>
        <v>0.34355231016370619</v>
      </c>
      <c r="X311" s="26">
        <f t="shared" si="165"/>
        <v>0.21546178474570354</v>
      </c>
      <c r="Y311" s="26">
        <f t="shared" si="166"/>
        <v>0.62603415716828836</v>
      </c>
      <c r="Z311" s="26">
        <f t="shared" si="167"/>
        <v>0.65158967640581011</v>
      </c>
      <c r="AA311" s="26">
        <f t="shared" si="168"/>
        <v>0.63712806935717625</v>
      </c>
      <c r="AB311" s="26">
        <f t="shared" si="169"/>
        <v>0.65410396854559794</v>
      </c>
      <c r="AC311" s="26">
        <f t="shared" si="170"/>
        <v>1.4231592612991819</v>
      </c>
      <c r="AD311" s="26">
        <f t="shared" si="171"/>
        <v>0.8058332111977794</v>
      </c>
      <c r="AE311" s="26">
        <f t="shared" si="172"/>
        <v>1.8850370936883069E-2</v>
      </c>
      <c r="AF311" s="26">
        <f t="shared" si="173"/>
        <v>-3.0810424364830991</v>
      </c>
      <c r="AG311" s="26">
        <f t="shared" si="174"/>
        <v>4.3896044382626273E-2</v>
      </c>
      <c r="AH311" s="26">
        <f t="shared" si="175"/>
        <v>1.0518246288581454</v>
      </c>
      <c r="AI311" s="26">
        <f t="shared" si="176"/>
        <v>0.74112512404554742</v>
      </c>
      <c r="AJ311" s="26">
        <f t="shared" si="177"/>
        <v>-0.51083388557867249</v>
      </c>
      <c r="AK311" s="26">
        <f t="shared" si="178"/>
        <v>0.37499806363965243</v>
      </c>
      <c r="AL311" s="26">
        <f t="shared" si="179"/>
        <v>7.0311773866744406E-2</v>
      </c>
      <c r="AM311" s="27">
        <f t="shared" si="180"/>
        <v>0.38267963833823077</v>
      </c>
    </row>
    <row r="312" spans="1:39" ht="15" customHeight="1" x14ac:dyDescent="0.2">
      <c r="A312" s="24">
        <v>301</v>
      </c>
      <c r="B312" s="29">
        <f t="shared" si="181"/>
        <v>3.2258056882456971</v>
      </c>
      <c r="C312" s="29">
        <f t="shared" si="182"/>
        <v>-3.7179132129560126</v>
      </c>
      <c r="D312" s="29">
        <f t="shared" si="183"/>
        <v>-2.5980070637873558</v>
      </c>
      <c r="E312" s="29">
        <f t="shared" si="184"/>
        <v>-0.23497663115286749</v>
      </c>
      <c r="F312" s="29">
        <f t="shared" si="185"/>
        <v>0.41406160596990421</v>
      </c>
      <c r="G312" s="29">
        <f t="shared" si="186"/>
        <v>0.87322418907587784</v>
      </c>
      <c r="H312" s="29">
        <f t="shared" si="187"/>
        <v>3.1810833731438661</v>
      </c>
      <c r="I312" s="29">
        <f t="shared" si="188"/>
        <v>-7.2992174063810186E-2</v>
      </c>
      <c r="J312" s="29">
        <f t="shared" si="189"/>
        <v>-0.59676673275320968</v>
      </c>
      <c r="K312" s="26">
        <f t="shared" si="152"/>
        <v>-2.5980070637873558</v>
      </c>
      <c r="L312" s="26">
        <f t="shared" si="153"/>
        <v>6.9266792516441397E-2</v>
      </c>
      <c r="M312" s="26">
        <f t="shared" si="154"/>
        <v>0.87322418907587784</v>
      </c>
      <c r="N312" s="26">
        <f t="shared" si="155"/>
        <v>0.70541614151231269</v>
      </c>
      <c r="O312" s="26">
        <f t="shared" si="156"/>
        <v>-0.42791314855684004</v>
      </c>
      <c r="P312" s="26">
        <f t="shared" si="157"/>
        <v>0.39462476236729316</v>
      </c>
      <c r="Q312" s="26">
        <f t="shared" si="158"/>
        <v>7.7864351536721291E-2</v>
      </c>
      <c r="R312" s="26">
        <f t="shared" si="159"/>
        <v>-6.315920276743368</v>
      </c>
      <c r="S312" s="26">
        <f t="shared" si="160"/>
        <v>1.8040413301600537E-3</v>
      </c>
      <c r="T312" s="26">
        <f t="shared" si="161"/>
        <v>1.2872857950457821</v>
      </c>
      <c r="U312" s="26">
        <f t="shared" si="162"/>
        <v>0.78368742752799636</v>
      </c>
      <c r="V312" s="26">
        <f t="shared" si="163"/>
        <v>-0.64823097599511637</v>
      </c>
      <c r="W312" s="26">
        <f t="shared" si="164"/>
        <v>0.3433882934957338</v>
      </c>
      <c r="X312" s="26">
        <f t="shared" si="165"/>
        <v>0.21556946655922235</v>
      </c>
      <c r="Y312" s="26">
        <f t="shared" si="166"/>
        <v>0.62779862445834134</v>
      </c>
      <c r="Z312" s="26">
        <f t="shared" si="167"/>
        <v>0.65199013955796681</v>
      </c>
      <c r="AA312" s="26">
        <f t="shared" si="168"/>
        <v>0.63824755792301036</v>
      </c>
      <c r="AB312" s="26">
        <f t="shared" si="169"/>
        <v>0.65435721132022417</v>
      </c>
      <c r="AC312" s="26">
        <f t="shared" si="170"/>
        <v>1.4295053041797918</v>
      </c>
      <c r="AD312" s="26">
        <f t="shared" si="171"/>
        <v>0.80682422472563442</v>
      </c>
      <c r="AE312" s="26">
        <f t="shared" si="172"/>
        <v>1.8658440076426096E-2</v>
      </c>
      <c r="AF312" s="26">
        <f t="shared" si="173"/>
        <v>-3.0901145884976713</v>
      </c>
      <c r="AG312" s="26">
        <f t="shared" si="174"/>
        <v>4.3516865171827096E-2</v>
      </c>
      <c r="AH312" s="26">
        <f t="shared" si="175"/>
        <v>1.0523091638929145</v>
      </c>
      <c r="AI312" s="26">
        <f t="shared" si="176"/>
        <v>0.7412180754334321</v>
      </c>
      <c r="AJ312" s="26">
        <f t="shared" si="177"/>
        <v>-0.51243907528504662</v>
      </c>
      <c r="AK312" s="26">
        <f t="shared" si="178"/>
        <v>0.3746219236332255</v>
      </c>
      <c r="AL312" s="26">
        <f t="shared" si="179"/>
        <v>7.0170792833329124E-2</v>
      </c>
      <c r="AM312" s="27">
        <f t="shared" si="180"/>
        <v>0.38226305100569885</v>
      </c>
    </row>
    <row r="313" spans="1:39" ht="15" customHeight="1" x14ac:dyDescent="0.2">
      <c r="A313" s="24">
        <v>302</v>
      </c>
      <c r="B313" s="29">
        <f t="shared" si="181"/>
        <v>3.2359164177908792</v>
      </c>
      <c r="C313" s="29">
        <f t="shared" si="182"/>
        <v>-3.7286860062324108</v>
      </c>
      <c r="D313" s="29">
        <f t="shared" si="183"/>
        <v>-2.6063821118341499</v>
      </c>
      <c r="E313" s="29">
        <f t="shared" si="184"/>
        <v>-0.23424487292940599</v>
      </c>
      <c r="F313" s="29">
        <f t="shared" si="185"/>
        <v>0.41345850943808554</v>
      </c>
      <c r="G313" s="29">
        <f t="shared" si="186"/>
        <v>0.87355399948390033</v>
      </c>
      <c r="H313" s="29">
        <f t="shared" si="187"/>
        <v>3.1906312797150029</v>
      </c>
      <c r="I313" s="29">
        <f t="shared" si="188"/>
        <v>-6.8824042621281639E-2</v>
      </c>
      <c r="J313" s="29">
        <f t="shared" si="189"/>
        <v>-0.60065135885938747</v>
      </c>
      <c r="K313" s="26">
        <f t="shared" si="152"/>
        <v>-2.6063821118341499</v>
      </c>
      <c r="L313" s="26">
        <f t="shared" si="153"/>
        <v>6.8728806230562253E-2</v>
      </c>
      <c r="M313" s="26">
        <f t="shared" si="154"/>
        <v>0.87355399948390033</v>
      </c>
      <c r="N313" s="26">
        <f t="shared" si="155"/>
        <v>0.70548467285969874</v>
      </c>
      <c r="O313" s="26">
        <f t="shared" si="156"/>
        <v>-0.429917387076241</v>
      </c>
      <c r="P313" s="26">
        <f t="shared" si="157"/>
        <v>0.39414605894414784</v>
      </c>
      <c r="Q313" s="26">
        <f t="shared" si="158"/>
        <v>7.7675557890601835E-2</v>
      </c>
      <c r="R313" s="26">
        <f t="shared" si="159"/>
        <v>-6.3350681180665607</v>
      </c>
      <c r="S313" s="26">
        <f t="shared" si="160"/>
        <v>1.7698870054331467E-3</v>
      </c>
      <c r="T313" s="26">
        <f t="shared" si="161"/>
        <v>1.2870125089219859</v>
      </c>
      <c r="U313" s="26">
        <f t="shared" si="162"/>
        <v>0.78364109607812327</v>
      </c>
      <c r="V313" s="26">
        <f t="shared" si="163"/>
        <v>-0.64893765021455996</v>
      </c>
      <c r="W313" s="26">
        <f t="shared" si="164"/>
        <v>0.34322897533851671</v>
      </c>
      <c r="X313" s="26">
        <f t="shared" si="165"/>
        <v>0.21567408941744734</v>
      </c>
      <c r="Y313" s="26">
        <f t="shared" si="166"/>
        <v>0.62953430595672932</v>
      </c>
      <c r="Z313" s="26">
        <f t="shared" si="167"/>
        <v>0.65238385998505033</v>
      </c>
      <c r="AA313" s="26">
        <f t="shared" si="168"/>
        <v>0.63930912655449434</v>
      </c>
      <c r="AB313" s="26">
        <f t="shared" si="169"/>
        <v>0.65459727102712706</v>
      </c>
      <c r="AC313" s="26">
        <f t="shared" si="170"/>
        <v>1.435812960709181</v>
      </c>
      <c r="AD313" s="26">
        <f t="shared" si="171"/>
        <v>0.80780542688831025</v>
      </c>
      <c r="AE313" s="26">
        <f t="shared" si="172"/>
        <v>1.8469376966792329E-2</v>
      </c>
      <c r="AF313" s="26">
        <f t="shared" si="173"/>
        <v>-3.0991517002756814</v>
      </c>
      <c r="AG313" s="26">
        <f t="shared" si="174"/>
        <v>4.3142260038213032E-2</v>
      </c>
      <c r="AH313" s="26">
        <f t="shared" si="175"/>
        <v>1.0527676359925799</v>
      </c>
      <c r="AI313" s="26">
        <f t="shared" si="176"/>
        <v>0.74130600700139349</v>
      </c>
      <c r="AJ313" s="26">
        <f t="shared" si="177"/>
        <v>-0.51401999072514237</v>
      </c>
      <c r="AK313" s="26">
        <f t="shared" si="178"/>
        <v>0.37425161970548093</v>
      </c>
      <c r="AL313" s="26">
        <f t="shared" si="179"/>
        <v>7.0032137426087965E-2</v>
      </c>
      <c r="AM313" s="27">
        <f t="shared" si="180"/>
        <v>0.38185116170092948</v>
      </c>
    </row>
    <row r="314" spans="1:39" ht="15" customHeight="1" x14ac:dyDescent="0.2">
      <c r="A314" s="24">
        <v>303</v>
      </c>
      <c r="B314" s="29">
        <f t="shared" si="181"/>
        <v>3.2459632811240469</v>
      </c>
      <c r="C314" s="29">
        <f t="shared" si="182"/>
        <v>-3.739395370730731</v>
      </c>
      <c r="D314" s="29">
        <f t="shared" si="183"/>
        <v>-2.6147215828398096</v>
      </c>
      <c r="E314" s="29">
        <f t="shared" si="184"/>
        <v>-0.23355242447395447</v>
      </c>
      <c r="F314" s="29">
        <f t="shared" si="185"/>
        <v>0.41288768698773731</v>
      </c>
      <c r="G314" s="29">
        <f t="shared" si="186"/>
        <v>0.87386476053567352</v>
      </c>
      <c r="H314" s="29">
        <f t="shared" si="187"/>
        <v>3.2001100439819501</v>
      </c>
      <c r="I314" s="29">
        <f t="shared" si="188"/>
        <v>-6.4644339612858495E-2</v>
      </c>
      <c r="J314" s="29">
        <f t="shared" si="189"/>
        <v>-0.60452591840305137</v>
      </c>
      <c r="K314" s="26">
        <f t="shared" si="152"/>
        <v>-2.6147215828398096</v>
      </c>
      <c r="L314" s="26">
        <f t="shared" si="153"/>
        <v>6.8196953007661695E-2</v>
      </c>
      <c r="M314" s="26">
        <f t="shared" si="154"/>
        <v>0.87386476053567352</v>
      </c>
      <c r="N314" s="26">
        <f t="shared" si="155"/>
        <v>0.70554923743989129</v>
      </c>
      <c r="O314" s="26">
        <f t="shared" si="156"/>
        <v>-0.43189792863292575</v>
      </c>
      <c r="P314" s="26">
        <f t="shared" si="157"/>
        <v>0.39367321492111484</v>
      </c>
      <c r="Q314" s="26">
        <f t="shared" si="158"/>
        <v>7.7489300073163139E-2</v>
      </c>
      <c r="R314" s="26">
        <f t="shared" si="159"/>
        <v>-6.3541169535705411</v>
      </c>
      <c r="S314" s="26">
        <f t="shared" si="160"/>
        <v>1.7365497911491184E-3</v>
      </c>
      <c r="T314" s="26">
        <f t="shared" si="161"/>
        <v>1.2867524475234109</v>
      </c>
      <c r="U314" s="26">
        <f t="shared" si="162"/>
        <v>0.78359700000623578</v>
      </c>
      <c r="V314" s="26">
        <f t="shared" si="163"/>
        <v>-0.64962387856254056</v>
      </c>
      <c r="W314" s="26">
        <f t="shared" si="164"/>
        <v>0.34307430043753528</v>
      </c>
      <c r="X314" s="26">
        <f t="shared" si="165"/>
        <v>0.21577568737281683</v>
      </c>
      <c r="Y314" s="26">
        <f t="shared" si="166"/>
        <v>0.63124169828423726</v>
      </c>
      <c r="Z314" s="26">
        <f t="shared" si="167"/>
        <v>0.65277096017214264</v>
      </c>
      <c r="AA314" s="26">
        <f t="shared" si="168"/>
        <v>0.64031233606171911</v>
      </c>
      <c r="AB314" s="26">
        <f t="shared" si="169"/>
        <v>0.65482406118679715</v>
      </c>
      <c r="AC314" s="26">
        <f t="shared" si="170"/>
        <v>1.4420823186655334</v>
      </c>
      <c r="AD314" s="26">
        <f t="shared" si="171"/>
        <v>0.80877690331232077</v>
      </c>
      <c r="AE314" s="26">
        <f t="shared" si="172"/>
        <v>1.8283136353412759E-2</v>
      </c>
      <c r="AF314" s="26">
        <f t="shared" si="173"/>
        <v>-3.1081536724464938</v>
      </c>
      <c r="AG314" s="26">
        <f t="shared" si="174"/>
        <v>4.2772174098340304E-2</v>
      </c>
      <c r="AH314" s="26">
        <f t="shared" si="175"/>
        <v>1.0532000230494565</v>
      </c>
      <c r="AI314" s="26">
        <f t="shared" si="176"/>
        <v>0.74138891782537475</v>
      </c>
      <c r="AJ314" s="26">
        <f t="shared" si="177"/>
        <v>-0.51557685145712107</v>
      </c>
      <c r="AK314" s="26">
        <f t="shared" si="178"/>
        <v>0.37388709406215609</v>
      </c>
      <c r="AL314" s="26">
        <f t="shared" si="179"/>
        <v>6.9895779553121776E-2</v>
      </c>
      <c r="AM314" s="27">
        <f t="shared" si="180"/>
        <v>0.38144390335251449</v>
      </c>
    </row>
    <row r="315" spans="1:39" ht="15" customHeight="1" x14ac:dyDescent="0.2">
      <c r="A315" s="24">
        <v>304</v>
      </c>
      <c r="B315" s="29">
        <f t="shared" si="181"/>
        <v>3.2559467931276238</v>
      </c>
      <c r="C315" s="29">
        <f t="shared" si="182"/>
        <v>-3.7500417093475549</v>
      </c>
      <c r="D315" s="29">
        <f t="shared" si="183"/>
        <v>-2.6230254998743421</v>
      </c>
      <c r="E315" s="29">
        <f t="shared" si="184"/>
        <v>-0.23289972606841983</v>
      </c>
      <c r="F315" s="29">
        <f t="shared" si="185"/>
        <v>0.41234954827232911</v>
      </c>
      <c r="G315" s="29">
        <f t="shared" si="186"/>
        <v>0.87415647102407845</v>
      </c>
      <c r="H315" s="29">
        <f t="shared" si="187"/>
        <v>3.2095202110776526</v>
      </c>
      <c r="I315" s="29">
        <f t="shared" si="188"/>
        <v>-6.0452894473507865E-2</v>
      </c>
      <c r="J315" s="29">
        <f t="shared" si="189"/>
        <v>-0.60839075128417641</v>
      </c>
      <c r="K315" s="26">
        <f t="shared" si="152"/>
        <v>-2.6230254998743421</v>
      </c>
      <c r="L315" s="26">
        <f t="shared" si="153"/>
        <v>6.7671159563945246E-2</v>
      </c>
      <c r="M315" s="26">
        <f t="shared" si="154"/>
        <v>0.87415647102407845</v>
      </c>
      <c r="N315" s="26">
        <f t="shared" si="155"/>
        <v>0.70560983651720444</v>
      </c>
      <c r="O315" s="26">
        <f t="shared" si="156"/>
        <v>-0.43385495394307705</v>
      </c>
      <c r="P315" s="26">
        <f t="shared" si="157"/>
        <v>0.39320618085007897</v>
      </c>
      <c r="Q315" s="26">
        <f t="shared" si="158"/>
        <v>7.7305550329352504E-2</v>
      </c>
      <c r="R315" s="26">
        <f t="shared" si="159"/>
        <v>-6.3730672092218974</v>
      </c>
      <c r="S315" s="26">
        <f t="shared" si="160"/>
        <v>1.7040071240257831E-3</v>
      </c>
      <c r="T315" s="26">
        <f t="shared" si="161"/>
        <v>1.2865060192964075</v>
      </c>
      <c r="U315" s="26">
        <f t="shared" si="162"/>
        <v>0.78355520957581093</v>
      </c>
      <c r="V315" s="26">
        <f t="shared" si="163"/>
        <v>-0.6502898863784492</v>
      </c>
      <c r="W315" s="26">
        <f t="shared" si="164"/>
        <v>0.34292421506723358</v>
      </c>
      <c r="X315" s="26">
        <f t="shared" si="165"/>
        <v>0.21587429357250557</v>
      </c>
      <c r="Y315" s="26">
        <f t="shared" si="166"/>
        <v>0.63292129325328172</v>
      </c>
      <c r="Z315" s="26">
        <f t="shared" si="167"/>
        <v>0.65315156115492079</v>
      </c>
      <c r="AA315" s="26">
        <f t="shared" si="168"/>
        <v>0.64125674495565865</v>
      </c>
      <c r="AB315" s="26">
        <f t="shared" si="169"/>
        <v>0.65503749424295554</v>
      </c>
      <c r="AC315" s="26">
        <f t="shared" si="170"/>
        <v>1.4483134726238027</v>
      </c>
      <c r="AD315" s="26">
        <f t="shared" si="171"/>
        <v>0.80973874007215996</v>
      </c>
      <c r="AE315" s="26">
        <f t="shared" si="172"/>
        <v>1.8099673514664554E-2</v>
      </c>
      <c r="AF315" s="26">
        <f t="shared" si="173"/>
        <v>-3.1171204160942731</v>
      </c>
      <c r="AG315" s="26">
        <f t="shared" si="174"/>
        <v>4.240655270736661E-2</v>
      </c>
      <c r="AH315" s="26">
        <f t="shared" si="175"/>
        <v>1.0536062932279877</v>
      </c>
      <c r="AI315" s="26">
        <f t="shared" si="176"/>
        <v>0.74146680493217143</v>
      </c>
      <c r="AJ315" s="26">
        <f t="shared" si="177"/>
        <v>-0.51710987780192719</v>
      </c>
      <c r="AK315" s="26">
        <f t="shared" si="178"/>
        <v>0.37352828887952555</v>
      </c>
      <c r="AL315" s="26">
        <f t="shared" si="179"/>
        <v>6.9761691296633149E-2</v>
      </c>
      <c r="AM315" s="27">
        <f t="shared" si="180"/>
        <v>0.38104120871315583</v>
      </c>
    </row>
    <row r="316" spans="1:39" ht="15" customHeight="1" x14ac:dyDescent="0.2">
      <c r="A316" s="24">
        <v>305</v>
      </c>
      <c r="B316" s="29">
        <f t="shared" si="181"/>
        <v>3.2658674709810653</v>
      </c>
      <c r="C316" s="29">
        <f t="shared" si="182"/>
        <v>-3.7606254301917534</v>
      </c>
      <c r="D316" s="29">
        <f t="shared" si="183"/>
        <v>-2.6312938932140608</v>
      </c>
      <c r="E316" s="29">
        <f t="shared" si="184"/>
        <v>-0.23228721591738524</v>
      </c>
      <c r="F316" s="29">
        <f t="shared" si="185"/>
        <v>0.41184449558304453</v>
      </c>
      <c r="G316" s="29">
        <f t="shared" si="186"/>
        <v>0.87442912483116031</v>
      </c>
      <c r="H316" s="29">
        <f t="shared" si="187"/>
        <v>3.2188623308327196</v>
      </c>
      <c r="I316" s="29">
        <f t="shared" si="188"/>
        <v>-5.6249522179224826E-2</v>
      </c>
      <c r="J316" s="29">
        <f t="shared" si="189"/>
        <v>-0.61224620476231117</v>
      </c>
      <c r="K316" s="26">
        <f t="shared" si="152"/>
        <v>-2.6312938932140608</v>
      </c>
      <c r="L316" s="26">
        <f t="shared" si="153"/>
        <v>6.715135305777814E-2</v>
      </c>
      <c r="M316" s="26">
        <f t="shared" si="154"/>
        <v>0.87442912483116031</v>
      </c>
      <c r="N316" s="26">
        <f t="shared" si="155"/>
        <v>0.7056664702436356</v>
      </c>
      <c r="O316" s="26">
        <f t="shared" si="156"/>
        <v>-0.43578864570928522</v>
      </c>
      <c r="P316" s="26">
        <f t="shared" si="157"/>
        <v>0.39274490690777503</v>
      </c>
      <c r="Q316" s="26">
        <f t="shared" si="158"/>
        <v>7.7124280950998436E-2</v>
      </c>
      <c r="R316" s="26">
        <f t="shared" si="159"/>
        <v>-6.3919193234058138</v>
      </c>
      <c r="S316" s="26">
        <f t="shared" si="160"/>
        <v>1.6722371131854387E-3</v>
      </c>
      <c r="T316" s="26">
        <f t="shared" si="161"/>
        <v>1.2862736204142049</v>
      </c>
      <c r="U316" s="26">
        <f t="shared" si="162"/>
        <v>0.78351579295470808</v>
      </c>
      <c r="V316" s="26">
        <f t="shared" si="163"/>
        <v>-0.65093589268403684</v>
      </c>
      <c r="W316" s="26">
        <f t="shared" si="164"/>
        <v>0.34277866705074467</v>
      </c>
      <c r="X316" s="26">
        <f t="shared" si="165"/>
        <v>0.21596994024179797</v>
      </c>
      <c r="Y316" s="26">
        <f t="shared" si="166"/>
        <v>0.63457357776700452</v>
      </c>
      <c r="Z316" s="26">
        <f t="shared" si="167"/>
        <v>0.65352578250620585</v>
      </c>
      <c r="AA316" s="26">
        <f t="shared" si="168"/>
        <v>0.64214190891377509</v>
      </c>
      <c r="AB316" s="26">
        <f t="shared" si="169"/>
        <v>0.65523748142067673</v>
      </c>
      <c r="AC316" s="26">
        <f t="shared" si="170"/>
        <v>1.4545065235310595</v>
      </c>
      <c r="AD316" s="26">
        <f t="shared" si="171"/>
        <v>0.81069102360123946</v>
      </c>
      <c r="AE316" s="26">
        <f t="shared" si="172"/>
        <v>1.7918944272573237E-2</v>
      </c>
      <c r="AF316" s="26">
        <f t="shared" si="173"/>
        <v>-3.1260518524247489</v>
      </c>
      <c r="AG316" s="26">
        <f t="shared" si="174"/>
        <v>4.2045341483577067E-2</v>
      </c>
      <c r="AH316" s="26">
        <f t="shared" si="175"/>
        <v>1.0539864044968197</v>
      </c>
      <c r="AI316" s="26">
        <f t="shared" si="176"/>
        <v>0.74153966321079878</v>
      </c>
      <c r="AJ316" s="26">
        <f t="shared" si="177"/>
        <v>-0.51861929060637735</v>
      </c>
      <c r="AK316" s="26">
        <f t="shared" si="178"/>
        <v>0.37317514635892868</v>
      </c>
      <c r="AL316" s="26">
        <f t="shared" si="179"/>
        <v>6.9629844930003917E-2</v>
      </c>
      <c r="AM316" s="27">
        <f t="shared" si="180"/>
        <v>0.38064301039537352</v>
      </c>
    </row>
    <row r="317" spans="1:39" ht="15" customHeight="1" x14ac:dyDescent="0.2">
      <c r="A317" s="24">
        <v>306</v>
      </c>
      <c r="B317" s="29">
        <f t="shared" si="181"/>
        <v>3.2757258338016677</v>
      </c>
      <c r="C317" s="29">
        <f t="shared" si="182"/>
        <v>-3.7711469461675513</v>
      </c>
      <c r="D317" s="29">
        <f t="shared" si="183"/>
        <v>-2.6395268000689378</v>
      </c>
      <c r="E317" s="29">
        <f t="shared" si="184"/>
        <v>-0.23171533042666398</v>
      </c>
      <c r="F317" s="29">
        <f t="shared" si="185"/>
        <v>0.41137292391681179</v>
      </c>
      <c r="G317" s="29">
        <f t="shared" si="186"/>
        <v>0.87468271066980074</v>
      </c>
      <c r="H317" s="29">
        <f t="shared" si="187"/>
        <v>3.2281369572879917</v>
      </c>
      <c r="I317" s="29">
        <f t="shared" si="188"/>
        <v>-5.203402330249618E-2</v>
      </c>
      <c r="J317" s="29">
        <f t="shared" si="189"/>
        <v>-0.61609263326745356</v>
      </c>
      <c r="K317" s="26">
        <f t="shared" si="152"/>
        <v>-2.6395268000689378</v>
      </c>
      <c r="L317" s="26">
        <f t="shared" si="153"/>
        <v>6.6637461113803295E-2</v>
      </c>
      <c r="M317" s="26">
        <f t="shared" si="154"/>
        <v>0.87468271066980074</v>
      </c>
      <c r="N317" s="26">
        <f t="shared" si="155"/>
        <v>0.70571913760564675</v>
      </c>
      <c r="O317" s="26">
        <f t="shared" si="156"/>
        <v>-0.43769918835733346</v>
      </c>
      <c r="P317" s="26">
        <f t="shared" si="157"/>
        <v>0.39228934295989387</v>
      </c>
      <c r="Q317" s="26">
        <f t="shared" si="158"/>
        <v>7.6945464299952623E-2</v>
      </c>
      <c r="R317" s="26">
        <f t="shared" si="159"/>
        <v>-6.4106737462364887</v>
      </c>
      <c r="S317" s="26">
        <f t="shared" si="160"/>
        <v>1.6412185200046984E-3</v>
      </c>
      <c r="T317" s="26">
        <f t="shared" si="161"/>
        <v>1.2860556345866125</v>
      </c>
      <c r="U317" s="26">
        <f t="shared" si="162"/>
        <v>0.78347881617616499</v>
      </c>
      <c r="V317" s="26">
        <f t="shared" si="163"/>
        <v>-0.65156211008596354</v>
      </c>
      <c r="W317" s="26">
        <f t="shared" si="164"/>
        <v>0.3426376057776393</v>
      </c>
      <c r="X317" s="26">
        <f t="shared" si="165"/>
        <v>0.21606265866887722</v>
      </c>
      <c r="Y317" s="26">
        <f t="shared" si="166"/>
        <v>0.6361990337327299</v>
      </c>
      <c r="Z317" s="26">
        <f t="shared" si="167"/>
        <v>0.65389374232570374</v>
      </c>
      <c r="AA317" s="26">
        <f t="shared" si="168"/>
        <v>0.64296738024313682</v>
      </c>
      <c r="AB317" s="26">
        <f t="shared" si="169"/>
        <v>0.65542393258400056</v>
      </c>
      <c r="AC317" s="26">
        <f t="shared" si="170"/>
        <v>1.4606615782924122</v>
      </c>
      <c r="AD317" s="26">
        <f t="shared" si="171"/>
        <v>0.81163384060667165</v>
      </c>
      <c r="AE317" s="26">
        <f t="shared" si="172"/>
        <v>1.774090500229639E-2</v>
      </c>
      <c r="AF317" s="26">
        <f t="shared" si="173"/>
        <v>-3.1349479124348214</v>
      </c>
      <c r="AG317" s="26">
        <f t="shared" si="174"/>
        <v>4.1688486331560755E-2</v>
      </c>
      <c r="AH317" s="26">
        <f t="shared" si="175"/>
        <v>1.0543403041599486</v>
      </c>
      <c r="AI317" s="26">
        <f t="shared" si="176"/>
        <v>0.74160748532342669</v>
      </c>
      <c r="AJ317" s="26">
        <f t="shared" si="177"/>
        <v>-0.52010531101977175</v>
      </c>
      <c r="AK317" s="26">
        <f t="shared" si="178"/>
        <v>0.37282760877795157</v>
      </c>
      <c r="AL317" s="26">
        <f t="shared" si="179"/>
        <v>6.9500212933542652E-2</v>
      </c>
      <c r="AM317" s="27">
        <f t="shared" si="180"/>
        <v>0.38024924090466888</v>
      </c>
    </row>
    <row r="318" spans="1:39" ht="15" customHeight="1" x14ac:dyDescent="0.2">
      <c r="A318" s="24">
        <v>307</v>
      </c>
      <c r="B318" s="29">
        <f t="shared" si="181"/>
        <v>3.2855224023039464</v>
      </c>
      <c r="C318" s="29">
        <f t="shared" si="182"/>
        <v>-3.7816066745743573</v>
      </c>
      <c r="D318" s="29">
        <f t="shared" si="183"/>
        <v>-2.6477242643148062</v>
      </c>
      <c r="E318" s="29">
        <f t="shared" si="184"/>
        <v>-0.23118450448502445</v>
      </c>
      <c r="F318" s="29">
        <f t="shared" si="185"/>
        <v>0.41093522104561048</v>
      </c>
      <c r="G318" s="29">
        <f t="shared" si="186"/>
        <v>0.8749172118260875</v>
      </c>
      <c r="H318" s="29">
        <f t="shared" si="187"/>
        <v>3.2373446482294943</v>
      </c>
      <c r="I318" s="29">
        <f t="shared" si="188"/>
        <v>-4.780618406994426E-2</v>
      </c>
      <c r="J318" s="29">
        <f t="shared" si="189"/>
        <v>-0.61993039821714235</v>
      </c>
      <c r="K318" s="26">
        <f t="shared" si="152"/>
        <v>-2.6477242643148062</v>
      </c>
      <c r="L318" s="26">
        <f t="shared" si="153"/>
        <v>6.6129411845555958E-2</v>
      </c>
      <c r="M318" s="26">
        <f t="shared" si="154"/>
        <v>0.8749172118260875</v>
      </c>
      <c r="N318" s="26">
        <f t="shared" si="155"/>
        <v>0.70576783637100637</v>
      </c>
      <c r="O318" s="26">
        <f t="shared" si="156"/>
        <v>-0.43958676778456629</v>
      </c>
      <c r="P318" s="26">
        <f t="shared" si="157"/>
        <v>0.39183943862218529</v>
      </c>
      <c r="Q318" s="26">
        <f t="shared" si="158"/>
        <v>7.6769072829874649E-2</v>
      </c>
      <c r="R318" s="26">
        <f t="shared" si="159"/>
        <v>-6.429330938889164</v>
      </c>
      <c r="S318" s="26">
        <f t="shared" si="160"/>
        <v>1.6109307385021171E-3</v>
      </c>
      <c r="T318" s="26">
        <f t="shared" si="161"/>
        <v>1.285852432871698</v>
      </c>
      <c r="U318" s="26">
        <f t="shared" si="162"/>
        <v>0.78344434310020983</v>
      </c>
      <c r="V318" s="26">
        <f t="shared" si="163"/>
        <v>-0.65216874468698938</v>
      </c>
      <c r="W318" s="26">
        <f t="shared" si="164"/>
        <v>0.34250098221984315</v>
      </c>
      <c r="X318" s="26">
        <f t="shared" si="165"/>
        <v>0.2161524791909355</v>
      </c>
      <c r="Y318" s="26">
        <f t="shared" si="166"/>
        <v>0.6377981379891402</v>
      </c>
      <c r="Z318" s="26">
        <f t="shared" si="167"/>
        <v>0.65425555723276796</v>
      </c>
      <c r="AA318" s="26">
        <f t="shared" si="168"/>
        <v>0.64373270734106303</v>
      </c>
      <c r="AB318" s="26">
        <f t="shared" si="169"/>
        <v>0.65559675609299406</v>
      </c>
      <c r="AC318" s="26">
        <f t="shared" si="170"/>
        <v>1.4667787493673243</v>
      </c>
      <c r="AD318" s="26">
        <f t="shared" si="171"/>
        <v>0.8125672779877795</v>
      </c>
      <c r="AE318" s="26">
        <f t="shared" si="172"/>
        <v>1.7565512640455163E-2</v>
      </c>
      <c r="AF318" s="26">
        <f t="shared" si="173"/>
        <v>-3.1438085365852171</v>
      </c>
      <c r="AG318" s="26">
        <f t="shared" si="174"/>
        <v>4.1335933464078968E-2</v>
      </c>
      <c r="AH318" s="26">
        <f t="shared" si="175"/>
        <v>1.0546679283866736</v>
      </c>
      <c r="AI318" s="26">
        <f t="shared" si="176"/>
        <v>0.7416702616158084</v>
      </c>
      <c r="AJ318" s="26">
        <f t="shared" si="177"/>
        <v>-0.52156816028364483</v>
      </c>
      <c r="AK318" s="26">
        <f t="shared" si="178"/>
        <v>0.37248561853836865</v>
      </c>
      <c r="AL318" s="26">
        <f t="shared" si="179"/>
        <v>6.9372768008955546E-2</v>
      </c>
      <c r="AM318" s="27">
        <f t="shared" si="180"/>
        <v>0.37985983267022083</v>
      </c>
    </row>
    <row r="319" spans="1:39" ht="15" customHeight="1" x14ac:dyDescent="0.2">
      <c r="A319" s="24">
        <v>308</v>
      </c>
      <c r="B319" s="29">
        <f t="shared" si="181"/>
        <v>3.2952576984769988</v>
      </c>
      <c r="C319" s="29">
        <f t="shared" si="182"/>
        <v>-3.7920050367229239</v>
      </c>
      <c r="D319" s="29">
        <f t="shared" si="183"/>
        <v>-2.6558863362304681</v>
      </c>
      <c r="E319" s="29">
        <f t="shared" si="184"/>
        <v>-0.23069517174896989</v>
      </c>
      <c r="F319" s="29">
        <f t="shared" si="185"/>
        <v>0.41053176758677568</v>
      </c>
      <c r="G319" s="29">
        <f t="shared" si="186"/>
        <v>0.87513260590224973</v>
      </c>
      <c r="H319" s="29">
        <f t="shared" si="187"/>
        <v>3.24648596474518</v>
      </c>
      <c r="I319" s="29">
        <f t="shared" si="188"/>
        <v>-4.3565776421648272E-2</v>
      </c>
      <c r="J319" s="29">
        <f t="shared" si="189"/>
        <v>-0.62375986783959769</v>
      </c>
      <c r="K319" s="26">
        <f t="shared" si="152"/>
        <v>-2.6558863362304681</v>
      </c>
      <c r="L319" s="26">
        <f t="shared" si="153"/>
        <v>6.5627133876626942E-2</v>
      </c>
      <c r="M319" s="26">
        <f t="shared" si="154"/>
        <v>0.87513260590224973</v>
      </c>
      <c r="N319" s="26">
        <f t="shared" si="155"/>
        <v>0.70581256303565831</v>
      </c>
      <c r="O319" s="26">
        <f t="shared" si="156"/>
        <v>-0.44145157111947742</v>
      </c>
      <c r="P319" s="26">
        <f t="shared" si="157"/>
        <v>0.39139514331866021</v>
      </c>
      <c r="Q319" s="26">
        <f t="shared" si="158"/>
        <v>7.6595079106717284E-2</v>
      </c>
      <c r="R319" s="26">
        <f t="shared" si="159"/>
        <v>-6.447891372953392</v>
      </c>
      <c r="S319" s="26">
        <f t="shared" si="160"/>
        <v>1.5813537762558317E-3</v>
      </c>
      <c r="T319" s="26">
        <f t="shared" si="161"/>
        <v>1.2856643734890254</v>
      </c>
      <c r="U319" s="26">
        <f t="shared" si="162"/>
        <v>0.78341243537543914</v>
      </c>
      <c r="V319" s="26">
        <f t="shared" si="163"/>
        <v>-0.65275599600519174</v>
      </c>
      <c r="W319" s="26">
        <f t="shared" si="164"/>
        <v>0.34236874894586505</v>
      </c>
      <c r="X319" s="26">
        <f t="shared" si="165"/>
        <v>0.21623943118151329</v>
      </c>
      <c r="Y319" s="26">
        <f t="shared" si="166"/>
        <v>0.63937136224653068</v>
      </c>
      <c r="Z319" s="26">
        <f t="shared" si="167"/>
        <v>0.65461134236202556</v>
      </c>
      <c r="AA319" s="26">
        <f t="shared" si="168"/>
        <v>0.64443743415327981</v>
      </c>
      <c r="AB319" s="26">
        <f t="shared" si="169"/>
        <v>0.65575585866022179</v>
      </c>
      <c r="AC319" s="26">
        <f t="shared" si="170"/>
        <v>1.472858154376143</v>
      </c>
      <c r="AD319" s="26">
        <f t="shared" si="171"/>
        <v>0.81349142275822195</v>
      </c>
      <c r="AE319" s="26">
        <f t="shared" si="172"/>
        <v>1.7392724692376144E-2</v>
      </c>
      <c r="AF319" s="26">
        <f t="shared" si="173"/>
        <v>-3.1526336744763932</v>
      </c>
      <c r="AG319" s="26">
        <f t="shared" si="174"/>
        <v>4.0987629422665123E-2</v>
      </c>
      <c r="AH319" s="26">
        <f t="shared" si="175"/>
        <v>1.0549692017400556</v>
      </c>
      <c r="AI319" s="26">
        <f t="shared" si="176"/>
        <v>0.74172798002711648</v>
      </c>
      <c r="AJ319" s="26">
        <f t="shared" si="177"/>
        <v>-0.52300805953428098</v>
      </c>
      <c r="AK319" s="26">
        <f t="shared" si="178"/>
        <v>0.3721491182109487</v>
      </c>
      <c r="AL319" s="26">
        <f t="shared" si="179"/>
        <v>6.9247483092593334E-2</v>
      </c>
      <c r="AM319" s="27">
        <f t="shared" si="180"/>
        <v>0.37947471807320005</v>
      </c>
    </row>
    <row r="320" spans="1:39" ht="15" customHeight="1" x14ac:dyDescent="0.2">
      <c r="A320" s="24">
        <v>309</v>
      </c>
      <c r="B320" s="29">
        <f t="shared" si="181"/>
        <v>3.3049322452792871</v>
      </c>
      <c r="C320" s="29">
        <f t="shared" si="182"/>
        <v>-3.802342457567399</v>
      </c>
      <c r="D320" s="29">
        <f t="shared" si="183"/>
        <v>-2.6640130722397446</v>
      </c>
      <c r="E320" s="29">
        <f t="shared" si="184"/>
        <v>-0.23024776493047305</v>
      </c>
      <c r="F320" s="29">
        <f t="shared" si="185"/>
        <v>0.41016293707403179</v>
      </c>
      <c r="G320" s="29">
        <f t="shared" si="186"/>
        <v>0.87532886456001602</v>
      </c>
      <c r="H320" s="29">
        <f t="shared" si="187"/>
        <v>3.2555614708028617</v>
      </c>
      <c r="I320" s="29">
        <f t="shared" si="188"/>
        <v>-3.9312558071652917E-2</v>
      </c>
      <c r="J320" s="29">
        <f t="shared" si="189"/>
        <v>-0.6275814170027445</v>
      </c>
      <c r="K320" s="26">
        <f t="shared" si="152"/>
        <v>-2.6640130722397446</v>
      </c>
      <c r="L320" s="26">
        <f t="shared" si="153"/>
        <v>6.5130556360425793E-2</v>
      </c>
      <c r="M320" s="26">
        <f t="shared" si="154"/>
        <v>0.87532886456001602</v>
      </c>
      <c r="N320" s="26">
        <f t="shared" si="155"/>
        <v>0.70585331277057384</v>
      </c>
      <c r="O320" s="26">
        <f t="shared" si="156"/>
        <v>-0.44329378649214979</v>
      </c>
      <c r="P320" s="26">
        <f t="shared" si="157"/>
        <v>0.39095640633699225</v>
      </c>
      <c r="Q320" s="26">
        <f t="shared" si="158"/>
        <v>7.6423455827967696E-2</v>
      </c>
      <c r="R320" s="26">
        <f t="shared" si="159"/>
        <v>-6.466355529807144</v>
      </c>
      <c r="S320" s="26">
        <f t="shared" si="160"/>
        <v>1.55246823584296E-3</v>
      </c>
      <c r="T320" s="26">
        <f t="shared" si="161"/>
        <v>1.2854918016340477</v>
      </c>
      <c r="U320" s="26">
        <f t="shared" si="162"/>
        <v>0.78338315240111611</v>
      </c>
      <c r="V320" s="26">
        <f t="shared" si="163"/>
        <v>-0.65332405690061224</v>
      </c>
      <c r="W320" s="26">
        <f t="shared" si="164"/>
        <v>0.34224086013347316</v>
      </c>
      <c r="X320" s="26">
        <f t="shared" si="165"/>
        <v>0.21632354303897658</v>
      </c>
      <c r="Y320" s="26">
        <f t="shared" si="166"/>
        <v>0.64091917303954249</v>
      </c>
      <c r="Z320" s="26">
        <f t="shared" si="167"/>
        <v>0.65496121136171714</v>
      </c>
      <c r="AA320" s="26">
        <f t="shared" si="168"/>
        <v>0.64508109962954296</v>
      </c>
      <c r="AB320" s="26">
        <f t="shared" si="169"/>
        <v>0.6559011452065705</v>
      </c>
      <c r="AC320" s="26">
        <f t="shared" si="170"/>
        <v>1.4788999157166347</v>
      </c>
      <c r="AD320" s="26">
        <f t="shared" si="171"/>
        <v>0.81440636197161298</v>
      </c>
      <c r="AE320" s="26">
        <f t="shared" si="172"/>
        <v>1.7222499238305971E-2</v>
      </c>
      <c r="AF320" s="26">
        <f t="shared" si="173"/>
        <v>-3.1614232845278565</v>
      </c>
      <c r="AG320" s="26">
        <f t="shared" si="174"/>
        <v>4.0643521096997579E-2</v>
      </c>
      <c r="AH320" s="26">
        <f t="shared" si="175"/>
        <v>1.0552440367035747</v>
      </c>
      <c r="AI320" s="26">
        <f t="shared" si="176"/>
        <v>0.74178062599910399</v>
      </c>
      <c r="AJ320" s="26">
        <f t="shared" si="177"/>
        <v>-0.52442522961761273</v>
      </c>
      <c r="AK320" s="26">
        <f t="shared" si="178"/>
        <v>0.37181805057722794</v>
      </c>
      <c r="AL320" s="26">
        <f t="shared" si="179"/>
        <v>6.9124331367525021E-2</v>
      </c>
      <c r="AM320" s="27">
        <f t="shared" si="180"/>
        <v>0.37909382947277526</v>
      </c>
    </row>
    <row r="321" spans="1:39" ht="15" customHeight="1" x14ac:dyDescent="0.2">
      <c r="A321" s="24">
        <v>310</v>
      </c>
      <c r="B321" s="29">
        <f t="shared" si="181"/>
        <v>3.3145465663502738</v>
      </c>
      <c r="C321" s="29">
        <f t="shared" si="182"/>
        <v>-3.8126193653528246</v>
      </c>
      <c r="D321" s="29">
        <f t="shared" si="183"/>
        <v>-2.6721045346584975</v>
      </c>
      <c r="E321" s="29">
        <f t="shared" si="184"/>
        <v>-0.22984271608758453</v>
      </c>
      <c r="F321" s="29">
        <f t="shared" si="185"/>
        <v>0.40982909602899575</v>
      </c>
      <c r="G321" s="29">
        <f t="shared" si="186"/>
        <v>0.87550595326424652</v>
      </c>
      <c r="H321" s="29">
        <f t="shared" si="187"/>
        <v>3.26457173284874</v>
      </c>
      <c r="I321" s="29">
        <f t="shared" si="188"/>
        <v>-3.504627256918523E-2</v>
      </c>
      <c r="J321" s="29">
        <f t="shared" si="189"/>
        <v>-0.63139542704894791</v>
      </c>
      <c r="K321" s="26">
        <f t="shared" si="152"/>
        <v>-2.6721045346584975</v>
      </c>
      <c r="L321" s="26">
        <f t="shared" si="153"/>
        <v>6.4639608998594777E-2</v>
      </c>
      <c r="M321" s="26">
        <f t="shared" si="154"/>
        <v>0.87550595326424652</v>
      </c>
      <c r="N321" s="26">
        <f t="shared" si="155"/>
        <v>0.70589007936855208</v>
      </c>
      <c r="O321" s="26">
        <f t="shared" si="156"/>
        <v>-0.44511360281517443</v>
      </c>
      <c r="P321" s="26">
        <f t="shared" si="157"/>
        <v>0.39052317688122118</v>
      </c>
      <c r="Q321" s="26">
        <f t="shared" si="158"/>
        <v>7.625417584070078E-2</v>
      </c>
      <c r="R321" s="26">
        <f t="shared" si="159"/>
        <v>-6.4847239000113222</v>
      </c>
      <c r="S321" s="26">
        <f t="shared" si="160"/>
        <v>1.524255296792154E-3</v>
      </c>
      <c r="T321" s="26">
        <f t="shared" si="161"/>
        <v>1.2853350492932423</v>
      </c>
      <c r="U321" s="26">
        <f t="shared" si="162"/>
        <v>0.78335655128953718</v>
      </c>
      <c r="V321" s="26">
        <f t="shared" si="163"/>
        <v>-0.65387311350874533</v>
      </c>
      <c r="W321" s="26">
        <f t="shared" si="164"/>
        <v>0.3421172715809544</v>
      </c>
      <c r="X321" s="26">
        <f t="shared" si="165"/>
        <v>0.21640484217604386</v>
      </c>
      <c r="Y321" s="26">
        <f t="shared" si="166"/>
        <v>0.64244203169177627</v>
      </c>
      <c r="Z321" s="26">
        <f t="shared" si="167"/>
        <v>0.65530527639460112</v>
      </c>
      <c r="AA321" s="26">
        <f t="shared" si="168"/>
        <v>0.64566323717666196</v>
      </c>
      <c r="AB321" s="26">
        <f t="shared" si="169"/>
        <v>0.65603251871637347</v>
      </c>
      <c r="AC321" s="26">
        <f t="shared" si="170"/>
        <v>1.4849041601903143</v>
      </c>
      <c r="AD321" s="26">
        <f t="shared" si="171"/>
        <v>0.81531218265052574</v>
      </c>
      <c r="AE321" s="26">
        <f t="shared" si="172"/>
        <v>1.7054794938656383E-2</v>
      </c>
      <c r="AF321" s="26">
        <f t="shared" si="173"/>
        <v>-3.1701773336610484</v>
      </c>
      <c r="AG321" s="26">
        <f t="shared" si="174"/>
        <v>4.0303555743085688E-2</v>
      </c>
      <c r="AH321" s="26">
        <f t="shared" si="175"/>
        <v>1.0554923332056578</v>
      </c>
      <c r="AI321" s="26">
        <f t="shared" si="176"/>
        <v>0.7418281823844991</v>
      </c>
      <c r="AJ321" s="26">
        <f t="shared" si="177"/>
        <v>-0.52581989091612724</v>
      </c>
      <c r="AK321" s="26">
        <f t="shared" si="178"/>
        <v>0.37149235866835234</v>
      </c>
      <c r="AL321" s="26">
        <f t="shared" si="179"/>
        <v>6.9003286274487874E-2</v>
      </c>
      <c r="AM321" s="27">
        <f t="shared" si="180"/>
        <v>0.37871709922988889</v>
      </c>
    </row>
    <row r="322" spans="1:39" ht="15" customHeight="1" x14ac:dyDescent="0.2">
      <c r="A322" s="24">
        <v>311</v>
      </c>
      <c r="B322" s="29">
        <f t="shared" si="181"/>
        <v>3.3241011857383613</v>
      </c>
      <c r="C322" s="29">
        <f t="shared" si="182"/>
        <v>-3.8228361912776503</v>
      </c>
      <c r="D322" s="29">
        <f t="shared" si="183"/>
        <v>-2.6801607914466352</v>
      </c>
      <c r="E322" s="29">
        <f t="shared" si="184"/>
        <v>-0.22948045691784957</v>
      </c>
      <c r="F322" s="29">
        <f t="shared" si="185"/>
        <v>0.40953060403289976</v>
      </c>
      <c r="G322" s="29">
        <f t="shared" si="186"/>
        <v>0.87566383102667722</v>
      </c>
      <c r="H322" s="29">
        <f t="shared" si="187"/>
        <v>3.2735173194259271</v>
      </c>
      <c r="I322" s="29">
        <f t="shared" si="188"/>
        <v>-3.0766649360112974E-2</v>
      </c>
      <c r="J322" s="29">
        <f t="shared" si="189"/>
        <v>-0.63520228563529524</v>
      </c>
      <c r="K322" s="26">
        <f t="shared" si="152"/>
        <v>-2.6801607914466352</v>
      </c>
      <c r="L322" s="26">
        <f t="shared" si="153"/>
        <v>6.4154222058123975E-2</v>
      </c>
      <c r="M322" s="26">
        <f t="shared" si="154"/>
        <v>0.87566383102667722</v>
      </c>
      <c r="N322" s="26">
        <f t="shared" si="155"/>
        <v>0.70592285519092191</v>
      </c>
      <c r="O322" s="26">
        <f t="shared" si="156"/>
        <v>-0.44691120957467845</v>
      </c>
      <c r="P322" s="26">
        <f t="shared" si="157"/>
        <v>0.39009540412185806</v>
      </c>
      <c r="Q322" s="26">
        <f t="shared" si="158"/>
        <v>7.6087212158497883E-2</v>
      </c>
      <c r="R322" s="26">
        <f t="shared" si="159"/>
        <v>-6.5029969827242855</v>
      </c>
      <c r="S322" s="26">
        <f t="shared" si="160"/>
        <v>1.4966966980402346E-3</v>
      </c>
      <c r="T322" s="26">
        <f t="shared" si="161"/>
        <v>1.285194435059577</v>
      </c>
      <c r="U322" s="26">
        <f t="shared" si="162"/>
        <v>0.783332686828623</v>
      </c>
      <c r="V322" s="26">
        <f t="shared" si="163"/>
        <v>-0.65440334518030441</v>
      </c>
      <c r="W322" s="26">
        <f t="shared" si="164"/>
        <v>0.34199794071708611</v>
      </c>
      <c r="X322" s="26">
        <f t="shared" si="165"/>
        <v>0.21648335501027766</v>
      </c>
      <c r="Y322" s="26">
        <f t="shared" si="166"/>
        <v>0.64394039429172611</v>
      </c>
      <c r="Z322" s="26">
        <f t="shared" si="167"/>
        <v>0.65564364814128395</v>
      </c>
      <c r="AA322" s="26">
        <f t="shared" si="168"/>
        <v>0.64618337410882765</v>
      </c>
      <c r="AB322" s="26">
        <f t="shared" si="169"/>
        <v>0.65614988009176511</v>
      </c>
      <c r="AC322" s="26">
        <f t="shared" si="170"/>
        <v>1.4908710186383327</v>
      </c>
      <c r="AD322" s="26">
        <f t="shared" si="171"/>
        <v>0.81620897171875562</v>
      </c>
      <c r="AE322" s="26">
        <f t="shared" si="172"/>
        <v>1.6889571038338585E-2</v>
      </c>
      <c r="AF322" s="26">
        <f t="shared" si="173"/>
        <v>-3.1788957969859242</v>
      </c>
      <c r="AG322" s="26">
        <f t="shared" si="174"/>
        <v>3.9967681000309861E-2</v>
      </c>
      <c r="AH322" s="26">
        <f t="shared" si="175"/>
        <v>1.0557139781417275</v>
      </c>
      <c r="AI322" s="26">
        <f t="shared" si="176"/>
        <v>0.7418706293545384</v>
      </c>
      <c r="AJ322" s="26">
        <f t="shared" si="177"/>
        <v>-0.52719226318740775</v>
      </c>
      <c r="AK322" s="26">
        <f t="shared" si="178"/>
        <v>0.37117198580108918</v>
      </c>
      <c r="AL322" s="26">
        <f t="shared" si="179"/>
        <v>6.8884321521761979E-2</v>
      </c>
      <c r="AM322" s="27">
        <f t="shared" si="180"/>
        <v>0.37834445972887615</v>
      </c>
    </row>
    <row r="323" spans="1:39" ht="15" customHeight="1" x14ac:dyDescent="0.2">
      <c r="A323" s="24">
        <v>312</v>
      </c>
      <c r="B323" s="29">
        <f t="shared" si="181"/>
        <v>3.3335966276445865</v>
      </c>
      <c r="C323" s="29">
        <f t="shared" si="182"/>
        <v>-3.8329933691708167</v>
      </c>
      <c r="D323" s="29">
        <f t="shared" si="183"/>
        <v>-2.6881819159651066</v>
      </c>
      <c r="E323" s="29">
        <f t="shared" si="184"/>
        <v>-0.22916141905448614</v>
      </c>
      <c r="F323" s="29">
        <f t="shared" si="185"/>
        <v>0.40926781379829119</v>
      </c>
      <c r="G323" s="29">
        <f t="shared" si="186"/>
        <v>0.87580245014960967</v>
      </c>
      <c r="H323" s="29">
        <f t="shared" si="187"/>
        <v>3.2823988008123783</v>
      </c>
      <c r="I323" s="29">
        <f t="shared" si="188"/>
        <v>-2.6473403848185403E-2</v>
      </c>
      <c r="J323" s="29">
        <f t="shared" si="189"/>
        <v>-0.63900238657925112</v>
      </c>
      <c r="K323" s="26">
        <f t="shared" si="152"/>
        <v>-2.6881819159651066</v>
      </c>
      <c r="L323" s="26">
        <f t="shared" si="153"/>
        <v>6.3674326387216651E-2</v>
      </c>
      <c r="M323" s="26">
        <f t="shared" si="154"/>
        <v>0.87580245014960967</v>
      </c>
      <c r="N323" s="26">
        <f t="shared" si="155"/>
        <v>0.7059516311141022</v>
      </c>
      <c r="O323" s="26">
        <f t="shared" si="156"/>
        <v>-0.44868679663108407</v>
      </c>
      <c r="P323" s="26">
        <f t="shared" si="157"/>
        <v>0.3896730372434955</v>
      </c>
      <c r="Q323" s="26">
        <f t="shared" si="158"/>
        <v>7.592253797728532E-2</v>
      </c>
      <c r="R323" s="26">
        <f t="shared" si="159"/>
        <v>-6.5211752851359233</v>
      </c>
      <c r="S323" s="26">
        <f t="shared" si="160"/>
        <v>1.4697747208836578E-3</v>
      </c>
      <c r="T323" s="26">
        <f t="shared" si="161"/>
        <v>1.2850702639479008</v>
      </c>
      <c r="U323" s="26">
        <f t="shared" si="162"/>
        <v>0.78331161144468175</v>
      </c>
      <c r="V323" s="26">
        <f t="shared" si="163"/>
        <v>-0.65491492442670618</v>
      </c>
      <c r="W323" s="26">
        <f t="shared" si="164"/>
        <v>0.34188282660994668</v>
      </c>
      <c r="X323" s="26">
        <f t="shared" si="165"/>
        <v>0.21655910695545671</v>
      </c>
      <c r="Y323" s="26">
        <f t="shared" si="166"/>
        <v>0.64541471167947995</v>
      </c>
      <c r="Z323" s="26">
        <f t="shared" si="167"/>
        <v>0.65597643580584231</v>
      </c>
      <c r="AA323" s="26">
        <f t="shared" si="168"/>
        <v>0.6466410310951235</v>
      </c>
      <c r="AB323" s="26">
        <f t="shared" si="169"/>
        <v>0.65625312800619784</v>
      </c>
      <c r="AC323" s="26">
        <f t="shared" si="170"/>
        <v>1.4968006255866808</v>
      </c>
      <c r="AD323" s="26">
        <f t="shared" si="171"/>
        <v>0.81709681593673456</v>
      </c>
      <c r="AE323" s="26">
        <f t="shared" si="172"/>
        <v>1.672678737024038E-2</v>
      </c>
      <c r="AF323" s="26">
        <f t="shared" si="173"/>
        <v>-3.1875786574913367</v>
      </c>
      <c r="AG323" s="26">
        <f t="shared" si="174"/>
        <v>3.9635844907355867E-2</v>
      </c>
      <c r="AH323" s="26">
        <f t="shared" si="175"/>
        <v>1.0559088448934146</v>
      </c>
      <c r="AI323" s="26">
        <f t="shared" si="176"/>
        <v>0.74190794430554441</v>
      </c>
      <c r="AJ323" s="26">
        <f t="shared" si="177"/>
        <v>-0.52854256541393851</v>
      </c>
      <c r="AK323" s="26">
        <f t="shared" si="178"/>
        <v>0.37085687561110864</v>
      </c>
      <c r="AL323" s="26">
        <f t="shared" si="179"/>
        <v>6.8767411094016656E-2</v>
      </c>
      <c r="AM323" s="27">
        <f t="shared" si="180"/>
        <v>0.37797584339699908</v>
      </c>
    </row>
    <row r="324" spans="1:39" ht="15" customHeight="1" x14ac:dyDescent="0.2">
      <c r="A324" s="24">
        <v>313</v>
      </c>
      <c r="B324" s="29">
        <f t="shared" si="181"/>
        <v>3.3430334161815423</v>
      </c>
      <c r="C324" s="29">
        <f t="shared" si="182"/>
        <v>-3.843091335182983</v>
      </c>
      <c r="D324" s="29">
        <f t="shared" si="183"/>
        <v>-2.6961679867378776</v>
      </c>
      <c r="E324" s="29">
        <f t="shared" si="184"/>
        <v>-0.22888603436529317</v>
      </c>
      <c r="F324" s="29">
        <f t="shared" si="185"/>
        <v>0.40904107124047745</v>
      </c>
      <c r="G324" s="29">
        <f t="shared" si="186"/>
        <v>0.87592175596936961</v>
      </c>
      <c r="H324" s="29">
        <f t="shared" si="187"/>
        <v>3.2912167486776434</v>
      </c>
      <c r="I324" s="29">
        <f t="shared" si="188"/>
        <v>-2.2166237455610888E-2</v>
      </c>
      <c r="J324" s="29">
        <f t="shared" si="189"/>
        <v>-0.64279612970952182</v>
      </c>
      <c r="K324" s="26">
        <f t="shared" si="152"/>
        <v>-2.6961679867378776</v>
      </c>
      <c r="L324" s="26">
        <f t="shared" si="153"/>
        <v>6.3199853429953837E-2</v>
      </c>
      <c r="M324" s="26">
        <f t="shared" si="154"/>
        <v>0.87592175596936961</v>
      </c>
      <c r="N324" s="26">
        <f t="shared" si="155"/>
        <v>0.70597639647597499</v>
      </c>
      <c r="O324" s="26">
        <f t="shared" si="156"/>
        <v>-0.45044055402922856</v>
      </c>
      <c r="P324" s="26">
        <f t="shared" si="157"/>
        <v>0.38925602549002114</v>
      </c>
      <c r="Q324" s="26">
        <f t="shared" si="158"/>
        <v>7.5760126690143995E-2</v>
      </c>
      <c r="R324" s="26">
        <f t="shared" si="159"/>
        <v>-6.539259321920861</v>
      </c>
      <c r="S324" s="26">
        <f t="shared" si="160"/>
        <v>1.4434721724152107E-3</v>
      </c>
      <c r="T324" s="26">
        <f t="shared" si="161"/>
        <v>1.284962827209847</v>
      </c>
      <c r="U324" s="26">
        <f t="shared" si="162"/>
        <v>0.78329337516529551</v>
      </c>
      <c r="V324" s="26">
        <f t="shared" si="163"/>
        <v>-0.65540801687073957</v>
      </c>
      <c r="W324" s="26">
        <f t="shared" si="164"/>
        <v>0.34177188997468816</v>
      </c>
      <c r="X324" s="26">
        <f t="shared" si="165"/>
        <v>0.21663212241374699</v>
      </c>
      <c r="Y324" s="26">
        <f t="shared" si="166"/>
        <v>0.64686542944366465</v>
      </c>
      <c r="Z324" s="26">
        <f t="shared" si="167"/>
        <v>0.65630374712360728</v>
      </c>
      <c r="AA324" s="26">
        <f t="shared" si="168"/>
        <v>0.64703572160407641</v>
      </c>
      <c r="AB324" s="26">
        <f t="shared" si="169"/>
        <v>0.65634215875704072</v>
      </c>
      <c r="AC324" s="26">
        <f t="shared" si="170"/>
        <v>1.5026931189004542</v>
      </c>
      <c r="AD324" s="26">
        <f t="shared" si="171"/>
        <v>0.81797580183997609</v>
      </c>
      <c r="AE324" s="26">
        <f t="shared" si="172"/>
        <v>1.6566404357899824E-2</v>
      </c>
      <c r="AF324" s="26">
        <f t="shared" si="173"/>
        <v>-3.1962259057393183</v>
      </c>
      <c r="AG324" s="26">
        <f t="shared" si="174"/>
        <v>3.9307995917083172E-2</v>
      </c>
      <c r="AH324" s="26">
        <f t="shared" si="175"/>
        <v>1.0560767928445538</v>
      </c>
      <c r="AI324" s="26">
        <f t="shared" si="176"/>
        <v>0.74194010176444203</v>
      </c>
      <c r="AJ324" s="26">
        <f t="shared" si="177"/>
        <v>-0.529871015663816</v>
      </c>
      <c r="AK324" s="26">
        <f t="shared" si="178"/>
        <v>0.37054697208362886</v>
      </c>
      <c r="AL324" s="26">
        <f t="shared" si="179"/>
        <v>6.8652529260172818E-2</v>
      </c>
      <c r="AM324" s="27">
        <f t="shared" si="180"/>
        <v>0.37761118272196359</v>
      </c>
    </row>
    <row r="325" spans="1:39" ht="15" customHeight="1" x14ac:dyDescent="0.2">
      <c r="A325" s="24">
        <v>314</v>
      </c>
      <c r="B325" s="29">
        <f t="shared" si="181"/>
        <v>3.3524120751470043</v>
      </c>
      <c r="C325" s="29">
        <f t="shared" si="182"/>
        <v>-3.8531305274914636</v>
      </c>
      <c r="D325" s="29">
        <f t="shared" si="183"/>
        <v>-2.7041190872188685</v>
      </c>
      <c r="E325" s="29">
        <f t="shared" si="184"/>
        <v>-0.22865473525427532</v>
      </c>
      <c r="F325" s="29">
        <f t="shared" si="185"/>
        <v>0.40885071554849151</v>
      </c>
      <c r="G325" s="29">
        <f t="shared" si="186"/>
        <v>0.87602168659934998</v>
      </c>
      <c r="H325" s="29">
        <f t="shared" si="187"/>
        <v>3.2999717357578566</v>
      </c>
      <c r="I325" s="29">
        <f t="shared" si="188"/>
        <v>-1.7844837682532574E-2</v>
      </c>
      <c r="J325" s="29">
        <f t="shared" si="189"/>
        <v>-0.64658392072195869</v>
      </c>
      <c r="K325" s="26">
        <f t="shared" si="152"/>
        <v>-2.7041190872188685</v>
      </c>
      <c r="L325" s="26">
        <f t="shared" si="153"/>
        <v>6.2730735239805949E-2</v>
      </c>
      <c r="M325" s="26">
        <f t="shared" si="154"/>
        <v>0.87602168659934998</v>
      </c>
      <c r="N325" s="26">
        <f t="shared" si="155"/>
        <v>0.70599713902202288</v>
      </c>
      <c r="O325" s="26">
        <f t="shared" si="156"/>
        <v>-0.45217267181747012</v>
      </c>
      <c r="P325" s="26">
        <f t="shared" si="157"/>
        <v>0.38884431820753629</v>
      </c>
      <c r="Q325" s="26">
        <f t="shared" si="158"/>
        <v>7.5599951901141868E-2</v>
      </c>
      <c r="R325" s="26">
        <f t="shared" si="159"/>
        <v>-6.5572496147103321</v>
      </c>
      <c r="S325" s="26">
        <f t="shared" si="160"/>
        <v>1.4177723694362085E-3</v>
      </c>
      <c r="T325" s="26">
        <f t="shared" si="161"/>
        <v>1.2848724021478415</v>
      </c>
      <c r="U325" s="26">
        <f t="shared" si="162"/>
        <v>0.78327802558228343</v>
      </c>
      <c r="V325" s="26">
        <f t="shared" si="163"/>
        <v>-0.65588278120189125</v>
      </c>
      <c r="W325" s="26">
        <f t="shared" si="164"/>
        <v>0.34166509318038896</v>
      </c>
      <c r="X325" s="26">
        <f t="shared" si="165"/>
        <v>0.21670242476859297</v>
      </c>
      <c r="Y325" s="26">
        <f t="shared" si="166"/>
        <v>0.64829298792813583</v>
      </c>
      <c r="Z325" s="26">
        <f t="shared" si="167"/>
        <v>0.65662568837099367</v>
      </c>
      <c r="AA325" s="26">
        <f t="shared" si="168"/>
        <v>0.6473669513450746</v>
      </c>
      <c r="AB325" s="26">
        <f t="shared" si="169"/>
        <v>0.65641686611717398</v>
      </c>
      <c r="AC325" s="26">
        <f t="shared" si="170"/>
        <v>1.508548639446929</v>
      </c>
      <c r="AD325" s="26">
        <f t="shared" si="171"/>
        <v>0.81884601568043991</v>
      </c>
      <c r="AE325" s="26">
        <f t="shared" si="172"/>
        <v>1.6408383017425712E-2</v>
      </c>
      <c r="AF325" s="26">
        <f t="shared" si="173"/>
        <v>-3.2048375395633277</v>
      </c>
      <c r="AG325" s="26">
        <f t="shared" si="174"/>
        <v>3.8984082910367375E-2</v>
      </c>
      <c r="AH325" s="26">
        <f t="shared" si="175"/>
        <v>1.0562176668935661</v>
      </c>
      <c r="AI325" s="26">
        <f t="shared" si="176"/>
        <v>0.74196707329310962</v>
      </c>
      <c r="AJ325" s="26">
        <f t="shared" si="177"/>
        <v>-0.53117783096200477</v>
      </c>
      <c r="AK325" s="26">
        <f t="shared" si="178"/>
        <v>0.3702422195815217</v>
      </c>
      <c r="AL325" s="26">
        <f t="shared" si="179"/>
        <v>6.8539650580325864E-2</v>
      </c>
      <c r="AM325" s="27">
        <f t="shared" si="180"/>
        <v>0.3772504102674864</v>
      </c>
    </row>
    <row r="326" spans="1:39" ht="15" customHeight="1" x14ac:dyDescent="0.2">
      <c r="A326" s="24">
        <v>315</v>
      </c>
      <c r="B326" s="29">
        <f t="shared" si="181"/>
        <v>3.3617331278117497</v>
      </c>
      <c r="C326" s="29">
        <f t="shared" si="182"/>
        <v>-3.8631113860184518</v>
      </c>
      <c r="D326" s="29">
        <f t="shared" si="183"/>
        <v>-2.71203530556383</v>
      </c>
      <c r="E326" s="29">
        <f t="shared" si="184"/>
        <v>-0.22846795496598676</v>
      </c>
      <c r="F326" s="29">
        <f t="shared" si="185"/>
        <v>0.40869707925536247</v>
      </c>
      <c r="G326" s="29">
        <f t="shared" si="186"/>
        <v>0.87610217267244694</v>
      </c>
      <c r="H326" s="29">
        <f t="shared" si="187"/>
        <v>3.3086643355483978</v>
      </c>
      <c r="I326" s="29">
        <f t="shared" si="188"/>
        <v>-1.3508878164974009E-2</v>
      </c>
      <c r="J326" s="29">
        <f t="shared" si="189"/>
        <v>-0.65036617104033612</v>
      </c>
      <c r="K326" s="26">
        <f t="shared" si="152"/>
        <v>-2.71203530556383</v>
      </c>
      <c r="L326" s="26">
        <f t="shared" si="153"/>
        <v>6.2266904492038054E-2</v>
      </c>
      <c r="M326" s="26">
        <f t="shared" si="154"/>
        <v>0.87610217267244694</v>
      </c>
      <c r="N326" s="26">
        <f t="shared" si="155"/>
        <v>0.70601384485117924</v>
      </c>
      <c r="O326" s="26">
        <f t="shared" si="156"/>
        <v>-0.45388333987541096</v>
      </c>
      <c r="P326" s="26">
        <f t="shared" si="157"/>
        <v>0.3884378648850772</v>
      </c>
      <c r="Q326" s="26">
        <f t="shared" si="158"/>
        <v>7.5441987438238739E-2</v>
      </c>
      <c r="R326" s="26">
        <f t="shared" si="159"/>
        <v>-6.5751466915822814</v>
      </c>
      <c r="S326" s="26">
        <f t="shared" si="160"/>
        <v>1.3926591228342374E-3</v>
      </c>
      <c r="T326" s="26">
        <f t="shared" si="161"/>
        <v>1.2847992519278093</v>
      </c>
      <c r="U326" s="26">
        <f t="shared" si="162"/>
        <v>0.78326560781468835</v>
      </c>
      <c r="V326" s="26">
        <f t="shared" si="163"/>
        <v>-0.65633936913582125</v>
      </c>
      <c r="W326" s="26">
        <f t="shared" si="164"/>
        <v>0.34156240025610218</v>
      </c>
      <c r="X326" s="26">
        <f t="shared" si="165"/>
        <v>0.21677003637825271</v>
      </c>
      <c r="Y326" s="26">
        <f t="shared" si="166"/>
        <v>0.64969782224791972</v>
      </c>
      <c r="Z326" s="26">
        <f t="shared" si="167"/>
        <v>0.65694236437725095</v>
      </c>
      <c r="AA326" s="26">
        <f t="shared" si="168"/>
        <v>0.64763421770646024</v>
      </c>
      <c r="AB326" s="26">
        <f t="shared" si="169"/>
        <v>0.65647714118549028</v>
      </c>
      <c r="AC326" s="26">
        <f t="shared" si="170"/>
        <v>1.5143673307671492</v>
      </c>
      <c r="AD326" s="26">
        <f t="shared" si="171"/>
        <v>0.81970754337069918</v>
      </c>
      <c r="AE326" s="26">
        <f t="shared" si="172"/>
        <v>1.625268495871416E-2</v>
      </c>
      <c r="AF326" s="26">
        <f t="shared" si="173"/>
        <v>-3.2134135637705321</v>
      </c>
      <c r="AG326" s="26">
        <f t="shared" si="174"/>
        <v>3.8664055208955196E-2</v>
      </c>
      <c r="AH326" s="26">
        <f t="shared" si="175"/>
        <v>1.0563312969618226</v>
      </c>
      <c r="AI326" s="26">
        <f t="shared" si="176"/>
        <v>0.74198882739145522</v>
      </c>
      <c r="AJ326" s="26">
        <f t="shared" si="177"/>
        <v>-0.53246322717179484</v>
      </c>
      <c r="AK326" s="26">
        <f t="shared" si="178"/>
        <v>0.36994256287096916</v>
      </c>
      <c r="AL326" s="26">
        <f t="shared" si="179"/>
        <v>6.8428749911770489E-2</v>
      </c>
      <c r="AM326" s="27">
        <f t="shared" si="180"/>
        <v>0.37689345868697616</v>
      </c>
    </row>
    <row r="327" spans="1:39" ht="15" customHeight="1" x14ac:dyDescent="0.2">
      <c r="A327" s="24">
        <v>316</v>
      </c>
      <c r="B327" s="29">
        <f t="shared" si="181"/>
        <v>3.3709970967210761</v>
      </c>
      <c r="C327" s="29">
        <f t="shared" si="182"/>
        <v>-3.8730343521621102</v>
      </c>
      <c r="D327" s="29">
        <f t="shared" si="183"/>
        <v>-2.7199167344071187</v>
      </c>
      <c r="E327" s="29">
        <f t="shared" si="184"/>
        <v>-0.22832612789261283</v>
      </c>
      <c r="F327" s="29">
        <f t="shared" si="185"/>
        <v>0.40858048830748495</v>
      </c>
      <c r="G327" s="29">
        <f t="shared" si="186"/>
        <v>0.87616313708268911</v>
      </c>
      <c r="H327" s="29">
        <f t="shared" si="187"/>
        <v>3.3172951220136566</v>
      </c>
      <c r="I327" s="29">
        <f t="shared" si="188"/>
        <v>-9.1580187308337446E-3</v>
      </c>
      <c r="J327" s="29">
        <f t="shared" si="189"/>
        <v>-0.65414329768183987</v>
      </c>
      <c r="K327" s="26">
        <f t="shared" si="152"/>
        <v>-2.7199167344071187</v>
      </c>
      <c r="L327" s="26">
        <f t="shared" si="153"/>
        <v>6.1808294495055115E-2</v>
      </c>
      <c r="M327" s="26">
        <f t="shared" si="154"/>
        <v>0.87616313708268911</v>
      </c>
      <c r="N327" s="26">
        <f t="shared" si="155"/>
        <v>0.70602649836134335</v>
      </c>
      <c r="O327" s="26">
        <f t="shared" si="156"/>
        <v>-0.45557274774986811</v>
      </c>
      <c r="P327" s="26">
        <f t="shared" si="157"/>
        <v>0.38803661519323679</v>
      </c>
      <c r="Q327" s="26">
        <f t="shared" si="158"/>
        <v>7.5286207365312066E-2</v>
      </c>
      <c r="R327" s="26">
        <f t="shared" si="159"/>
        <v>-6.5929510865692293</v>
      </c>
      <c r="S327" s="26">
        <f t="shared" si="160"/>
        <v>1.368116722416425E-3</v>
      </c>
      <c r="T327" s="26">
        <f t="shared" si="161"/>
        <v>1.2847436253901741</v>
      </c>
      <c r="U327" s="26">
        <f t="shared" si="162"/>
        <v>0.78325616447174062</v>
      </c>
      <c r="V327" s="26">
        <f t="shared" si="163"/>
        <v>-0.6567779253774958</v>
      </c>
      <c r="W327" s="26">
        <f t="shared" si="164"/>
        <v>0.34146377689621105</v>
      </c>
      <c r="X327" s="26">
        <f t="shared" si="165"/>
        <v>0.21683497856990169</v>
      </c>
      <c r="Y327" s="26">
        <f t="shared" si="166"/>
        <v>0.65108036231395738</v>
      </c>
      <c r="Z327" s="26">
        <f t="shared" si="167"/>
        <v>0.6572538785380333</v>
      </c>
      <c r="AA327" s="26">
        <f t="shared" si="168"/>
        <v>0.64783700919007625</v>
      </c>
      <c r="AB327" s="26">
        <f t="shared" si="169"/>
        <v>0.65652287223620309</v>
      </c>
      <c r="AC327" s="26">
        <f t="shared" si="170"/>
        <v>1.5201493387557745</v>
      </c>
      <c r="AD327" s="26">
        <f t="shared" si="171"/>
        <v>0.82056047043080071</v>
      </c>
      <c r="AE327" s="26">
        <f t="shared" si="172"/>
        <v>1.6099272386007772E-2</v>
      </c>
      <c r="AF327" s="26">
        <f t="shared" si="173"/>
        <v>-3.2219539898481528</v>
      </c>
      <c r="AG327" s="26">
        <f t="shared" si="174"/>
        <v>3.8347862587371134E-2</v>
      </c>
      <c r="AH327" s="26">
        <f t="shared" si="175"/>
        <v>1.0564174974975613</v>
      </c>
      <c r="AI327" s="26">
        <f t="shared" si="176"/>
        <v>0.74200532939910224</v>
      </c>
      <c r="AJ327" s="26">
        <f t="shared" si="177"/>
        <v>-0.53372741888611908</v>
      </c>
      <c r="AK327" s="26">
        <f t="shared" si="178"/>
        <v>0.36964794714476057</v>
      </c>
      <c r="AL327" s="26">
        <f t="shared" si="179"/>
        <v>6.8319802414167852E-2</v>
      </c>
      <c r="AM327" s="27">
        <f t="shared" si="180"/>
        <v>0.37654026073538938</v>
      </c>
    </row>
    <row r="328" spans="1:39" ht="15" customHeight="1" x14ac:dyDescent="0.2">
      <c r="A328" s="24">
        <v>317</v>
      </c>
      <c r="B328" s="29">
        <f t="shared" si="181"/>
        <v>3.3802045035095336</v>
      </c>
      <c r="C328" s="29">
        <f t="shared" si="182"/>
        <v>-3.8828998685401133</v>
      </c>
      <c r="D328" s="29">
        <f t="shared" si="183"/>
        <v>-2.727763470643334</v>
      </c>
      <c r="E328" s="29">
        <f t="shared" si="184"/>
        <v>-0.22822968988382528</v>
      </c>
      <c r="F328" s="29">
        <f t="shared" si="185"/>
        <v>0.40850126213288829</v>
      </c>
      <c r="G328" s="29">
        <f t="shared" si="186"/>
        <v>0.87620449472585449</v>
      </c>
      <c r="H328" s="29">
        <f t="shared" si="187"/>
        <v>3.3258646693133476</v>
      </c>
      <c r="I328" s="29">
        <f t="shared" si="188"/>
        <v>-4.7919054535155159E-3</v>
      </c>
      <c r="J328" s="29">
        <f t="shared" si="189"/>
        <v>-0.65791572312710289</v>
      </c>
      <c r="K328" s="26">
        <f t="shared" si="152"/>
        <v>-2.727763470643334</v>
      </c>
      <c r="L328" s="26">
        <f t="shared" si="153"/>
        <v>6.135483920073162E-2</v>
      </c>
      <c r="M328" s="26">
        <f t="shared" si="154"/>
        <v>0.87620449472585449</v>
      </c>
      <c r="N328" s="26">
        <f t="shared" si="155"/>
        <v>0.7060350821945035</v>
      </c>
      <c r="O328" s="26">
        <f t="shared" si="156"/>
        <v>-0.45724108449872913</v>
      </c>
      <c r="P328" s="26">
        <f t="shared" si="157"/>
        <v>0.38764051902078445</v>
      </c>
      <c r="Q328" s="26">
        <f t="shared" si="158"/>
        <v>7.5132585993351569E-2</v>
      </c>
      <c r="R328" s="26">
        <f t="shared" si="159"/>
        <v>-6.6106633391834473</v>
      </c>
      <c r="S328" s="26">
        <f t="shared" si="160"/>
        <v>1.3441299221880882E-3</v>
      </c>
      <c r="T328" s="26">
        <f t="shared" si="161"/>
        <v>1.2847057568587428</v>
      </c>
      <c r="U328" s="26">
        <f t="shared" si="162"/>
        <v>0.78324973561574707</v>
      </c>
      <c r="V328" s="26">
        <f t="shared" si="163"/>
        <v>-0.65719858758749228</v>
      </c>
      <c r="W328" s="26">
        <f t="shared" si="164"/>
        <v>0.34136919046519959</v>
      </c>
      <c r="X328" s="26">
        <f t="shared" si="165"/>
        <v>0.21689727163423322</v>
      </c>
      <c r="Y328" s="26">
        <f t="shared" si="166"/>
        <v>0.65244103286619959</v>
      </c>
      <c r="Z328" s="26">
        <f t="shared" si="167"/>
        <v>0.65756033283067705</v>
      </c>
      <c r="AA328" s="26">
        <f t="shared" si="168"/>
        <v>0.64797480484202918</v>
      </c>
      <c r="AB328" s="26">
        <f t="shared" si="169"/>
        <v>0.65655394456685967</v>
      </c>
      <c r="AC328" s="26">
        <f t="shared" si="170"/>
        <v>1.5258948113488746</v>
      </c>
      <c r="AD328" s="26">
        <f t="shared" si="171"/>
        <v>0.821404881937707</v>
      </c>
      <c r="AE328" s="26">
        <f t="shared" si="172"/>
        <v>1.5948108097842188E-2</v>
      </c>
      <c r="AF328" s="26">
        <f t="shared" si="173"/>
        <v>-3.2304588356739137</v>
      </c>
      <c r="AG328" s="26">
        <f t="shared" si="174"/>
        <v>3.8035455283913347E-2</v>
      </c>
      <c r="AH328" s="26">
        <f t="shared" si="175"/>
        <v>1.0564760669749176</v>
      </c>
      <c r="AI328" s="26">
        <f t="shared" si="176"/>
        <v>0.7420165413955685</v>
      </c>
      <c r="AJ328" s="26">
        <f t="shared" si="177"/>
        <v>-0.53497061932839995</v>
      </c>
      <c r="AK328" s="26">
        <f t="shared" si="178"/>
        <v>0.36935831804331676</v>
      </c>
      <c r="AL328" s="26">
        <f t="shared" si="179"/>
        <v>6.8212783553893971E-2</v>
      </c>
      <c r="AM328" s="27">
        <f t="shared" si="180"/>
        <v>0.376190749279321</v>
      </c>
    </row>
    <row r="329" spans="1:39" ht="15" customHeight="1" x14ac:dyDescent="0.2">
      <c r="A329" s="24">
        <v>318</v>
      </c>
      <c r="B329" s="29">
        <f t="shared" si="181"/>
        <v>3.3893558687284022</v>
      </c>
      <c r="C329" s="29">
        <f t="shared" si="182"/>
        <v>-3.8927083787452363</v>
      </c>
      <c r="D329" s="29">
        <f t="shared" si="183"/>
        <v>-2.7355756152137589</v>
      </c>
      <c r="E329" s="29">
        <f t="shared" si="184"/>
        <v>-0.22817907855946262</v>
      </c>
      <c r="F329" s="29">
        <f t="shared" si="185"/>
        <v>0.40845971370821615</v>
      </c>
      <c r="G329" s="29">
        <f t="shared" si="186"/>
        <v>0.8762261522388608</v>
      </c>
      <c r="H329" s="29">
        <f t="shared" si="187"/>
        <v>3.3343735515448336</v>
      </c>
      <c r="I329" s="29">
        <f t="shared" si="188"/>
        <v>-4.1017070278910606E-4</v>
      </c>
      <c r="J329" s="29">
        <f t="shared" si="189"/>
        <v>-0.66168387519462968</v>
      </c>
      <c r="K329" s="26">
        <f t="shared" si="152"/>
        <v>-2.7355756152137589</v>
      </c>
      <c r="L329" s="26">
        <f t="shared" si="153"/>
        <v>6.0906473213770282E-2</v>
      </c>
      <c r="M329" s="26">
        <f t="shared" si="154"/>
        <v>0.8762261522388608</v>
      </c>
      <c r="N329" s="26">
        <f t="shared" si="155"/>
        <v>0.70603957718141386</v>
      </c>
      <c r="O329" s="26">
        <f t="shared" si="156"/>
        <v>-0.45888853854232964</v>
      </c>
      <c r="P329" s="26">
        <f t="shared" si="157"/>
        <v>0.38724952650937744</v>
      </c>
      <c r="Q329" s="26">
        <f t="shared" si="158"/>
        <v>7.4981097890868514E-2</v>
      </c>
      <c r="R329" s="26">
        <f t="shared" si="159"/>
        <v>-6.6282839939589948</v>
      </c>
      <c r="S329" s="26">
        <f t="shared" si="160"/>
        <v>1.3206839260665605E-3</v>
      </c>
      <c r="T329" s="26">
        <f t="shared" si="161"/>
        <v>1.284685865947077</v>
      </c>
      <c r="U329" s="26">
        <f t="shared" si="162"/>
        <v>0.78324635872485748</v>
      </c>
      <c r="V329" s="26">
        <f t="shared" si="163"/>
        <v>-0.65760148635101812</v>
      </c>
      <c r="W329" s="26">
        <f t="shared" si="164"/>
        <v>0.34127861000194321</v>
      </c>
      <c r="X329" s="26">
        <f t="shared" si="165"/>
        <v>0.21695693482048606</v>
      </c>
      <c r="Y329" s="26">
        <f t="shared" si="166"/>
        <v>0.65378025351464331</v>
      </c>
      <c r="Z329" s="26">
        <f t="shared" si="167"/>
        <v>0.65786182783109282</v>
      </c>
      <c r="AA329" s="26">
        <f t="shared" si="168"/>
        <v>0.64804707367939818</v>
      </c>
      <c r="AB329" s="26">
        <f t="shared" si="169"/>
        <v>0.6565702403449486</v>
      </c>
      <c r="AC329" s="26">
        <f t="shared" si="170"/>
        <v>1.5316038982193945</v>
      </c>
      <c r="AD329" s="26">
        <f t="shared" si="171"/>
        <v>0.82224086247720807</v>
      </c>
      <c r="AE329" s="26">
        <f t="shared" si="172"/>
        <v>1.5799155486423428E-2</v>
      </c>
      <c r="AF329" s="26">
        <f t="shared" si="173"/>
        <v>-3.238928125230593</v>
      </c>
      <c r="AG329" s="26">
        <f t="shared" si="174"/>
        <v>3.7726784010776351E-2</v>
      </c>
      <c r="AH329" s="26">
        <f t="shared" si="175"/>
        <v>1.0565067873876144</v>
      </c>
      <c r="AI329" s="26">
        <f t="shared" si="176"/>
        <v>0.74202242209881375</v>
      </c>
      <c r="AJ329" s="26">
        <f t="shared" si="177"/>
        <v>-0.53619304026261005</v>
      </c>
      <c r="AK329" s="26">
        <f t="shared" si="178"/>
        <v>0.36907362167352381</v>
      </c>
      <c r="AL329" s="26">
        <f t="shared" si="179"/>
        <v>6.8107669107605698E-2</v>
      </c>
      <c r="AM329" s="27">
        <f t="shared" si="180"/>
        <v>0.37584485730538364</v>
      </c>
    </row>
    <row r="330" spans="1:39" ht="15" customHeight="1" x14ac:dyDescent="0.2">
      <c r="A330" s="24">
        <v>319</v>
      </c>
      <c r="B330" s="29">
        <f t="shared" si="181"/>
        <v>3.398451711685456</v>
      </c>
      <c r="C330" s="29">
        <f t="shared" si="182"/>
        <v>-3.9024603271125891</v>
      </c>
      <c r="D330" s="29">
        <f t="shared" si="183"/>
        <v>-2.7433532728975516</v>
      </c>
      <c r="E330" s="29">
        <f t="shared" si="184"/>
        <v>-0.22817473362510346</v>
      </c>
      <c r="F330" s="29">
        <f t="shared" si="185"/>
        <v>0.40845614962423427</v>
      </c>
      <c r="G330" s="29">
        <f t="shared" si="186"/>
        <v>0.87622800773771037</v>
      </c>
      <c r="H330" s="29">
        <f t="shared" si="187"/>
        <v>3.342822342500924</v>
      </c>
      <c r="I330" s="29">
        <f t="shared" si="188"/>
        <v>3.9875668075202986E-3</v>
      </c>
      <c r="J330" s="29">
        <f t="shared" si="189"/>
        <v>-0.66544818691944985</v>
      </c>
      <c r="K330" s="26">
        <f t="shared" si="152"/>
        <v>-2.7433532728975516</v>
      </c>
      <c r="L330" s="26">
        <f t="shared" si="153"/>
        <v>6.0463131800131784E-2</v>
      </c>
      <c r="M330" s="26">
        <f t="shared" si="154"/>
        <v>0.87622800773771037</v>
      </c>
      <c r="N330" s="26">
        <f t="shared" si="155"/>
        <v>0.70603996228577159</v>
      </c>
      <c r="O330" s="26">
        <f t="shared" si="156"/>
        <v>-0.4605152975219976</v>
      </c>
      <c r="P330" s="26">
        <f t="shared" si="157"/>
        <v>0.38686358808645932</v>
      </c>
      <c r="Q330" s="26">
        <f t="shared" si="158"/>
        <v>7.4831717893564839E-2</v>
      </c>
      <c r="R330" s="26">
        <f t="shared" si="159"/>
        <v>-6.6458136000101407</v>
      </c>
      <c r="S330" s="26">
        <f t="shared" si="160"/>
        <v>1.297764374020011E-3</v>
      </c>
      <c r="T330" s="26">
        <f t="shared" si="161"/>
        <v>1.2846841573619447</v>
      </c>
      <c r="U330" s="26">
        <f t="shared" si="162"/>
        <v>0.78324606865565594</v>
      </c>
      <c r="V330" s="26">
        <f t="shared" si="163"/>
        <v>-0.65798674514918198</v>
      </c>
      <c r="W330" s="26">
        <f t="shared" si="164"/>
        <v>0.34119200622362161</v>
      </c>
      <c r="X330" s="26">
        <f t="shared" si="165"/>
        <v>0.21701398633182833</v>
      </c>
      <c r="Y330" s="26">
        <f t="shared" si="166"/>
        <v>0.65509843878790441</v>
      </c>
      <c r="Z330" s="26">
        <f t="shared" si="167"/>
        <v>0.65815846273217304</v>
      </c>
      <c r="AA330" s="26">
        <f t="shared" si="168"/>
        <v>0.64805327411260694</v>
      </c>
      <c r="AB330" s="26">
        <f t="shared" si="169"/>
        <v>0.65657163845298472</v>
      </c>
      <c r="AC330" s="26">
        <f t="shared" si="170"/>
        <v>1.5372767504799745</v>
      </c>
      <c r="AD330" s="26">
        <f t="shared" si="171"/>
        <v>0.82306849609819877</v>
      </c>
      <c r="AE330" s="26">
        <f t="shared" si="172"/>
        <v>1.5652378536476552E-2</v>
      </c>
      <c r="AF330" s="26">
        <f t="shared" si="173"/>
        <v>-3.2473618883246846</v>
      </c>
      <c r="AG330" s="26">
        <f t="shared" si="174"/>
        <v>3.7421799963337145E-2</v>
      </c>
      <c r="AH330" s="26">
        <f t="shared" si="175"/>
        <v>1.0565094237368411</v>
      </c>
      <c r="AI330" s="26">
        <f t="shared" si="176"/>
        <v>0.74202292676203063</v>
      </c>
      <c r="AJ330" s="26">
        <f t="shared" si="177"/>
        <v>-0.53739489191223089</v>
      </c>
      <c r="AK330" s="26">
        <f t="shared" si="178"/>
        <v>0.36879380462545858</v>
      </c>
      <c r="AL330" s="26">
        <f t="shared" si="179"/>
        <v>6.8004435165060453E-2</v>
      </c>
      <c r="AM330" s="27">
        <f t="shared" si="180"/>
        <v>0.37550251792693018</v>
      </c>
    </row>
    <row r="331" spans="1:39" ht="15" customHeight="1" x14ac:dyDescent="0.2">
      <c r="A331" s="24">
        <v>320</v>
      </c>
      <c r="B331" s="29">
        <f t="shared" si="181"/>
        <v>3.4074925502965705</v>
      </c>
      <c r="C331" s="29">
        <f t="shared" si="182"/>
        <v>-3.9121561584981035</v>
      </c>
      <c r="D331" s="29">
        <f t="shared" si="183"/>
        <v>-2.7510965521076223</v>
      </c>
      <c r="E331" s="29">
        <f t="shared" si="184"/>
        <v>-0.22821709719061656</v>
      </c>
      <c r="F331" s="29">
        <f t="shared" si="185"/>
        <v>0.40849087014969332</v>
      </c>
      <c r="G331" s="29">
        <f t="shared" si="186"/>
        <v>0.8762099505537615</v>
      </c>
      <c r="H331" s="29">
        <f t="shared" si="187"/>
        <v>3.3512116154426259</v>
      </c>
      <c r="I331" s="29">
        <f t="shared" si="188"/>
        <v>8.4017019754062255E-3</v>
      </c>
      <c r="J331" s="29">
        <f t="shared" si="189"/>
        <v>-0.66920909643584892</v>
      </c>
      <c r="K331" s="26">
        <f t="shared" si="152"/>
        <v>-2.7510965521076223</v>
      </c>
      <c r="L331" s="26">
        <f t="shared" si="153"/>
        <v>6.0024750894578233E-2</v>
      </c>
      <c r="M331" s="26">
        <f t="shared" si="154"/>
        <v>0.8762099505537615</v>
      </c>
      <c r="N331" s="26">
        <f t="shared" si="155"/>
        <v>0.70603621454782983</v>
      </c>
      <c r="O331" s="26">
        <f t="shared" si="156"/>
        <v>-0.4621215481654134</v>
      </c>
      <c r="P331" s="26">
        <f t="shared" si="157"/>
        <v>0.38648265449643437</v>
      </c>
      <c r="Q331" s="26">
        <f t="shared" si="158"/>
        <v>7.468442111330513E-2</v>
      </c>
      <c r="R331" s="26">
        <f t="shared" si="159"/>
        <v>-6.6632527106057253</v>
      </c>
      <c r="S331" s="26">
        <f t="shared" si="160"/>
        <v>1.2753573286210177E-3</v>
      </c>
      <c r="T331" s="26">
        <f t="shared" si="161"/>
        <v>1.2847008207034549</v>
      </c>
      <c r="U331" s="26">
        <f t="shared" si="162"/>
        <v>0.78324889760552951</v>
      </c>
      <c r="V331" s="26">
        <f t="shared" si="163"/>
        <v>-0.65835448033208721</v>
      </c>
      <c r="W331" s="26">
        <f t="shared" si="164"/>
        <v>0.3411093515293509</v>
      </c>
      <c r="X331" s="26">
        <f t="shared" si="165"/>
        <v>0.21706844332103628</v>
      </c>
      <c r="Y331" s="26">
        <f t="shared" si="166"/>
        <v>0.65639599818894823</v>
      </c>
      <c r="Z331" s="26">
        <f t="shared" si="167"/>
        <v>0.65845033536363218</v>
      </c>
      <c r="AA331" s="26">
        <f t="shared" si="168"/>
        <v>0.64799285336314494</v>
      </c>
      <c r="AB331" s="26">
        <f t="shared" si="169"/>
        <v>0.65655801433195238</v>
      </c>
      <c r="AC331" s="26">
        <f t="shared" si="170"/>
        <v>1.5429135203928293</v>
      </c>
      <c r="AD331" s="26">
        <f t="shared" si="171"/>
        <v>0.82388786626921195</v>
      </c>
      <c r="AE331" s="26">
        <f t="shared" si="172"/>
        <v>1.5507741823605486E-2</v>
      </c>
      <c r="AF331" s="26">
        <f t="shared" si="173"/>
        <v>-3.2557601603091553</v>
      </c>
      <c r="AG331" s="26">
        <f t="shared" si="174"/>
        <v>3.712045482864039E-2</v>
      </c>
      <c r="AH331" s="26">
        <f t="shared" si="175"/>
        <v>1.0564837235128381</v>
      </c>
      <c r="AI331" s="26">
        <f t="shared" si="176"/>
        <v>0.74201800706854526</v>
      </c>
      <c r="AJ331" s="26">
        <f t="shared" si="177"/>
        <v>-0.53857638288782117</v>
      </c>
      <c r="AK331" s="26">
        <f t="shared" si="178"/>
        <v>0.36851881398708014</v>
      </c>
      <c r="AL331" s="26">
        <f t="shared" si="179"/>
        <v>6.7903058131222091E-2</v>
      </c>
      <c r="AM331" s="27">
        <f t="shared" si="180"/>
        <v>0.37516366438916898</v>
      </c>
    </row>
    <row r="332" spans="1:39" ht="15" customHeight="1" x14ac:dyDescent="0.2">
      <c r="A332" s="24">
        <v>321</v>
      </c>
      <c r="B332" s="29">
        <f t="shared" si="181"/>
        <v>3.41647890094875</v>
      </c>
      <c r="C332" s="29">
        <f t="shared" si="182"/>
        <v>-3.9217963180678881</v>
      </c>
      <c r="D332" s="29">
        <f t="shared" si="183"/>
        <v>-2.7588055646911234</v>
      </c>
      <c r="E332" s="29">
        <f t="shared" si="184"/>
        <v>-0.22830661409178771</v>
      </c>
      <c r="F332" s="29">
        <f t="shared" si="185"/>
        <v>0.4085641692933808</v>
      </c>
      <c r="G332" s="29">
        <f t="shared" si="186"/>
        <v>0.87617186096809418</v>
      </c>
      <c r="H332" s="29">
        <f t="shared" si="187"/>
        <v>3.3595419428863447</v>
      </c>
      <c r="I332" s="29">
        <f t="shared" si="188"/>
        <v>1.2832643270511396E-2</v>
      </c>
      <c r="J332" s="29">
        <f t="shared" si="189"/>
        <v>-0.67296704686401954</v>
      </c>
      <c r="K332" s="26">
        <f t="shared" ref="K332:K395" si="190">0*B332+0*C332+D332</f>
        <v>-2.7588055646911234</v>
      </c>
      <c r="L332" s="26">
        <f t="shared" ref="L332:L395" si="191">1/(1+EXP(-K332))</f>
        <v>5.9591267107370317E-2</v>
      </c>
      <c r="M332" s="26">
        <f t="shared" ref="M332:M395" si="192">0*E332+0*F332+G332</f>
        <v>0.87617186096809418</v>
      </c>
      <c r="N332" s="26">
        <f t="shared" ref="N332:N395" si="193">1/(1+EXP(-M332))</f>
        <v>0.70602830902739155</v>
      </c>
      <c r="O332" s="26">
        <f t="shared" ref="O332:O395" si="194">L332*H332+N332*I332+J332</f>
        <v>-0.46370747615843466</v>
      </c>
      <c r="P332" s="26">
        <f t="shared" ref="P332:P395" si="195">1/(1+EXP(-O332))</f>
        <v>0.3861066768302131</v>
      </c>
      <c r="Q332" s="26">
        <f t="shared" ref="Q332:Q395" si="196">0.5*(0-P332)^2</f>
        <v>7.4539182946435315E-2</v>
      </c>
      <c r="R332" s="26">
        <f t="shared" ref="R332:R395" si="197">0*B332+1*C332+D332</f>
        <v>-6.6806018827590119</v>
      </c>
      <c r="S332" s="26">
        <f t="shared" ref="S332:S395" si="198">1/(1+EXP(-R332))</f>
        <v>1.2534492620047105E-3</v>
      </c>
      <c r="T332" s="26">
        <f t="shared" ref="T332:T395" si="199">0*E332+1*F332+G332</f>
        <v>1.284736030261475</v>
      </c>
      <c r="U332" s="26">
        <f t="shared" ref="U332:U395" si="200">1/(1+EXP(-T332))</f>
        <v>0.78325487507476332</v>
      </c>
      <c r="V332" s="26">
        <f t="shared" ref="V332:V395" si="201">S332*H332+U332*I332+J332</f>
        <v>-0.65870480109331142</v>
      </c>
      <c r="W332" s="26">
        <f t="shared" ref="W332:W395" si="202">1/(1+EXP(-V332))</f>
        <v>0.34103062000363304</v>
      </c>
      <c r="X332" s="26">
        <f t="shared" ref="X332:X395" si="203">0.5*(1-W332)^2</f>
        <v>0.21712032188639813</v>
      </c>
      <c r="Y332" s="26">
        <f t="shared" ref="Y332:Y395" si="204">1*B332+0*C332+D332</f>
        <v>0.65767333625762658</v>
      </c>
      <c r="Z332" s="26">
        <f t="shared" ref="Z332:Z395" si="205">1/(1+EXP(-Y332))</f>
        <v>0.65873754221319059</v>
      </c>
      <c r="AA332" s="26">
        <f t="shared" ref="AA332:AA395" si="206">1*E332+0*F332+G332</f>
        <v>0.64786524687630642</v>
      </c>
      <c r="AB332" s="26">
        <f t="shared" ref="AB332:AB395" si="207">1/(1+EXP(-AA332))</f>
        <v>0.65652923982297717</v>
      </c>
      <c r="AC332" s="26">
        <f t="shared" ref="AC332:AC395" si="208">Z332*H332+AB332*I332+J332</f>
        <v>1.5485143610863665</v>
      </c>
      <c r="AD332" s="26">
        <f t="shared" ref="AD332:AD395" si="209">1/(1+EXP(-AC332))</f>
        <v>0.82469905583710634</v>
      </c>
      <c r="AE332" s="26">
        <f t="shared" ref="AE332:AE395" si="210">0.5*(1-AD332)^2</f>
        <v>1.536521051220098E-2</v>
      </c>
      <c r="AF332" s="26">
        <f t="shared" ref="AF332:AF395" si="211">1*B332+1*C332+D332</f>
        <v>-3.2641229818102615</v>
      </c>
      <c r="AG332" s="26">
        <f t="shared" ref="AG332:AG395" si="212">1/(1+EXP(-AF332))</f>
        <v>3.6822700793118349E-2</v>
      </c>
      <c r="AH332" s="26">
        <f t="shared" ref="AH332:AH395" si="213">1*E332+1*F332+G332</f>
        <v>1.0564294161696872</v>
      </c>
      <c r="AI332" s="26">
        <f t="shared" ref="AI332:AI395" si="214">1/(1+EXP(-AH332))</f>
        <v>0.74200761102469448</v>
      </c>
      <c r="AJ332" s="26">
        <f t="shared" ref="AJ332:AJ395" si="215">AG332*H332+AI332*I332+J332</f>
        <v>-0.53973772012289989</v>
      </c>
      <c r="AK332" s="26">
        <f t="shared" ref="AK332:AK395" si="216">1/(1+EXP(-AJ332))</f>
        <v>0.36824859735696436</v>
      </c>
      <c r="AL332" s="26">
        <f t="shared" ref="AL332:AL395" si="217">0.5*(0-AK332)^2</f>
        <v>6.7803514727685824E-2</v>
      </c>
      <c r="AM332" s="27">
        <f t="shared" ref="AM332:AM395" si="218">Q332+X332+AE332+AL332</f>
        <v>0.3748282300727202</v>
      </c>
    </row>
    <row r="333" spans="1:39" ht="15" customHeight="1" x14ac:dyDescent="0.2">
      <c r="A333" s="24">
        <v>322</v>
      </c>
      <c r="B333" s="29">
        <f t="shared" ref="B333:B396" si="219">B332-$C$6*(((((P332)-0)*(P332)*(1-(P332)))*H332*(L332)*(1-(L332))*0)+((((W332)-1)*(W332)*(1-(W332)))*H332*(S332)*(1-(S332))*0)+((((AD332)-1)*(AD332)*(1-(AD332)))*H332*(Z332)*(1-(Z332))*1)+((((AK332)-0)*(AK332)*(1-(AK332)))*H332*(AG332)*(1-(AG332))*1))</f>
        <v>3.4254112783741526</v>
      </c>
      <c r="C333" s="29">
        <f t="shared" ref="C333:C396" si="220">C332-$C$6*(((((P332)-0)*(P332)*(1-(P332)))*H332*(L332)*(1-(L332))*0)+((((W332)-1)*(W332)*(1-(W332)))*H332*(S332)*(1-(S332))*1)+((((AD332)-1)*(AD332)*(1-(AD332)))*H332*(Z332)*(1-(Z332))*0)+((((AK332)-0)*(AK332)*(1-(AK332)))*H332*(AG332)*(1-(AG332))*1))</f>
        <v>-3.931381251098073</v>
      </c>
      <c r="D333" s="29">
        <f t="shared" ref="D333:D396" si="221">D332-$C$6*(((((P332)-0)*(P332)*(1-(P332)))*H332*(L332)*(1-(L332)))+((((W332)-1)*(W332)*(1-(W332)))*H332*(S332)*(1-(S332)))+((((AD332)-1)*(AD332)*(1-(AD332)))*H332*(Z332)*(1-(Z332)))+((((AK332)-0)*(AK332)*(1-(AK332)))*H332*(AG332)*(1-(AG332))))</f>
        <v>-2.7664804257344811</v>
      </c>
      <c r="E333" s="29">
        <f t="shared" ref="E333:E396" si="222">E332-$C$6*(((((P332)-0)*(P332)*(1-(P332)))*I332*(N332)*(1-(N332))*0)+((((W332)-1)*(W332)*(1-(W332)))*I332*(U332)*(1-(U332))*0)+((((AD332)-1)*(AD332)*(1-(AD332)))*I332*(AB332)*(1-(AB332))*1)+((((AK332)-0)*(AK332)*(1-(AK332)))*I332*(AI332)*(1-(AI332))*1))</f>
        <v>-0.22844373221513939</v>
      </c>
      <c r="F333" s="29">
        <f t="shared" ref="F333:F396" si="223">F332-$C$6*(((((P332)-0)*(P332)*(1-(P332)))*I332*(N332)*(1-(N332))*0)+((((W332)-1)*(W332)*(1-(W332)))*I332*(U332)*(1-(U332))*1)+((((AD332)-1)*(AD332)*(1-(AD332)))*I332*(AB332)*(1-(AB332))*0)+((((AK332)-0)*(AK332)*(1-(AK332)))*I332*(AI332)*(1-(AI332))*1))</f>
        <v>0.40867633486420507</v>
      </c>
      <c r="G333" s="29">
        <f t="shared" ref="G333:G396" si="224">G332-$C$6*(((((P332)-0)*(P332)*(1-(P332)))*I332*(N332)*(1-(N332)))+((((W332)-1)*(W332)*(1-(W332)))*I332*(U332)*(1-(U332)))+((((AD332)-1)*(AD332)*(1-(AD332)))*I332*(AB332)*(1-(AB332)))+((((AK332)-0)*(AK332)*(1-(AK332)))*I332*(AI332)*(1-(AI332))))</f>
        <v>0.87611360994372967</v>
      </c>
      <c r="H333" s="29">
        <f t="shared" ref="H333:H396" si="225">H332-$C$6*((((P332)-0)*(P332)*(1-(P332))*L332)+(((W332)-1)*(W332)*(1-(W332))*S332)+(((AD332)-1)*(AD332)*(1-(AD332))*Z332)+(((AK332)-0)*(AK332)*(1-(AK332))*AG332))</f>
        <v>3.3678138964050306</v>
      </c>
      <c r="I333" s="29">
        <f t="shared" ref="I333:I396" si="226">I332-$C$6*((((P332)-0)*(P332)*(1-(P332))*N332)+(((W332)-1)*(W332)*(1-(W332))*U332)+(((AD332)-1)*(AD332)*(1-(AD332))*AB332)+(((AK332)-0)*(AK332)*(1-(AK332))*AI332))</f>
        <v>1.7280812698299036E-2</v>
      </c>
      <c r="J333" s="29">
        <f t="shared" ref="J333:J396" si="227">J332-$C$6*((((P332)-0)*(P332)*(1-(P332)))+(((W332)-1)*(W332)*(1-(W332)))+(((AD332)-1)*(AD332)*(1-(AD332)))+(((AK332)-0)*(AK332)*(1-(AK332))))</f>
        <v>-0.67672248620048725</v>
      </c>
      <c r="K333" s="26">
        <f t="shared" si="190"/>
        <v>-2.7664804257344811</v>
      </c>
      <c r="L333" s="26">
        <f t="shared" si="191"/>
        <v>5.9162617730158192E-2</v>
      </c>
      <c r="M333" s="26">
        <f t="shared" si="192"/>
        <v>0.87611360994372967</v>
      </c>
      <c r="N333" s="26">
        <f t="shared" si="193"/>
        <v>0.70601621874612097</v>
      </c>
      <c r="O333" s="26">
        <f t="shared" si="194"/>
        <v>-0.46527326602304886</v>
      </c>
      <c r="P333" s="26">
        <f t="shared" si="195"/>
        <v>0.38573560655321321</v>
      </c>
      <c r="Q333" s="26">
        <f t="shared" si="196"/>
        <v>7.4395979081487651E-2</v>
      </c>
      <c r="R333" s="26">
        <f t="shared" si="197"/>
        <v>-6.6978616768325541</v>
      </c>
      <c r="S333" s="26">
        <f t="shared" si="198"/>
        <v>1.2320270432213632E-3</v>
      </c>
      <c r="T333" s="26">
        <f t="shared" si="199"/>
        <v>1.2847899448079347</v>
      </c>
      <c r="U333" s="26">
        <f t="shared" si="200"/>
        <v>0.78326402782831117</v>
      </c>
      <c r="V333" s="26">
        <f t="shared" si="201"/>
        <v>-0.65903780944536317</v>
      </c>
      <c r="W333" s="26">
        <f t="shared" si="202"/>
        <v>0.34095578741971322</v>
      </c>
      <c r="X333" s="26">
        <f t="shared" si="203"/>
        <v>0.21716963706778511</v>
      </c>
      <c r="Y333" s="26">
        <f t="shared" si="204"/>
        <v>0.65893085263967155</v>
      </c>
      <c r="Z333" s="26">
        <f t="shared" si="205"/>
        <v>0.65902017844902916</v>
      </c>
      <c r="AA333" s="26">
        <f t="shared" si="206"/>
        <v>0.6476698777285903</v>
      </c>
      <c r="AB333" s="26">
        <f t="shared" si="207"/>
        <v>0.6564851830070938</v>
      </c>
      <c r="AC333" s="26">
        <f t="shared" si="208"/>
        <v>1.5540794262782303</v>
      </c>
      <c r="AD333" s="26">
        <f t="shared" si="209"/>
        <v>0.825502146987802</v>
      </c>
      <c r="AE333" s="26">
        <f t="shared" si="210"/>
        <v>1.5224750352933329E-2</v>
      </c>
      <c r="AF333" s="26">
        <f t="shared" si="211"/>
        <v>-3.2724503984584015</v>
      </c>
      <c r="AG333" s="26">
        <f t="shared" si="212"/>
        <v>3.6528490549579309E-2</v>
      </c>
      <c r="AH333" s="26">
        <f t="shared" si="213"/>
        <v>1.0563462125927954</v>
      </c>
      <c r="AI333" s="26">
        <f t="shared" si="214"/>
        <v>0.74199168285053463</v>
      </c>
      <c r="AJ333" s="26">
        <f t="shared" si="215"/>
        <v>-0.54087910881787837</v>
      </c>
      <c r="AK333" s="26">
        <f t="shared" si="216"/>
        <v>0.36798310285514935</v>
      </c>
      <c r="AL333" s="26">
        <f t="shared" si="217"/>
        <v>6.7705781993451716E-2</v>
      </c>
      <c r="AM333" s="27">
        <f t="shared" si="218"/>
        <v>0.37449614849565782</v>
      </c>
    </row>
    <row r="334" spans="1:39" ht="15" customHeight="1" x14ac:dyDescent="0.2">
      <c r="A334" s="24">
        <v>323</v>
      </c>
      <c r="B334" s="29">
        <f t="shared" si="219"/>
        <v>3.4342901955347207</v>
      </c>
      <c r="C334" s="29">
        <f t="shared" si="220"/>
        <v>-3.9409114027847774</v>
      </c>
      <c r="D334" s="29">
        <f t="shared" si="221"/>
        <v>-2.7741212533728801</v>
      </c>
      <c r="E334" s="29">
        <f t="shared" si="222"/>
        <v>-0.22862890282607493</v>
      </c>
      <c r="F334" s="29">
        <f t="shared" si="223"/>
        <v>0.40882764852916126</v>
      </c>
      <c r="G334" s="29">
        <f t="shared" si="224"/>
        <v>0.87603505885545907</v>
      </c>
      <c r="H334" s="29">
        <f t="shared" si="225"/>
        <v>3.3760280464427979</v>
      </c>
      <c r="I334" s="29">
        <f t="shared" si="226"/>
        <v>2.1746645768949496E-2</v>
      </c>
      <c r="J334" s="29">
        <f t="shared" si="227"/>
        <v>-0.68047586721216158</v>
      </c>
      <c r="K334" s="26">
        <f t="shared" si="190"/>
        <v>-2.7741212533728801</v>
      </c>
      <c r="L334" s="26">
        <f t="shared" si="191"/>
        <v>5.8738740741104613E-2</v>
      </c>
      <c r="M334" s="26">
        <f t="shared" si="192"/>
        <v>0.87603505885545907</v>
      </c>
      <c r="N334" s="26">
        <f t="shared" si="193"/>
        <v>0.70599991462910605</v>
      </c>
      <c r="O334" s="26">
        <f t="shared" si="194"/>
        <v>-0.46681910100111246</v>
      </c>
      <c r="P334" s="26">
        <f t="shared" si="195"/>
        <v>0.38536939553190608</v>
      </c>
      <c r="Q334" s="26">
        <f t="shared" si="196"/>
        <v>7.4254785506313342E-2</v>
      </c>
      <c r="R334" s="26">
        <f t="shared" si="197"/>
        <v>-6.715032656157657</v>
      </c>
      <c r="S334" s="26">
        <f t="shared" si="198"/>
        <v>1.2110779259733311E-3</v>
      </c>
      <c r="T334" s="26">
        <f t="shared" si="199"/>
        <v>1.2848627073846204</v>
      </c>
      <c r="U334" s="26">
        <f t="shared" si="200"/>
        <v>0.78327637985719145</v>
      </c>
      <c r="V334" s="26">
        <f t="shared" si="201"/>
        <v>-0.65935360019570832</v>
      </c>
      <c r="W334" s="26">
        <f t="shared" si="202"/>
        <v>0.34088483124293723</v>
      </c>
      <c r="X334" s="26">
        <f t="shared" si="203"/>
        <v>0.21721640284282567</v>
      </c>
      <c r="Y334" s="26">
        <f t="shared" si="204"/>
        <v>0.66016894216184063</v>
      </c>
      <c r="Z334" s="26">
        <f t="shared" si="205"/>
        <v>0.65929833794343895</v>
      </c>
      <c r="AA334" s="26">
        <f t="shared" si="206"/>
        <v>0.64740615602938412</v>
      </c>
      <c r="AB334" s="26">
        <f t="shared" si="207"/>
        <v>0.65642570804297029</v>
      </c>
      <c r="AC334" s="26">
        <f t="shared" si="208"/>
        <v>1.5596088700044524</v>
      </c>
      <c r="AD334" s="26">
        <f t="shared" si="209"/>
        <v>0.82629722120896854</v>
      </c>
      <c r="AE334" s="26">
        <f t="shared" si="210"/>
        <v>1.5086327679863005E-2</v>
      </c>
      <c r="AF334" s="26">
        <f t="shared" si="211"/>
        <v>-3.2807424606229367</v>
      </c>
      <c r="AG334" s="26">
        <f t="shared" si="212"/>
        <v>3.6237777303498857E-2</v>
      </c>
      <c r="AH334" s="26">
        <f t="shared" si="213"/>
        <v>1.0562338045585453</v>
      </c>
      <c r="AI334" s="26">
        <f t="shared" si="214"/>
        <v>0.74197016286823925</v>
      </c>
      <c r="AJ334" s="26">
        <f t="shared" si="215"/>
        <v>-0.54200075239177581</v>
      </c>
      <c r="AK334" s="26">
        <f t="shared" si="216"/>
        <v>0.36772227913215988</v>
      </c>
      <c r="AL334" s="26">
        <f t="shared" si="217"/>
        <v>6.7609837285075053E-2</v>
      </c>
      <c r="AM334" s="27">
        <f t="shared" si="218"/>
        <v>0.37416735331407702</v>
      </c>
    </row>
    <row r="335" spans="1:39" ht="15" customHeight="1" x14ac:dyDescent="0.2">
      <c r="A335" s="24">
        <v>324</v>
      </c>
      <c r="B335" s="29">
        <f t="shared" si="219"/>
        <v>3.4431161635170255</v>
      </c>
      <c r="C335" s="29">
        <f t="shared" si="220"/>
        <v>-3.950387218063836</v>
      </c>
      <c r="D335" s="29">
        <f t="shared" si="221"/>
        <v>-2.7817281686041255</v>
      </c>
      <c r="E335" s="29">
        <f t="shared" si="222"/>
        <v>-0.22886258090049538</v>
      </c>
      <c r="F335" s="29">
        <f t="shared" si="223"/>
        <v>0.40901838586903744</v>
      </c>
      <c r="G335" s="29">
        <f t="shared" si="224"/>
        <v>0.87593605921702722</v>
      </c>
      <c r="H335" s="29">
        <f t="shared" si="225"/>
        <v>3.3841849621425384</v>
      </c>
      <c r="I335" s="29">
        <f t="shared" si="226"/>
        <v>2.6230591471362974E-2</v>
      </c>
      <c r="J335" s="29">
        <f t="shared" si="227"/>
        <v>-0.68422764733386865</v>
      </c>
      <c r="K335" s="26">
        <f t="shared" si="190"/>
        <v>-2.7817281686041255</v>
      </c>
      <c r="L335" s="26">
        <f t="shared" si="191"/>
        <v>5.8319574809277401E-2</v>
      </c>
      <c r="M335" s="26">
        <f t="shared" si="192"/>
        <v>0.87593605921702722</v>
      </c>
      <c r="N335" s="26">
        <f t="shared" si="193"/>
        <v>0.70597936544561102</v>
      </c>
      <c r="O335" s="26">
        <f t="shared" si="194"/>
        <v>-0.46834516294354939</v>
      </c>
      <c r="P335" s="26">
        <f t="shared" si="195"/>
        <v>0.38500799605899216</v>
      </c>
      <c r="Q335" s="26">
        <f t="shared" si="196"/>
        <v>7.4115578514680466E-2</v>
      </c>
      <c r="R335" s="26">
        <f t="shared" si="197"/>
        <v>-6.7321153866679619</v>
      </c>
      <c r="S335" s="26">
        <f t="shared" si="198"/>
        <v>1.1905895367263764E-3</v>
      </c>
      <c r="T335" s="26">
        <f t="shared" si="199"/>
        <v>1.2849544450860646</v>
      </c>
      <c r="U335" s="26">
        <f t="shared" si="200"/>
        <v>0.78329195233945881</v>
      </c>
      <c r="V335" s="26">
        <f t="shared" si="201"/>
        <v>-0.65965226092297236</v>
      </c>
      <c r="W335" s="26">
        <f t="shared" si="202"/>
        <v>0.34081773063419613</v>
      </c>
      <c r="X335" s="26">
        <f t="shared" si="203"/>
        <v>0.21726063212312557</v>
      </c>
      <c r="Y335" s="26">
        <f t="shared" si="204"/>
        <v>0.66138799491290001</v>
      </c>
      <c r="Z335" s="26">
        <f t="shared" si="205"/>
        <v>0.65957211329759724</v>
      </c>
      <c r="AA335" s="26">
        <f t="shared" si="206"/>
        <v>0.64707347831653184</v>
      </c>
      <c r="AB335" s="26">
        <f t="shared" si="207"/>
        <v>0.65635067500244548</v>
      </c>
      <c r="AC335" s="26">
        <f t="shared" si="208"/>
        <v>1.5651028463543768</v>
      </c>
      <c r="AD335" s="26">
        <f t="shared" si="209"/>
        <v>0.8270843592545597</v>
      </c>
      <c r="AE335" s="26">
        <f t="shared" si="210"/>
        <v>1.4949909407203088E-2</v>
      </c>
      <c r="AF335" s="26">
        <f t="shared" si="211"/>
        <v>-3.288999223150936</v>
      </c>
      <c r="AG335" s="26">
        <f t="shared" si="212"/>
        <v>3.5950514778645963E-2</v>
      </c>
      <c r="AH335" s="26">
        <f t="shared" si="213"/>
        <v>1.0560918641855692</v>
      </c>
      <c r="AI335" s="26">
        <f t="shared" si="214"/>
        <v>0.74194298738803388</v>
      </c>
      <c r="AJ335" s="26">
        <f t="shared" si="215"/>
        <v>-0.54310285244147383</v>
      </c>
      <c r="AK335" s="26">
        <f t="shared" si="216"/>
        <v>0.36746607537627429</v>
      </c>
      <c r="AL335" s="26">
        <f t="shared" si="217"/>
        <v>6.7515658276220844E-2</v>
      </c>
      <c r="AM335" s="27">
        <f t="shared" si="218"/>
        <v>0.37384177832123</v>
      </c>
    </row>
    <row r="336" spans="1:39" ht="15" customHeight="1" x14ac:dyDescent="0.2">
      <c r="A336" s="24">
        <v>325</v>
      </c>
      <c r="B336" s="29">
        <f t="shared" si="219"/>
        <v>3.4518896914369597</v>
      </c>
      <c r="C336" s="29">
        <f t="shared" si="220"/>
        <v>-3.9598091414399361</v>
      </c>
      <c r="D336" s="29">
        <f t="shared" si="221"/>
        <v>-2.7893012951067826</v>
      </c>
      <c r="E336" s="29">
        <f t="shared" si="222"/>
        <v>-0.22914522546005289</v>
      </c>
      <c r="F336" s="29">
        <f t="shared" si="223"/>
        <v>0.409248816431727</v>
      </c>
      <c r="G336" s="29">
        <f t="shared" si="224"/>
        <v>0.87581645240541495</v>
      </c>
      <c r="H336" s="29">
        <f t="shared" si="225"/>
        <v>3.3922852111860817</v>
      </c>
      <c r="I336" s="29">
        <f t="shared" si="226"/>
        <v>3.0733112252649269E-2</v>
      </c>
      <c r="J336" s="29">
        <f t="shared" si="227"/>
        <v>-0.68797828856922438</v>
      </c>
      <c r="K336" s="26">
        <f t="shared" si="190"/>
        <v>-2.7893012951067826</v>
      </c>
      <c r="L336" s="26">
        <f t="shared" si="191"/>
        <v>5.7905059298347841E-2</v>
      </c>
      <c r="M336" s="26">
        <f t="shared" si="192"/>
        <v>0.87581645240541495</v>
      </c>
      <c r="N336" s="26">
        <f t="shared" si="193"/>
        <v>0.7059545377489479</v>
      </c>
      <c r="O336" s="26">
        <f t="shared" si="194"/>
        <v>-0.46985163220468035</v>
      </c>
      <c r="P336" s="26">
        <f t="shared" si="195"/>
        <v>0.38465136087729035</v>
      </c>
      <c r="Q336" s="26">
        <f t="shared" si="196"/>
        <v>7.3978334712375721E-2</v>
      </c>
      <c r="R336" s="26">
        <f t="shared" si="197"/>
        <v>-6.7491104365467187</v>
      </c>
      <c r="S336" s="26">
        <f t="shared" si="198"/>
        <v>1.1705498631854893E-3</v>
      </c>
      <c r="T336" s="26">
        <f t="shared" si="199"/>
        <v>1.285065268837142</v>
      </c>
      <c r="U336" s="26">
        <f t="shared" si="200"/>
        <v>0.78331076360070084</v>
      </c>
      <c r="V336" s="26">
        <f t="shared" si="201"/>
        <v>-0.65993387195293562</v>
      </c>
      <c r="W336" s="26">
        <f t="shared" si="202"/>
        <v>0.34075446645354385</v>
      </c>
      <c r="X336" s="26">
        <f t="shared" si="203"/>
        <v>0.21730233675047586</v>
      </c>
      <c r="Y336" s="26">
        <f t="shared" si="204"/>
        <v>0.66258839633017708</v>
      </c>
      <c r="Z336" s="26">
        <f t="shared" si="205"/>
        <v>0.65984159586740854</v>
      </c>
      <c r="AA336" s="26">
        <f t="shared" si="206"/>
        <v>0.64667122694536205</v>
      </c>
      <c r="AB336" s="26">
        <f t="shared" si="207"/>
        <v>0.6562599397037262</v>
      </c>
      <c r="AC336" s="26">
        <f t="shared" si="208"/>
        <v>1.5705615092110401</v>
      </c>
      <c r="AD336" s="26">
        <f t="shared" si="209"/>
        <v>0.82786364111110389</v>
      </c>
      <c r="AE336" s="26">
        <f t="shared" si="210"/>
        <v>1.4815463025763422E-2</v>
      </c>
      <c r="AF336" s="26">
        <f t="shared" si="211"/>
        <v>-3.297220745109759</v>
      </c>
      <c r="AG336" s="26">
        <f t="shared" si="212"/>
        <v>3.5666657222076653E-2</v>
      </c>
      <c r="AH336" s="26">
        <f t="shared" si="213"/>
        <v>1.055920043377089</v>
      </c>
      <c r="AI336" s="26">
        <f t="shared" si="214"/>
        <v>0.7419100885915092</v>
      </c>
      <c r="AJ336" s="26">
        <f t="shared" si="215"/>
        <v>-0.5441856087082747</v>
      </c>
      <c r="AK336" s="26">
        <f t="shared" si="216"/>
        <v>0.36721444131909403</v>
      </c>
      <c r="AL336" s="26">
        <f t="shared" si="217"/>
        <v>6.7423222956647183E-2</v>
      </c>
      <c r="AM336" s="27">
        <f t="shared" si="218"/>
        <v>0.37351935744526221</v>
      </c>
    </row>
    <row r="337" spans="1:39" ht="15" customHeight="1" x14ac:dyDescent="0.2">
      <c r="A337" s="24">
        <v>326</v>
      </c>
      <c r="B337" s="29">
        <f t="shared" si="219"/>
        <v>3.4606112863539167</v>
      </c>
      <c r="C337" s="29">
        <f t="shared" si="220"/>
        <v>-3.9691776168248194</v>
      </c>
      <c r="D337" s="29">
        <f t="shared" si="221"/>
        <v>-2.796840759062504</v>
      </c>
      <c r="E337" s="29">
        <f t="shared" si="222"/>
        <v>-0.22947729991122071</v>
      </c>
      <c r="F337" s="29">
        <f t="shared" si="223"/>
        <v>0.40951920378302048</v>
      </c>
      <c r="G337" s="29">
        <f t="shared" si="224"/>
        <v>0.8756760693819543</v>
      </c>
      <c r="H337" s="29">
        <f t="shared" si="225"/>
        <v>3.4003293596464554</v>
      </c>
      <c r="I337" s="29">
        <f t="shared" si="226"/>
        <v>3.525468400348461E-2</v>
      </c>
      <c r="J337" s="29">
        <f t="shared" si="227"/>
        <v>-0.691728257394708</v>
      </c>
      <c r="K337" s="26">
        <f t="shared" si="190"/>
        <v>-2.796840759062504</v>
      </c>
      <c r="L337" s="26">
        <f t="shared" si="191"/>
        <v>5.7495134269630245E-2</v>
      </c>
      <c r="M337" s="26">
        <f t="shared" si="192"/>
        <v>0.8756760693819543</v>
      </c>
      <c r="N337" s="26">
        <f t="shared" si="193"/>
        <v>0.7059253958154007</v>
      </c>
      <c r="O337" s="26">
        <f t="shared" si="194"/>
        <v>-0.47133868754136243</v>
      </c>
      <c r="P337" s="26">
        <f t="shared" si="195"/>
        <v>0.38429944320242382</v>
      </c>
      <c r="Q337" s="26">
        <f t="shared" si="196"/>
        <v>7.3843031022846492E-2</v>
      </c>
      <c r="R337" s="26">
        <f t="shared" si="197"/>
        <v>-6.7660183758873238</v>
      </c>
      <c r="S337" s="26">
        <f t="shared" si="198"/>
        <v>1.1509472431254139E-3</v>
      </c>
      <c r="T337" s="26">
        <f t="shared" si="199"/>
        <v>1.2851952731649747</v>
      </c>
      <c r="U337" s="26">
        <f t="shared" si="200"/>
        <v>0.78333282907400681</v>
      </c>
      <c r="V337" s="26">
        <f t="shared" si="201"/>
        <v>-0.66019850633394483</v>
      </c>
      <c r="W337" s="26">
        <f t="shared" si="202"/>
        <v>0.34069502126407308</v>
      </c>
      <c r="X337" s="26">
        <f t="shared" si="203"/>
        <v>0.21734152749299049</v>
      </c>
      <c r="Y337" s="26">
        <f t="shared" si="204"/>
        <v>0.66377052729141273</v>
      </c>
      <c r="Z337" s="26">
        <f t="shared" si="205"/>
        <v>0.66010687579034999</v>
      </c>
      <c r="AA337" s="26">
        <f t="shared" si="206"/>
        <v>0.64619876947073362</v>
      </c>
      <c r="AB337" s="26">
        <f t="shared" si="207"/>
        <v>0.65615335354209114</v>
      </c>
      <c r="AC337" s="26">
        <f t="shared" si="208"/>
        <v>1.5759850119966683</v>
      </c>
      <c r="AD337" s="26">
        <f t="shared" si="209"/>
        <v>0.82863514596565213</v>
      </c>
      <c r="AE337" s="26">
        <f t="shared" si="210"/>
        <v>1.4682956599106676E-2</v>
      </c>
      <c r="AF337" s="26">
        <f t="shared" si="211"/>
        <v>-3.3054070895334067</v>
      </c>
      <c r="AG337" s="26">
        <f t="shared" si="212"/>
        <v>3.5386159408525741E-2</v>
      </c>
      <c r="AH337" s="26">
        <f t="shared" si="213"/>
        <v>1.055717973253754</v>
      </c>
      <c r="AI337" s="26">
        <f t="shared" si="214"/>
        <v>0.74187139441215366</v>
      </c>
      <c r="AJ337" s="26">
        <f t="shared" si="215"/>
        <v>-0.54524921905154333</v>
      </c>
      <c r="AK337" s="26">
        <f t="shared" si="216"/>
        <v>0.36696732723947073</v>
      </c>
      <c r="AL337" s="26">
        <f t="shared" si="217"/>
        <v>6.73325096306404E-2</v>
      </c>
      <c r="AM337" s="27">
        <f t="shared" si="218"/>
        <v>0.37320002474558406</v>
      </c>
    </row>
    <row r="338" spans="1:39" ht="15" customHeight="1" x14ac:dyDescent="0.2">
      <c r="A338" s="24">
        <v>327</v>
      </c>
      <c r="B338" s="29">
        <f t="shared" si="219"/>
        <v>3.4692814531941183</v>
      </c>
      <c r="C338" s="29">
        <f t="shared" si="220"/>
        <v>-3.9784930873842148</v>
      </c>
      <c r="D338" s="29">
        <f t="shared" si="221"/>
        <v>-2.8043466889824478</v>
      </c>
      <c r="E338" s="29">
        <f t="shared" si="222"/>
        <v>-0.22985927238837625</v>
      </c>
      <c r="F338" s="29">
        <f t="shared" si="223"/>
        <v>0.40982980555475773</v>
      </c>
      <c r="G338" s="29">
        <f t="shared" si="224"/>
        <v>0.87551473041000538</v>
      </c>
      <c r="H338" s="29">
        <f t="shared" si="225"/>
        <v>3.4083179718518215</v>
      </c>
      <c r="I338" s="29">
        <f t="shared" si="226"/>
        <v>3.9795796049714893E-2</v>
      </c>
      <c r="J338" s="29">
        <f t="shared" si="227"/>
        <v>-0.69547802466680209</v>
      </c>
      <c r="K338" s="26">
        <f t="shared" si="190"/>
        <v>-2.8043466889824478</v>
      </c>
      <c r="L338" s="26">
        <f t="shared" si="191"/>
        <v>5.7089740484496485E-2</v>
      </c>
      <c r="M338" s="26">
        <f t="shared" si="192"/>
        <v>0.87551473041000538</v>
      </c>
      <c r="N338" s="26">
        <f t="shared" si="193"/>
        <v>0.70589190158212856</v>
      </c>
      <c r="O338" s="26">
        <f t="shared" si="194"/>
        <v>-0.47280650601662838</v>
      </c>
      <c r="P338" s="26">
        <f t="shared" si="195"/>
        <v>0.38395219674438003</v>
      </c>
      <c r="Q338" s="26">
        <f t="shared" si="196"/>
        <v>7.3709644692417559E-2</v>
      </c>
      <c r="R338" s="26">
        <f t="shared" si="197"/>
        <v>-6.7828397763666626</v>
      </c>
      <c r="S338" s="26">
        <f t="shared" si="198"/>
        <v>1.1317703535662707E-3</v>
      </c>
      <c r="T338" s="26">
        <f t="shared" si="199"/>
        <v>1.2853445359647631</v>
      </c>
      <c r="U338" s="26">
        <f t="shared" si="200"/>
        <v>0.78335816125936153</v>
      </c>
      <c r="V338" s="26">
        <f t="shared" si="201"/>
        <v>-0.6604462298113758</v>
      </c>
      <c r="W338" s="26">
        <f t="shared" si="202"/>
        <v>0.34063937933612898</v>
      </c>
      <c r="X338" s="26">
        <f t="shared" si="203"/>
        <v>0.21737821404112262</v>
      </c>
      <c r="Y338" s="26">
        <f t="shared" si="204"/>
        <v>0.66493476421167053</v>
      </c>
      <c r="Z338" s="26">
        <f t="shared" si="205"/>
        <v>0.66036804201326649</v>
      </c>
      <c r="AA338" s="26">
        <f t="shared" si="206"/>
        <v>0.64565545802162916</v>
      </c>
      <c r="AB338" s="26">
        <f t="shared" si="207"/>
        <v>0.65603076331793575</v>
      </c>
      <c r="AC338" s="26">
        <f t="shared" si="208"/>
        <v>1.5813735074229522</v>
      </c>
      <c r="AD338" s="26">
        <f t="shared" si="209"/>
        <v>0.8293989521752887</v>
      </c>
      <c r="AE338" s="26">
        <f t="shared" si="210"/>
        <v>1.4552358759444717E-2</v>
      </c>
      <c r="AF338" s="26">
        <f t="shared" si="211"/>
        <v>-3.3135583231725443</v>
      </c>
      <c r="AG338" s="26">
        <f t="shared" si="212"/>
        <v>3.510897664422729E-2</v>
      </c>
      <c r="AH338" s="26">
        <f t="shared" si="213"/>
        <v>1.0554852635763869</v>
      </c>
      <c r="AI338" s="26">
        <f t="shared" si="214"/>
        <v>0.74182682841293546</v>
      </c>
      <c r="AJ338" s="26">
        <f t="shared" si="215"/>
        <v>-0.54629387942922836</v>
      </c>
      <c r="AK338" s="26">
        <f t="shared" si="216"/>
        <v>0.3667246839658449</v>
      </c>
      <c r="AL338" s="26">
        <f t="shared" si="217"/>
        <v>6.7243496914924414E-2</v>
      </c>
      <c r="AM338" s="27">
        <f t="shared" si="218"/>
        <v>0.37288371440790929</v>
      </c>
    </row>
    <row r="339" spans="1:39" ht="15" customHeight="1" x14ac:dyDescent="0.2">
      <c r="A339" s="24">
        <v>328</v>
      </c>
      <c r="B339" s="29">
        <f t="shared" si="219"/>
        <v>3.4779006946827633</v>
      </c>
      <c r="C339" s="29">
        <f t="shared" si="220"/>
        <v>-3.9877559953931754</v>
      </c>
      <c r="D339" s="29">
        <f t="shared" si="221"/>
        <v>-2.8118192155376822</v>
      </c>
      <c r="E339" s="29">
        <f t="shared" si="222"/>
        <v>-0.23029161610110965</v>
      </c>
      <c r="F339" s="29">
        <f t="shared" si="223"/>
        <v>0.41018087349022947</v>
      </c>
      <c r="G339" s="29">
        <f t="shared" si="224"/>
        <v>0.87533224476891902</v>
      </c>
      <c r="H339" s="29">
        <f t="shared" si="225"/>
        <v>3.416251610260673</v>
      </c>
      <c r="I339" s="29">
        <f t="shared" si="226"/>
        <v>4.4356951150590226E-2</v>
      </c>
      <c r="J339" s="29">
        <f t="shared" si="227"/>
        <v>-0.69922806553206218</v>
      </c>
      <c r="K339" s="26">
        <f t="shared" si="190"/>
        <v>-2.8118192155376822</v>
      </c>
      <c r="L339" s="26">
        <f t="shared" si="191"/>
        <v>5.6688819406198791E-2</v>
      </c>
      <c r="M339" s="26">
        <f t="shared" si="192"/>
        <v>0.87533224476891902</v>
      </c>
      <c r="N339" s="26">
        <f t="shared" si="193"/>
        <v>0.7058540145839769</v>
      </c>
      <c r="O339" s="26">
        <f t="shared" si="194"/>
        <v>-0.47425526290750963</v>
      </c>
      <c r="P339" s="26">
        <f t="shared" si="195"/>
        <v>0.38360957572802701</v>
      </c>
      <c r="Q339" s="26">
        <f t="shared" si="196"/>
        <v>7.3578153295118451E-2</v>
      </c>
      <c r="R339" s="26">
        <f t="shared" si="197"/>
        <v>-6.7995752109308576</v>
      </c>
      <c r="S339" s="26">
        <f t="shared" si="198"/>
        <v>1.113008200284741E-3</v>
      </c>
      <c r="T339" s="26">
        <f t="shared" si="199"/>
        <v>1.2855131182591486</v>
      </c>
      <c r="U339" s="26">
        <f t="shared" si="200"/>
        <v>0.78338676968240883</v>
      </c>
      <c r="V339" s="26">
        <f t="shared" si="201"/>
        <v>-0.66067710080078479</v>
      </c>
      <c r="W339" s="26">
        <f t="shared" si="202"/>
        <v>0.3405875266519432</v>
      </c>
      <c r="X339" s="26">
        <f t="shared" si="203"/>
        <v>0.2174124050035009</v>
      </c>
      <c r="Y339" s="26">
        <f t="shared" si="204"/>
        <v>0.66608147914508109</v>
      </c>
      <c r="Z339" s="26">
        <f t="shared" si="205"/>
        <v>0.66062518232106682</v>
      </c>
      <c r="AA339" s="26">
        <f t="shared" si="206"/>
        <v>0.64504062866780942</v>
      </c>
      <c r="AB339" s="26">
        <f t="shared" si="207"/>
        <v>0.65589201106199346</v>
      </c>
      <c r="AC339" s="26">
        <f t="shared" si="208"/>
        <v>1.5867271472457722</v>
      </c>
      <c r="AD339" s="26">
        <f t="shared" si="209"/>
        <v>0.83015513723811751</v>
      </c>
      <c r="AE339" s="26">
        <f t="shared" si="210"/>
        <v>1.4423638703301348E-2</v>
      </c>
      <c r="AF339" s="26">
        <f t="shared" si="211"/>
        <v>-3.3216745162480943</v>
      </c>
      <c r="AG339" s="26">
        <f t="shared" si="212"/>
        <v>3.4835064770193248E-2</v>
      </c>
      <c r="AH339" s="26">
        <f t="shared" si="213"/>
        <v>1.0552215021580389</v>
      </c>
      <c r="AI339" s="26">
        <f t="shared" si="214"/>
        <v>0.74177630966076147</v>
      </c>
      <c r="AJ339" s="26">
        <f t="shared" si="215"/>
        <v>-0.54731978388506719</v>
      </c>
      <c r="AK339" s="26">
        <f t="shared" si="216"/>
        <v>0.3664864628770455</v>
      </c>
      <c r="AL339" s="26">
        <f t="shared" si="217"/>
        <v>6.715616373606402E-2</v>
      </c>
      <c r="AM339" s="27">
        <f t="shared" si="218"/>
        <v>0.37257036073798472</v>
      </c>
    </row>
    <row r="340" spans="1:39" ht="15" customHeight="1" x14ac:dyDescent="0.2">
      <c r="A340" s="24">
        <v>329</v>
      </c>
      <c r="B340" s="29">
        <f t="shared" si="219"/>
        <v>3.48646951128468</v>
      </c>
      <c r="C340" s="29">
        <f t="shared" si="220"/>
        <v>-3.9969667820995052</v>
      </c>
      <c r="D340" s="29">
        <f t="shared" si="221"/>
        <v>-2.8192584713934719</v>
      </c>
      <c r="E340" s="29">
        <f t="shared" si="222"/>
        <v>-0.23077480968598688</v>
      </c>
      <c r="F340" s="29">
        <f t="shared" si="223"/>
        <v>0.41057265348672356</v>
      </c>
      <c r="G340" s="29">
        <f t="shared" si="224"/>
        <v>0.87512841046400025</v>
      </c>
      <c r="H340" s="29">
        <f t="shared" si="225"/>
        <v>3.4241308353478974</v>
      </c>
      <c r="I340" s="29">
        <f t="shared" si="226"/>
        <v>4.8938665504012532E-2</v>
      </c>
      <c r="J340" s="29">
        <f t="shared" si="227"/>
        <v>-0.70297885933998905</v>
      </c>
      <c r="K340" s="26">
        <f t="shared" si="190"/>
        <v>-2.8192584713934719</v>
      </c>
      <c r="L340" s="26">
        <f t="shared" si="191"/>
        <v>5.6292313201132753E-2</v>
      </c>
      <c r="M340" s="26">
        <f t="shared" si="192"/>
        <v>0.87512841046400025</v>
      </c>
      <c r="N340" s="26">
        <f t="shared" si="193"/>
        <v>0.70581169188911996</v>
      </c>
      <c r="O340" s="26">
        <f t="shared" si="194"/>
        <v>-0.47568513161674608</v>
      </c>
      <c r="P340" s="26">
        <f t="shared" si="195"/>
        <v>0.38327153491265986</v>
      </c>
      <c r="Q340" s="26">
        <f t="shared" si="196"/>
        <v>7.3448534737153126E-2</v>
      </c>
      <c r="R340" s="26">
        <f t="shared" si="197"/>
        <v>-6.816225253492977</v>
      </c>
      <c r="S340" s="26">
        <f t="shared" si="198"/>
        <v>1.0946501076514849E-3</v>
      </c>
      <c r="T340" s="26">
        <f t="shared" si="199"/>
        <v>1.2857010639507238</v>
      </c>
      <c r="U340" s="26">
        <f t="shared" si="200"/>
        <v>0.78341866085253575</v>
      </c>
      <c r="V340" s="26">
        <f t="shared" si="201"/>
        <v>-0.66089117035939904</v>
      </c>
      <c r="W340" s="26">
        <f t="shared" si="202"/>
        <v>0.34053945091076704</v>
      </c>
      <c r="X340" s="26">
        <f t="shared" si="203"/>
        <v>0.21744410790253629</v>
      </c>
      <c r="Y340" s="26">
        <f t="shared" si="204"/>
        <v>0.66721103989120811</v>
      </c>
      <c r="Z340" s="26">
        <f t="shared" si="205"/>
        <v>0.66087838336627314</v>
      </c>
      <c r="AA340" s="26">
        <f t="shared" si="206"/>
        <v>0.6443536007780134</v>
      </c>
      <c r="AB340" s="26">
        <f t="shared" si="207"/>
        <v>0.65573693385755816</v>
      </c>
      <c r="AC340" s="26">
        <f t="shared" si="208"/>
        <v>1.5920460820240174</v>
      </c>
      <c r="AD340" s="26">
        <f t="shared" si="209"/>
        <v>0.83090377776562896</v>
      </c>
      <c r="AE340" s="26">
        <f t="shared" si="210"/>
        <v>1.42967661869679E-2</v>
      </c>
      <c r="AF340" s="26">
        <f t="shared" si="211"/>
        <v>-3.3297557422082971</v>
      </c>
      <c r="AG340" s="26">
        <f t="shared" si="212"/>
        <v>3.4564380164978703E-2</v>
      </c>
      <c r="AH340" s="26">
        <f t="shared" si="213"/>
        <v>1.0549262542647369</v>
      </c>
      <c r="AI340" s="26">
        <f t="shared" si="214"/>
        <v>0.74171975259763212</v>
      </c>
      <c r="AJ340" s="26">
        <f t="shared" si="215"/>
        <v>-0.54832712454230381</v>
      </c>
      <c r="AK340" s="26">
        <f t="shared" si="216"/>
        <v>0.36625261590159264</v>
      </c>
      <c r="AL340" s="26">
        <f t="shared" si="217"/>
        <v>6.7070489327379773E-2</v>
      </c>
      <c r="AM340" s="27">
        <f t="shared" si="218"/>
        <v>0.37225989815403704</v>
      </c>
    </row>
    <row r="341" spans="1:39" ht="15" customHeight="1" x14ac:dyDescent="0.2">
      <c r="A341" s="24">
        <v>330</v>
      </c>
      <c r="B341" s="29">
        <f t="shared" si="219"/>
        <v>3.4949884011531869</v>
      </c>
      <c r="C341" s="29">
        <f t="shared" si="220"/>
        <v>-4.0061258875949619</v>
      </c>
      <c r="D341" s="29">
        <f t="shared" si="221"/>
        <v>-2.8266645910473396</v>
      </c>
      <c r="E341" s="29">
        <f t="shared" si="222"/>
        <v>-0.23130933756301314</v>
      </c>
      <c r="F341" s="29">
        <f t="shared" si="223"/>
        <v>0.41100538563512007</v>
      </c>
      <c r="G341" s="29">
        <f t="shared" si="224"/>
        <v>0.87490301393218384</v>
      </c>
      <c r="H341" s="29">
        <f t="shared" si="225"/>
        <v>3.4319562055013142</v>
      </c>
      <c r="I341" s="29">
        <f t="shared" si="226"/>
        <v>5.3541468759187305E-2</v>
      </c>
      <c r="J341" s="29">
        <f t="shared" si="227"/>
        <v>-0.70673088955857089</v>
      </c>
      <c r="K341" s="26">
        <f t="shared" si="190"/>
        <v>-2.8266645910473396</v>
      </c>
      <c r="L341" s="26">
        <f t="shared" si="191"/>
        <v>5.5900164739571323E-2</v>
      </c>
      <c r="M341" s="26">
        <f t="shared" si="192"/>
        <v>0.87490301393218384</v>
      </c>
      <c r="N341" s="26">
        <f t="shared" si="193"/>
        <v>0.70576488803345938</v>
      </c>
      <c r="O341" s="26">
        <f t="shared" si="194"/>
        <v>-0.47709628358807854</v>
      </c>
      <c r="P341" s="26">
        <f t="shared" si="195"/>
        <v>0.38293802961065593</v>
      </c>
      <c r="Q341" s="26">
        <f t="shared" si="196"/>
        <v>7.3320767261045805E-2</v>
      </c>
      <c r="R341" s="26">
        <f t="shared" si="197"/>
        <v>-6.8327904786423019</v>
      </c>
      <c r="S341" s="26">
        <f t="shared" si="198"/>
        <v>1.0766857087855706E-3</v>
      </c>
      <c r="T341" s="26">
        <f t="shared" si="199"/>
        <v>1.285908399567304</v>
      </c>
      <c r="U341" s="26">
        <f t="shared" si="200"/>
        <v>0.78345383822022618</v>
      </c>
      <c r="V341" s="26">
        <f t="shared" si="201"/>
        <v>-0.66108848215559601</v>
      </c>
      <c r="W341" s="26">
        <f t="shared" si="202"/>
        <v>0.3404951415345801</v>
      </c>
      <c r="X341" s="26">
        <f t="shared" si="203"/>
        <v>0.21747332916974679</v>
      </c>
      <c r="Y341" s="26">
        <f t="shared" si="204"/>
        <v>0.66832381010584729</v>
      </c>
      <c r="Z341" s="26">
        <f t="shared" si="205"/>
        <v>0.66112773069938402</v>
      </c>
      <c r="AA341" s="26">
        <f t="shared" si="206"/>
        <v>0.64359367636917075</v>
      </c>
      <c r="AB341" s="26">
        <f t="shared" si="207"/>
        <v>0.65556536365952711</v>
      </c>
      <c r="AC341" s="26">
        <f t="shared" si="208"/>
        <v>1.5973304608821637</v>
      </c>
      <c r="AD341" s="26">
        <f t="shared" si="209"/>
        <v>0.83164494945636458</v>
      </c>
      <c r="AE341" s="26">
        <f t="shared" si="210"/>
        <v>1.4171711521775019E-2</v>
      </c>
      <c r="AF341" s="26">
        <f t="shared" si="211"/>
        <v>-3.3378020774891146</v>
      </c>
      <c r="AG341" s="26">
        <f t="shared" si="212"/>
        <v>3.4296879746961773E-2</v>
      </c>
      <c r="AH341" s="26">
        <f t="shared" si="213"/>
        <v>1.0545990620042907</v>
      </c>
      <c r="AI341" s="26">
        <f t="shared" si="214"/>
        <v>0.74165706690830591</v>
      </c>
      <c r="AJ341" s="26">
        <f t="shared" si="215"/>
        <v>-0.5493160916037515</v>
      </c>
      <c r="AK341" s="26">
        <f t="shared" si="216"/>
        <v>0.36602309551554862</v>
      </c>
      <c r="AL341" s="26">
        <f t="shared" si="217"/>
        <v>6.698645322539222E-2</v>
      </c>
      <c r="AM341" s="27">
        <f t="shared" si="218"/>
        <v>0.37195226117795982</v>
      </c>
    </row>
    <row r="342" spans="1:39" ht="15" customHeight="1" x14ac:dyDescent="0.2">
      <c r="A342" s="24">
        <v>331</v>
      </c>
      <c r="B342" s="29">
        <f t="shared" si="219"/>
        <v>3.5034578600868764</v>
      </c>
      <c r="C342" s="29">
        <f t="shared" si="220"/>
        <v>-4.0152337506939419</v>
      </c>
      <c r="D342" s="29">
        <f t="shared" si="221"/>
        <v>-2.8340377106707928</v>
      </c>
      <c r="E342" s="29">
        <f t="shared" si="222"/>
        <v>-0.23189569029705898</v>
      </c>
      <c r="F342" s="29">
        <f t="shared" si="223"/>
        <v>0.41147930425644547</v>
      </c>
      <c r="G342" s="29">
        <f t="shared" si="224"/>
        <v>0.87465582974312472</v>
      </c>
      <c r="H342" s="29">
        <f t="shared" si="225"/>
        <v>3.4397282769283253</v>
      </c>
      <c r="I342" s="29">
        <f t="shared" si="226"/>
        <v>5.8165904037070795E-2</v>
      </c>
      <c r="J342" s="29">
        <f t="shared" si="227"/>
        <v>-0.71048464369237097</v>
      </c>
      <c r="K342" s="26">
        <f t="shared" si="190"/>
        <v>-2.8340377106707928</v>
      </c>
      <c r="L342" s="26">
        <f t="shared" si="191"/>
        <v>5.5512317595899807E-2</v>
      </c>
      <c r="M342" s="26">
        <f t="shared" si="192"/>
        <v>0.87465582974312472</v>
      </c>
      <c r="N342" s="26">
        <f t="shared" si="193"/>
        <v>0.70571355495369659</v>
      </c>
      <c r="O342" s="26">
        <f t="shared" si="194"/>
        <v>-0.47848888822483177</v>
      </c>
      <c r="P342" s="26">
        <f t="shared" si="195"/>
        <v>0.38260901570530964</v>
      </c>
      <c r="Q342" s="26">
        <f t="shared" si="196"/>
        <v>7.3194829449492946E-2</v>
      </c>
      <c r="R342" s="26">
        <f t="shared" si="197"/>
        <v>-6.8492714613647347</v>
      </c>
      <c r="S342" s="26">
        <f t="shared" si="198"/>
        <v>1.0591049360169009E-3</v>
      </c>
      <c r="T342" s="26">
        <f t="shared" si="199"/>
        <v>1.2861351339995701</v>
      </c>
      <c r="U342" s="26">
        <f t="shared" si="200"/>
        <v>0.78349230213362919</v>
      </c>
      <c r="V342" s="26">
        <f t="shared" si="201"/>
        <v>-0.66126907243603095</v>
      </c>
      <c r="W342" s="26">
        <f t="shared" si="202"/>
        <v>0.34045458967445302</v>
      </c>
      <c r="X342" s="26">
        <f t="shared" si="203"/>
        <v>0.21750007414074704</v>
      </c>
      <c r="Y342" s="26">
        <f t="shared" si="204"/>
        <v>0.66942014941608363</v>
      </c>
      <c r="Z342" s="26">
        <f t="shared" si="205"/>
        <v>0.66137330880001066</v>
      </c>
      <c r="AA342" s="26">
        <f t="shared" si="206"/>
        <v>0.6427601394460658</v>
      </c>
      <c r="AB342" s="26">
        <f t="shared" si="207"/>
        <v>0.65537712711008145</v>
      </c>
      <c r="AC342" s="26">
        <f t="shared" si="208"/>
        <v>1.6025804312762508</v>
      </c>
      <c r="AD342" s="26">
        <f t="shared" si="209"/>
        <v>0.83237872707078775</v>
      </c>
      <c r="AE342" s="26">
        <f t="shared" si="210"/>
        <v>1.4048445569204732E-2</v>
      </c>
      <c r="AF342" s="26">
        <f t="shared" si="211"/>
        <v>-3.3458136012778583</v>
      </c>
      <c r="AG342" s="26">
        <f t="shared" si="212"/>
        <v>3.4032520976164951E-2</v>
      </c>
      <c r="AH342" s="26">
        <f t="shared" si="213"/>
        <v>1.0542394437025111</v>
      </c>
      <c r="AI342" s="26">
        <f t="shared" si="214"/>
        <v>0.7415881573842793</v>
      </c>
      <c r="AJ342" s="26">
        <f t="shared" si="215"/>
        <v>-0.55028687335805793</v>
      </c>
      <c r="AK342" s="26">
        <f t="shared" si="216"/>
        <v>0.36579785473895166</v>
      </c>
      <c r="AL342" s="26">
        <f t="shared" si="217"/>
        <v>6.6904035265809583E-2</v>
      </c>
      <c r="AM342" s="27">
        <f t="shared" si="218"/>
        <v>0.37164738442525425</v>
      </c>
    </row>
    <row r="343" spans="1:39" ht="15" customHeight="1" x14ac:dyDescent="0.2">
      <c r="A343" s="24">
        <v>332</v>
      </c>
      <c r="B343" s="29">
        <f t="shared" si="219"/>
        <v>3.51187838149405</v>
      </c>
      <c r="C343" s="29">
        <f t="shared" si="220"/>
        <v>-4.0242908088193534</v>
      </c>
      <c r="D343" s="29">
        <f t="shared" si="221"/>
        <v>-2.8413779679545983</v>
      </c>
      <c r="E343" s="29">
        <f t="shared" si="222"/>
        <v>-0.23253436496452837</v>
      </c>
      <c r="F343" s="29">
        <f t="shared" si="223"/>
        <v>0.41199463793530428</v>
      </c>
      <c r="G343" s="29">
        <f t="shared" si="224"/>
        <v>0.87438662029540071</v>
      </c>
      <c r="H343" s="29">
        <f t="shared" si="225"/>
        <v>3.4474476035723196</v>
      </c>
      <c r="I343" s="29">
        <f t="shared" si="226"/>
        <v>6.2812527959012224E-2</v>
      </c>
      <c r="J343" s="29">
        <f t="shared" si="227"/>
        <v>-0.71424061320303633</v>
      </c>
      <c r="K343" s="26">
        <f t="shared" si="190"/>
        <v>-2.8413779679545983</v>
      </c>
      <c r="L343" s="26">
        <f t="shared" si="191"/>
        <v>5.5128716048380648E-2</v>
      </c>
      <c r="M343" s="26">
        <f t="shared" si="192"/>
        <v>0.87438662029540071</v>
      </c>
      <c r="N343" s="26">
        <f t="shared" si="193"/>
        <v>0.70565764191900038</v>
      </c>
      <c r="O343" s="26">
        <f t="shared" si="194"/>
        <v>-0.47986311281149974</v>
      </c>
      <c r="P343" s="26">
        <f t="shared" si="195"/>
        <v>0.38228444966792291</v>
      </c>
      <c r="Q343" s="26">
        <f t="shared" si="196"/>
        <v>7.3070700228953345E-2</v>
      </c>
      <c r="R343" s="26">
        <f t="shared" si="197"/>
        <v>-6.8656687767739513</v>
      </c>
      <c r="S343" s="26">
        <f t="shared" si="198"/>
        <v>1.041898011647749E-3</v>
      </c>
      <c r="T343" s="26">
        <f t="shared" si="199"/>
        <v>1.286381258230705</v>
      </c>
      <c r="U343" s="26">
        <f t="shared" si="200"/>
        <v>0.78353404979429286</v>
      </c>
      <c r="V343" s="26">
        <f t="shared" si="201"/>
        <v>-0.66143296999007239</v>
      </c>
      <c r="W343" s="26">
        <f t="shared" si="202"/>
        <v>0.34041778821763985</v>
      </c>
      <c r="X343" s="26">
        <f t="shared" si="203"/>
        <v>0.21752434704985513</v>
      </c>
      <c r="Y343" s="26">
        <f t="shared" si="204"/>
        <v>0.67050041353945167</v>
      </c>
      <c r="Z343" s="26">
        <f t="shared" si="205"/>
        <v>0.66161520110875571</v>
      </c>
      <c r="AA343" s="26">
        <f t="shared" si="206"/>
        <v>0.64185225533087231</v>
      </c>
      <c r="AB343" s="26">
        <f t="shared" si="207"/>
        <v>0.65517204535081131</v>
      </c>
      <c r="AC343" s="26">
        <f t="shared" si="208"/>
        <v>1.6077961387629232</v>
      </c>
      <c r="AD343" s="26">
        <f t="shared" si="209"/>
        <v>0.83310518440728298</v>
      </c>
      <c r="AE343" s="26">
        <f t="shared" si="210"/>
        <v>1.392693973586351E-2</v>
      </c>
      <c r="AF343" s="26">
        <f t="shared" si="211"/>
        <v>-3.3537903952799017</v>
      </c>
      <c r="AG343" s="26">
        <f t="shared" si="212"/>
        <v>3.3771261855644212E-2</v>
      </c>
      <c r="AH343" s="26">
        <f t="shared" si="213"/>
        <v>1.0538468932661766</v>
      </c>
      <c r="AI343" s="26">
        <f t="shared" si="214"/>
        <v>0.74151292378388334</v>
      </c>
      <c r="AJ343" s="26">
        <f t="shared" si="215"/>
        <v>-0.5512396561920383</v>
      </c>
      <c r="AK343" s="26">
        <f t="shared" si="216"/>
        <v>0.36557684713086763</v>
      </c>
      <c r="AL343" s="26">
        <f t="shared" si="217"/>
        <v>6.6823215579072878E-2</v>
      </c>
      <c r="AM343" s="27">
        <f t="shared" si="218"/>
        <v>0.37134520259374487</v>
      </c>
    </row>
    <row r="344" spans="1:39" ht="15" customHeight="1" x14ac:dyDescent="0.2">
      <c r="A344" s="24">
        <v>333</v>
      </c>
      <c r="B344" s="29">
        <f t="shared" si="219"/>
        <v>3.5202504563645483</v>
      </c>
      <c r="C344" s="29">
        <f t="shared" si="220"/>
        <v>-4.0332974978953953</v>
      </c>
      <c r="D344" s="29">
        <f t="shared" si="221"/>
        <v>-2.8486855019574939</v>
      </c>
      <c r="E344" s="29">
        <f t="shared" si="222"/>
        <v>-0.23322586552556596</v>
      </c>
      <c r="F344" s="29">
        <f t="shared" si="223"/>
        <v>0.41255160955011438</v>
      </c>
      <c r="G344" s="29">
        <f t="shared" si="224"/>
        <v>0.87409513550751705</v>
      </c>
      <c r="H344" s="29">
        <f t="shared" si="225"/>
        <v>3.4551147370384889</v>
      </c>
      <c r="I344" s="29">
        <f t="shared" si="226"/>
        <v>6.7481910683995228E-2</v>
      </c>
      <c r="J344" s="29">
        <f t="shared" si="227"/>
        <v>-0.71799929343210356</v>
      </c>
      <c r="K344" s="26">
        <f t="shared" si="190"/>
        <v>-2.8486855019574939</v>
      </c>
      <c r="L344" s="26">
        <f t="shared" si="191"/>
        <v>5.474930507847587E-2</v>
      </c>
      <c r="M344" s="26">
        <f t="shared" si="192"/>
        <v>0.87409513550751705</v>
      </c>
      <c r="N344" s="26">
        <f t="shared" si="193"/>
        <v>0.70559709546118388</v>
      </c>
      <c r="O344" s="26">
        <f t="shared" si="194"/>
        <v>-0.48121912243804732</v>
      </c>
      <c r="P344" s="26">
        <f t="shared" si="195"/>
        <v>0.38196428857421871</v>
      </c>
      <c r="Q344" s="26">
        <f t="shared" si="196"/>
        <v>7.2948358873004521E-2</v>
      </c>
      <c r="R344" s="26">
        <f t="shared" si="197"/>
        <v>-6.8819829998528892</v>
      </c>
      <c r="S344" s="26">
        <f t="shared" si="198"/>
        <v>1.0250554390047342E-3</v>
      </c>
      <c r="T344" s="26">
        <f t="shared" si="199"/>
        <v>1.2866467450576313</v>
      </c>
      <c r="U344" s="26">
        <f t="shared" si="200"/>
        <v>0.78357907521200798</v>
      </c>
      <c r="V344" s="26">
        <f t="shared" si="201"/>
        <v>-0.66158019611121255</v>
      </c>
      <c r="W344" s="26">
        <f t="shared" si="202"/>
        <v>0.34038473179547496</v>
      </c>
      <c r="X344" s="26">
        <f t="shared" si="203"/>
        <v>0.21754615102426378</v>
      </c>
      <c r="Y344" s="26">
        <f t="shared" si="204"/>
        <v>0.67156495440705433</v>
      </c>
      <c r="Z344" s="26">
        <f t="shared" si="205"/>
        <v>0.66185349005980254</v>
      </c>
      <c r="AA344" s="26">
        <f t="shared" si="206"/>
        <v>0.64086926998195115</v>
      </c>
      <c r="AB344" s="26">
        <f t="shared" si="207"/>
        <v>0.65494993383108757</v>
      </c>
      <c r="AC344" s="26">
        <f t="shared" si="208"/>
        <v>1.6129777267711554</v>
      </c>
      <c r="AD344" s="26">
        <f t="shared" si="209"/>
        <v>0.8338243942791933</v>
      </c>
      <c r="AE344" s="26">
        <f t="shared" si="210"/>
        <v>1.3807165968338501E-2</v>
      </c>
      <c r="AF344" s="26">
        <f t="shared" si="211"/>
        <v>-3.3617325434883409</v>
      </c>
      <c r="AG344" s="26">
        <f t="shared" si="212"/>
        <v>3.3513060932471153E-2</v>
      </c>
      <c r="AH344" s="26">
        <f t="shared" si="213"/>
        <v>1.0534208795320654</v>
      </c>
      <c r="AI344" s="26">
        <f t="shared" si="214"/>
        <v>0.74143126068828558</v>
      </c>
      <c r="AJ344" s="26">
        <f t="shared" si="215"/>
        <v>-0.55217462460896471</v>
      </c>
      <c r="AK344" s="26">
        <f t="shared" si="216"/>
        <v>0.3653600267830886</v>
      </c>
      <c r="AL344" s="26">
        <f t="shared" si="217"/>
        <v>6.6743974585469615E-2</v>
      </c>
      <c r="AM344" s="27">
        <f t="shared" si="218"/>
        <v>0.3710456504510764</v>
      </c>
    </row>
    <row r="345" spans="1:39" ht="15" customHeight="1" x14ac:dyDescent="0.2">
      <c r="A345" s="24">
        <v>334</v>
      </c>
      <c r="B345" s="29">
        <f t="shared" si="219"/>
        <v>3.528574573248731</v>
      </c>
      <c r="C345" s="29">
        <f t="shared" si="220"/>
        <v>-4.0422542522469662</v>
      </c>
      <c r="D345" s="29">
        <f t="shared" si="221"/>
        <v>-2.8559604529582168</v>
      </c>
      <c r="E345" s="29">
        <f t="shared" si="222"/>
        <v>-0.23397070320211732</v>
      </c>
      <c r="F345" s="29">
        <f t="shared" si="223"/>
        <v>0.41315043630007819</v>
      </c>
      <c r="G345" s="29">
        <f t="shared" si="224"/>
        <v>0.87378111250339652</v>
      </c>
      <c r="H345" s="29">
        <f t="shared" si="225"/>
        <v>3.462730226528731</v>
      </c>
      <c r="I345" s="29">
        <f t="shared" si="226"/>
        <v>7.2174635954892333E-2</v>
      </c>
      <c r="J345" s="29">
        <f t="shared" si="227"/>
        <v>-0.72176118352598184</v>
      </c>
      <c r="K345" s="26">
        <f t="shared" si="190"/>
        <v>-2.8559604529582168</v>
      </c>
      <c r="L345" s="26">
        <f t="shared" si="191"/>
        <v>5.4374030369754009E-2</v>
      </c>
      <c r="M345" s="26">
        <f t="shared" si="192"/>
        <v>0.87378111250339652</v>
      </c>
      <c r="N345" s="26">
        <f t="shared" si="193"/>
        <v>0.70553185930330475</v>
      </c>
      <c r="O345" s="26">
        <f t="shared" si="194"/>
        <v>-0.48255707992664909</v>
      </c>
      <c r="P345" s="26">
        <f t="shared" si="195"/>
        <v>0.38164849012015106</v>
      </c>
      <c r="Q345" s="26">
        <f t="shared" si="196"/>
        <v>7.2827785005495527E-2</v>
      </c>
      <c r="R345" s="26">
        <f t="shared" si="197"/>
        <v>-6.8982147052051825</v>
      </c>
      <c r="S345" s="26">
        <f t="shared" si="198"/>
        <v>1.0085679937727153E-3</v>
      </c>
      <c r="T345" s="26">
        <f t="shared" si="199"/>
        <v>1.2869315488034747</v>
      </c>
      <c r="U345" s="26">
        <f t="shared" si="200"/>
        <v>0.78362736915870901</v>
      </c>
      <c r="V345" s="26">
        <f t="shared" si="201"/>
        <v>-0.66171076455511579</v>
      </c>
      <c r="W345" s="26">
        <f t="shared" si="202"/>
        <v>0.3403554167921507</v>
      </c>
      <c r="X345" s="26">
        <f t="shared" si="203"/>
        <v>0.21756548807772857</v>
      </c>
      <c r="Y345" s="26">
        <f t="shared" si="204"/>
        <v>0.67261412029051426</v>
      </c>
      <c r="Z345" s="26">
        <f t="shared" si="205"/>
        <v>0.66208825711418751</v>
      </c>
      <c r="AA345" s="26">
        <f t="shared" si="206"/>
        <v>0.63981040930127919</v>
      </c>
      <c r="AB345" s="26">
        <f t="shared" si="207"/>
        <v>0.65471060211247889</v>
      </c>
      <c r="AC345" s="26">
        <f t="shared" si="208"/>
        <v>1.6181253363763179</v>
      </c>
      <c r="AD345" s="26">
        <f t="shared" si="209"/>
        <v>0.83453642849281995</v>
      </c>
      <c r="AE345" s="26">
        <f t="shared" si="210"/>
        <v>1.3689096747955843E-2</v>
      </c>
      <c r="AF345" s="26">
        <f t="shared" si="211"/>
        <v>-3.369640131956452</v>
      </c>
      <c r="AG345" s="26">
        <f t="shared" si="212"/>
        <v>3.3257877298332711E-2</v>
      </c>
      <c r="AH345" s="26">
        <f t="shared" si="213"/>
        <v>1.0529608456013575</v>
      </c>
      <c r="AI345" s="26">
        <f t="shared" si="214"/>
        <v>0.74134305735318418</v>
      </c>
      <c r="AJ345" s="26">
        <f t="shared" si="215"/>
        <v>-0.55309196125270854</v>
      </c>
      <c r="AK345" s="26">
        <f t="shared" si="216"/>
        <v>0.36514734831250462</v>
      </c>
      <c r="AL345" s="26">
        <f t="shared" si="217"/>
        <v>6.6666292989826778E-2</v>
      </c>
      <c r="AM345" s="27">
        <f t="shared" si="218"/>
        <v>0.37074866282100671</v>
      </c>
    </row>
    <row r="346" spans="1:39" ht="15" customHeight="1" x14ac:dyDescent="0.2">
      <c r="A346" s="24">
        <v>335</v>
      </c>
      <c r="B346" s="29">
        <f t="shared" si="219"/>
        <v>3.5368512182433833</v>
      </c>
      <c r="C346" s="29">
        <f t="shared" si="220"/>
        <v>-4.051161504505445</v>
      </c>
      <c r="D346" s="29">
        <f t="shared" si="221"/>
        <v>-2.8632029623107256</v>
      </c>
      <c r="E346" s="29">
        <f t="shared" si="222"/>
        <v>-0.23476939686217455</v>
      </c>
      <c r="F346" s="29">
        <f t="shared" si="223"/>
        <v>0.41379132972883098</v>
      </c>
      <c r="G346" s="29">
        <f t="shared" si="224"/>
        <v>0.87344427529203061</v>
      </c>
      <c r="H346" s="29">
        <f t="shared" si="225"/>
        <v>3.4702946187853287</v>
      </c>
      <c r="I346" s="29">
        <f t="shared" si="226"/>
        <v>7.6891301154153519E-2</v>
      </c>
      <c r="J346" s="29">
        <f t="shared" si="227"/>
        <v>-0.72552678636299273</v>
      </c>
      <c r="K346" s="26">
        <f t="shared" si="190"/>
        <v>-2.8632029623107256</v>
      </c>
      <c r="L346" s="26">
        <f t="shared" si="191"/>
        <v>5.4002838306407695E-2</v>
      </c>
      <c r="M346" s="26">
        <f t="shared" si="192"/>
        <v>0.87344427529203061</v>
      </c>
      <c r="N346" s="26">
        <f t="shared" si="193"/>
        <v>0.7054618742865999</v>
      </c>
      <c r="O346" s="26">
        <f t="shared" si="194"/>
        <v>-0.48387714576058732</v>
      </c>
      <c r="P346" s="26">
        <f t="shared" si="195"/>
        <v>0.38133701263717767</v>
      </c>
      <c r="Q346" s="26">
        <f t="shared" si="196"/>
        <v>7.2708958603523499E-2</v>
      </c>
      <c r="R346" s="26">
        <f t="shared" si="197"/>
        <v>-6.9143644668161706</v>
      </c>
      <c r="S346" s="26">
        <f t="shared" si="198"/>
        <v>9.9242671560225673E-4</v>
      </c>
      <c r="T346" s="26">
        <f t="shared" si="199"/>
        <v>1.2872356050208615</v>
      </c>
      <c r="U346" s="26">
        <f t="shared" si="200"/>
        <v>0.7836789191213811</v>
      </c>
      <c r="V346" s="26">
        <f t="shared" si="201"/>
        <v>-0.66182468149397577</v>
      </c>
      <c r="W346" s="26">
        <f t="shared" si="202"/>
        <v>0.34032984135445116</v>
      </c>
      <c r="X346" s="26">
        <f t="shared" si="203"/>
        <v>0.21758235910372184</v>
      </c>
      <c r="Y346" s="26">
        <f t="shared" si="204"/>
        <v>0.67364825593265776</v>
      </c>
      <c r="Z346" s="26">
        <f t="shared" si="205"/>
        <v>0.6623195827937377</v>
      </c>
      <c r="AA346" s="26">
        <f t="shared" si="206"/>
        <v>0.63867487842985604</v>
      </c>
      <c r="AB346" s="26">
        <f t="shared" si="207"/>
        <v>0.65445385366900266</v>
      </c>
      <c r="AC346" s="26">
        <f t="shared" si="208"/>
        <v>1.6232391060762188</v>
      </c>
      <c r="AD346" s="26">
        <f t="shared" si="209"/>
        <v>0.83524135782630271</v>
      </c>
      <c r="AE346" s="26">
        <f t="shared" si="210"/>
        <v>1.3572705085460211E-2</v>
      </c>
      <c r="AF346" s="26">
        <f t="shared" si="211"/>
        <v>-3.3775132485727872</v>
      </c>
      <c r="AG346" s="26">
        <f t="shared" si="212"/>
        <v>3.3005670589772461E-2</v>
      </c>
      <c r="AH346" s="26">
        <f t="shared" si="213"/>
        <v>1.0524662081586871</v>
      </c>
      <c r="AI346" s="26">
        <f t="shared" si="214"/>
        <v>0.74124819755596749</v>
      </c>
      <c r="AJ346" s="26">
        <f t="shared" si="215"/>
        <v>-0.5539918469376548</v>
      </c>
      <c r="AK346" s="26">
        <f t="shared" si="216"/>
        <v>0.36493876685216903</v>
      </c>
      <c r="AL346" s="26">
        <f t="shared" si="217"/>
        <v>6.659015177579089E-2</v>
      </c>
      <c r="AM346" s="27">
        <f t="shared" si="218"/>
        <v>0.3704541745684965</v>
      </c>
    </row>
    <row r="347" spans="1:39" ht="15" customHeight="1" x14ac:dyDescent="0.2">
      <c r="A347" s="24">
        <v>336</v>
      </c>
      <c r="B347" s="29">
        <f t="shared" si="219"/>
        <v>3.5450808749843246</v>
      </c>
      <c r="C347" s="29">
        <f t="shared" si="220"/>
        <v>-4.060019685520575</v>
      </c>
      <c r="D347" s="29">
        <f t="shared" si="221"/>
        <v>-2.870413172302499</v>
      </c>
      <c r="E347" s="29">
        <f t="shared" si="222"/>
        <v>-0.2356224734105575</v>
      </c>
      <c r="F347" s="29">
        <f t="shared" si="223"/>
        <v>0.4144744957447144</v>
      </c>
      <c r="G347" s="29">
        <f t="shared" si="224"/>
        <v>0.87308433444096023</v>
      </c>
      <c r="H347" s="29">
        <f t="shared" si="225"/>
        <v>3.4778084580431043</v>
      </c>
      <c r="I347" s="29">
        <f t="shared" si="226"/>
        <v>8.1632517369361002E-2</v>
      </c>
      <c r="J347" s="29">
        <f t="shared" si="227"/>
        <v>-0.72929660848234867</v>
      </c>
      <c r="K347" s="26">
        <f t="shared" si="190"/>
        <v>-2.870413172302499</v>
      </c>
      <c r="L347" s="26">
        <f t="shared" si="191"/>
        <v>5.3635675971406532E-2</v>
      </c>
      <c r="M347" s="26">
        <f t="shared" si="192"/>
        <v>0.87308433444096023</v>
      </c>
      <c r="N347" s="26">
        <f t="shared" si="193"/>
        <v>0.70538707829566338</v>
      </c>
      <c r="O347" s="26">
        <f t="shared" si="194"/>
        <v>-0.48517947801503819</v>
      </c>
      <c r="P347" s="26">
        <f t="shared" si="195"/>
        <v>0.38102981510706435</v>
      </c>
      <c r="Q347" s="26">
        <f t="shared" si="196"/>
        <v>7.2591860000261826E-2</v>
      </c>
      <c r="R347" s="26">
        <f t="shared" si="197"/>
        <v>-6.9304328578230745</v>
      </c>
      <c r="S347" s="26">
        <f t="shared" si="198"/>
        <v>9.7662289998255085E-4</v>
      </c>
      <c r="T347" s="26">
        <f t="shared" si="199"/>
        <v>1.2875588301856746</v>
      </c>
      <c r="U347" s="26">
        <f t="shared" si="200"/>
        <v>0.7837337092539125</v>
      </c>
      <c r="V347" s="26">
        <f t="shared" si="201"/>
        <v>-0.66192194546684702</v>
      </c>
      <c r="W347" s="26">
        <f t="shared" si="202"/>
        <v>0.34030800540251588</v>
      </c>
      <c r="X347" s="26">
        <f t="shared" si="203"/>
        <v>0.21759676386800356</v>
      </c>
      <c r="Y347" s="26">
        <f t="shared" si="204"/>
        <v>0.67466770268182552</v>
      </c>
      <c r="Z347" s="26">
        <f t="shared" si="205"/>
        <v>0.66254754671564975</v>
      </c>
      <c r="AA347" s="26">
        <f t="shared" si="206"/>
        <v>0.6374618610304027</v>
      </c>
      <c r="AB347" s="26">
        <f t="shared" si="207"/>
        <v>0.65417948568299444</v>
      </c>
      <c r="AC347" s="26">
        <f t="shared" si="208"/>
        <v>1.6283191715687435</v>
      </c>
      <c r="AD347" s="26">
        <f t="shared" si="209"/>
        <v>0.83593925200930219</v>
      </c>
      <c r="AE347" s="26">
        <f t="shared" si="210"/>
        <v>1.3457964515633627E-2</v>
      </c>
      <c r="AF347" s="26">
        <f t="shared" si="211"/>
        <v>-3.3853519828387495</v>
      </c>
      <c r="AG347" s="26">
        <f t="shared" si="212"/>
        <v>3.2756400988096318E-2</v>
      </c>
      <c r="AH347" s="26">
        <f t="shared" si="213"/>
        <v>1.0519363567751172</v>
      </c>
      <c r="AI347" s="26">
        <f t="shared" si="214"/>
        <v>0.74114655943810781</v>
      </c>
      <c r="AJ347" s="26">
        <f t="shared" si="215"/>
        <v>-0.55487446068432233</v>
      </c>
      <c r="AK347" s="26">
        <f t="shared" si="216"/>
        <v>0.36473423804107657</v>
      </c>
      <c r="AL347" s="26">
        <f t="shared" si="217"/>
        <v>6.6515532199702354E-2</v>
      </c>
      <c r="AM347" s="27">
        <f t="shared" si="218"/>
        <v>0.37016212058360137</v>
      </c>
    </row>
    <row r="348" spans="1:39" ht="15" customHeight="1" x14ac:dyDescent="0.2">
      <c r="A348" s="24">
        <v>337</v>
      </c>
      <c r="B348" s="29">
        <f t="shared" si="219"/>
        <v>3.5532640246455243</v>
      </c>
      <c r="C348" s="29">
        <f t="shared" si="220"/>
        <v>-4.0688292242782103</v>
      </c>
      <c r="D348" s="29">
        <f t="shared" si="221"/>
        <v>-2.8775912260157828</v>
      </c>
      <c r="E348" s="29">
        <f t="shared" si="222"/>
        <v>-0.23653046818659978</v>
      </c>
      <c r="F348" s="29">
        <f t="shared" si="223"/>
        <v>0.41520013463763034</v>
      </c>
      <c r="G348" s="29">
        <f t="shared" si="224"/>
        <v>0.87270098674324692</v>
      </c>
      <c r="H348" s="29">
        <f t="shared" si="225"/>
        <v>3.4852722859897676</v>
      </c>
      <c r="I348" s="29">
        <f t="shared" si="226"/>
        <v>8.639890946909172E-2</v>
      </c>
      <c r="J348" s="29">
        <f t="shared" si="227"/>
        <v>-0.73307116001495343</v>
      </c>
      <c r="K348" s="26">
        <f t="shared" si="190"/>
        <v>-2.8775912260157828</v>
      </c>
      <c r="L348" s="26">
        <f t="shared" si="191"/>
        <v>5.3272491144309646E-2</v>
      </c>
      <c r="M348" s="26">
        <f t="shared" si="192"/>
        <v>0.87270098674324692</v>
      </c>
      <c r="N348" s="26">
        <f t="shared" si="193"/>
        <v>0.70530740618177212</v>
      </c>
      <c r="O348" s="26">
        <f t="shared" si="194"/>
        <v>-0.48646423228947688</v>
      </c>
      <c r="P348" s="26">
        <f t="shared" si="195"/>
        <v>0.38072685717628657</v>
      </c>
      <c r="Q348" s="26">
        <f t="shared" si="196"/>
        <v>7.2476469887666262E-2</v>
      </c>
      <c r="R348" s="26">
        <f t="shared" si="197"/>
        <v>-6.946420450293993</v>
      </c>
      <c r="S348" s="26">
        <f t="shared" si="198"/>
        <v>9.6114809037180454E-4</v>
      </c>
      <c r="T348" s="26">
        <f t="shared" si="199"/>
        <v>1.2879011213808773</v>
      </c>
      <c r="U348" s="26">
        <f t="shared" si="200"/>
        <v>0.78379172032784428</v>
      </c>
      <c r="V348" s="26">
        <f t="shared" si="201"/>
        <v>-0.66200254732561947</v>
      </c>
      <c r="W348" s="26">
        <f t="shared" si="202"/>
        <v>0.34028991064171127</v>
      </c>
      <c r="X348" s="26">
        <f t="shared" si="203"/>
        <v>0.21760870100056068</v>
      </c>
      <c r="Y348" s="26">
        <f t="shared" si="204"/>
        <v>0.6756727986297415</v>
      </c>
      <c r="Z348" s="26">
        <f t="shared" si="205"/>
        <v>0.66277222762769661</v>
      </c>
      <c r="AA348" s="26">
        <f t="shared" si="206"/>
        <v>0.63617051855664708</v>
      </c>
      <c r="AB348" s="26">
        <f t="shared" si="207"/>
        <v>0.65388728883637492</v>
      </c>
      <c r="AC348" s="26">
        <f t="shared" si="208"/>
        <v>1.6333656655307229</v>
      </c>
      <c r="AD348" s="26">
        <f t="shared" si="209"/>
        <v>0.83663017970340636</v>
      </c>
      <c r="AE348" s="26">
        <f t="shared" si="210"/>
        <v>1.3344849091870649E-2</v>
      </c>
      <c r="AF348" s="26">
        <f t="shared" si="211"/>
        <v>-3.3931564256484688</v>
      </c>
      <c r="AG348" s="26">
        <f t="shared" si="212"/>
        <v>3.2510029218965106E-2</v>
      </c>
      <c r="AH348" s="26">
        <f t="shared" si="213"/>
        <v>1.0513706531942775</v>
      </c>
      <c r="AI348" s="26">
        <f t="shared" si="214"/>
        <v>0.7410380153425451</v>
      </c>
      <c r="AJ348" s="26">
        <f t="shared" si="215"/>
        <v>-0.55573997976064082</v>
      </c>
      <c r="AK348" s="26">
        <f t="shared" si="216"/>
        <v>0.36453371801266587</v>
      </c>
      <c r="AL348" s="26">
        <f t="shared" si="217"/>
        <v>6.6442415784068898E-2</v>
      </c>
      <c r="AM348" s="27">
        <f t="shared" si="218"/>
        <v>0.36987243576416651</v>
      </c>
    </row>
    <row r="349" spans="1:39" ht="15" customHeight="1" x14ac:dyDescent="0.2">
      <c r="A349" s="24">
        <v>338</v>
      </c>
      <c r="B349" s="29">
        <f t="shared" si="219"/>
        <v>3.5614011459445316</v>
      </c>
      <c r="C349" s="29">
        <f t="shared" si="220"/>
        <v>-4.0775905478236805</v>
      </c>
      <c r="D349" s="29">
        <f t="shared" si="221"/>
        <v>-2.8847372671916607</v>
      </c>
      <c r="E349" s="29">
        <f t="shared" si="222"/>
        <v>-0.23749392536912678</v>
      </c>
      <c r="F349" s="29">
        <f t="shared" si="223"/>
        <v>0.41596844109243958</v>
      </c>
      <c r="G349" s="29">
        <f t="shared" si="224"/>
        <v>0.87229391487758745</v>
      </c>
      <c r="H349" s="29">
        <f t="shared" si="225"/>
        <v>3.4926866417341862</v>
      </c>
      <c r="I349" s="29">
        <f t="shared" si="226"/>
        <v>9.1191116189544341E-2</v>
      </c>
      <c r="J349" s="29">
        <f t="shared" si="227"/>
        <v>-0.73685095461590522</v>
      </c>
      <c r="K349" s="26">
        <f t="shared" si="190"/>
        <v>-2.8847372671916607</v>
      </c>
      <c r="L349" s="26">
        <f t="shared" si="191"/>
        <v>5.2913232298761027E-2</v>
      </c>
      <c r="M349" s="26">
        <f t="shared" si="192"/>
        <v>0.87229391487758745</v>
      </c>
      <c r="N349" s="26">
        <f t="shared" si="193"/>
        <v>0.70522278968426233</v>
      </c>
      <c r="O349" s="26">
        <f t="shared" si="194"/>
        <v>-0.48773156164143255</v>
      </c>
      <c r="P349" s="26">
        <f t="shared" si="195"/>
        <v>0.38042809917009429</v>
      </c>
      <c r="Q349" s="26">
        <f t="shared" si="196"/>
        <v>7.2362769319085543E-2</v>
      </c>
      <c r="R349" s="26">
        <f t="shared" si="197"/>
        <v>-6.9623278150153407</v>
      </c>
      <c r="S349" s="26">
        <f t="shared" si="198"/>
        <v>9.4599407057732623E-4</v>
      </c>
      <c r="T349" s="26">
        <f t="shared" si="199"/>
        <v>1.288262355970027</v>
      </c>
      <c r="U349" s="26">
        <f t="shared" si="200"/>
        <v>0.78385292968195541</v>
      </c>
      <c r="V349" s="26">
        <f t="shared" si="201"/>
        <v>-0.66206647017629816</v>
      </c>
      <c r="W349" s="26">
        <f t="shared" si="202"/>
        <v>0.34027556057568537</v>
      </c>
      <c r="X349" s="26">
        <f t="shared" si="203"/>
        <v>0.21761816798686312</v>
      </c>
      <c r="Y349" s="26">
        <f t="shared" si="204"/>
        <v>0.67666387875287093</v>
      </c>
      <c r="Z349" s="26">
        <f t="shared" si="205"/>
        <v>0.66299370344405084</v>
      </c>
      <c r="AA349" s="26">
        <f t="shared" si="206"/>
        <v>0.63479998950846062</v>
      </c>
      <c r="AB349" s="26">
        <f t="shared" si="207"/>
        <v>0.65357704709708508</v>
      </c>
      <c r="AC349" s="26">
        <f t="shared" si="208"/>
        <v>1.6383787173976574</v>
      </c>
      <c r="AD349" s="26">
        <f t="shared" si="209"/>
        <v>0.83731420848318816</v>
      </c>
      <c r="AE349" s="26">
        <f t="shared" si="210"/>
        <v>1.3233333380725784E-2</v>
      </c>
      <c r="AF349" s="26">
        <f t="shared" si="211"/>
        <v>-3.4009266690708095</v>
      </c>
      <c r="AG349" s="26">
        <f t="shared" si="212"/>
        <v>3.2266516551695462E-2</v>
      </c>
      <c r="AH349" s="26">
        <f t="shared" si="213"/>
        <v>1.0507684306009002</v>
      </c>
      <c r="AI349" s="26">
        <f t="shared" si="214"/>
        <v>0.7409224316458124</v>
      </c>
      <c r="AJ349" s="26">
        <f t="shared" si="215"/>
        <v>-0.55658857972885045</v>
      </c>
      <c r="AK349" s="26">
        <f t="shared" si="216"/>
        <v>0.36433716338205679</v>
      </c>
      <c r="AL349" s="26">
        <f t="shared" si="217"/>
        <v>6.6370784310641778E-2</v>
      </c>
      <c r="AM349" s="27">
        <f t="shared" si="218"/>
        <v>0.3695850549973162</v>
      </c>
    </row>
    <row r="350" spans="1:39" ht="15" customHeight="1" x14ac:dyDescent="0.2">
      <c r="A350" s="24">
        <v>339</v>
      </c>
      <c r="B350" s="29">
        <f t="shared" si="219"/>
        <v>3.5694927151540456</v>
      </c>
      <c r="C350" s="29">
        <f t="shared" si="220"/>
        <v>-4.0863040811905398</v>
      </c>
      <c r="D350" s="29">
        <f t="shared" si="221"/>
        <v>-2.891851440096818</v>
      </c>
      <c r="E350" s="29">
        <f t="shared" si="222"/>
        <v>-0.23851339838913357</v>
      </c>
      <c r="F350" s="29">
        <f t="shared" si="223"/>
        <v>0.41677960419887583</v>
      </c>
      <c r="G350" s="29">
        <f t="shared" si="224"/>
        <v>0.87186278706121623</v>
      </c>
      <c r="H350" s="29">
        <f t="shared" si="225"/>
        <v>3.5000520617823243</v>
      </c>
      <c r="I350" s="29">
        <f t="shared" si="226"/>
        <v>9.600979023239721E-2</v>
      </c>
      <c r="J350" s="29">
        <f t="shared" si="227"/>
        <v>-0.74063650939858916</v>
      </c>
      <c r="K350" s="26">
        <f t="shared" si="190"/>
        <v>-2.891851440096818</v>
      </c>
      <c r="L350" s="26">
        <f t="shared" si="191"/>
        <v>5.2557848599690031E-2</v>
      </c>
      <c r="M350" s="26">
        <f t="shared" si="192"/>
        <v>0.87186278706121623</v>
      </c>
      <c r="N350" s="26">
        <f t="shared" si="193"/>
        <v>0.7051331573498576</v>
      </c>
      <c r="O350" s="26">
        <f t="shared" si="194"/>
        <v>-0.4889816165213331</v>
      </c>
      <c r="P350" s="26">
        <f t="shared" si="195"/>
        <v>0.38013350210630548</v>
      </c>
      <c r="Q350" s="26">
        <f t="shared" si="196"/>
        <v>7.2250739711802278E-2</v>
      </c>
      <c r="R350" s="26">
        <f t="shared" si="197"/>
        <v>-6.9781555212873574</v>
      </c>
      <c r="S350" s="26">
        <f t="shared" si="198"/>
        <v>9.3115285737773552E-4</v>
      </c>
      <c r="T350" s="26">
        <f t="shared" si="199"/>
        <v>1.2886423912600922</v>
      </c>
      <c r="U350" s="26">
        <f t="shared" si="200"/>
        <v>0.78391731117062957</v>
      </c>
      <c r="V350" s="26">
        <f t="shared" si="201"/>
        <v>-0.66211368931525272</v>
      </c>
      <c r="W350" s="26">
        <f t="shared" si="202"/>
        <v>0.340264960520683</v>
      </c>
      <c r="X350" s="26">
        <f t="shared" si="203"/>
        <v>0.21762516115838798</v>
      </c>
      <c r="Y350" s="26">
        <f t="shared" si="204"/>
        <v>0.6776412750572276</v>
      </c>
      <c r="Z350" s="26">
        <f t="shared" si="205"/>
        <v>0.66321205128171512</v>
      </c>
      <c r="AA350" s="26">
        <f t="shared" si="206"/>
        <v>0.63334938867208268</v>
      </c>
      <c r="AB350" s="26">
        <f t="shared" si="207"/>
        <v>0.65324853750045397</v>
      </c>
      <c r="AC350" s="26">
        <f t="shared" si="208"/>
        <v>1.6433584531439009</v>
      </c>
      <c r="AD350" s="26">
        <f t="shared" si="209"/>
        <v>0.83799140481783563</v>
      </c>
      <c r="AE350" s="26">
        <f t="shared" si="210"/>
        <v>1.3123392456449206E-2</v>
      </c>
      <c r="AF350" s="26">
        <f t="shared" si="211"/>
        <v>-3.4086628061333122</v>
      </c>
      <c r="AG350" s="26">
        <f t="shared" si="212"/>
        <v>3.2025824798290116E-2</v>
      </c>
      <c r="AH350" s="26">
        <f t="shared" si="213"/>
        <v>1.0501289928709585</v>
      </c>
      <c r="AI350" s="26">
        <f t="shared" si="214"/>
        <v>0.74079966858463597</v>
      </c>
      <c r="AJ350" s="26">
        <f t="shared" si="215"/>
        <v>-0.55742043449801404</v>
      </c>
      <c r="AK350" s="26">
        <f t="shared" si="216"/>
        <v>0.3641445312320265</v>
      </c>
      <c r="AL350" s="26">
        <f t="shared" si="217"/>
        <v>6.6300619813096165E-2</v>
      </c>
      <c r="AM350" s="27">
        <f t="shared" si="218"/>
        <v>0.36929991313973565</v>
      </c>
    </row>
    <row r="351" spans="1:39" ht="15" customHeight="1" x14ac:dyDescent="0.2">
      <c r="A351" s="24">
        <v>340</v>
      </c>
      <c r="B351" s="29">
        <f t="shared" si="219"/>
        <v>3.5775392061194622</v>
      </c>
      <c r="C351" s="29">
        <f t="shared" si="220"/>
        <v>-4.0949702473344747</v>
      </c>
      <c r="D351" s="29">
        <f t="shared" si="221"/>
        <v>-2.8989338893928727</v>
      </c>
      <c r="E351" s="29">
        <f t="shared" si="222"/>
        <v>-0.23958945035058932</v>
      </c>
      <c r="F351" s="29">
        <f t="shared" si="223"/>
        <v>0.41763380745795464</v>
      </c>
      <c r="G351" s="29">
        <f t="shared" si="224"/>
        <v>0.87140725669523234</v>
      </c>
      <c r="H351" s="29">
        <f t="shared" si="225"/>
        <v>3.5073690800206081</v>
      </c>
      <c r="I351" s="29">
        <f t="shared" si="226"/>
        <v>0.10085559837438134</v>
      </c>
      <c r="J351" s="29">
        <f t="shared" si="227"/>
        <v>-0.7444283448702399</v>
      </c>
      <c r="K351" s="26">
        <f t="shared" si="190"/>
        <v>-2.8989338893928727</v>
      </c>
      <c r="L351" s="26">
        <f t="shared" si="191"/>
        <v>5.220628990023856E-2</v>
      </c>
      <c r="M351" s="26">
        <f t="shared" si="192"/>
        <v>0.87140725669523234</v>
      </c>
      <c r="N351" s="26">
        <f t="shared" si="193"/>
        <v>0.70503843444984282</v>
      </c>
      <c r="O351" s="26">
        <f t="shared" si="194"/>
        <v>-0.4902145447081751</v>
      </c>
      <c r="P351" s="26">
        <f t="shared" si="195"/>
        <v>0.37984302770889045</v>
      </c>
      <c r="Q351" s="26">
        <f t="shared" si="196"/>
        <v>7.2140362849528461E-2</v>
      </c>
      <c r="R351" s="26">
        <f t="shared" si="197"/>
        <v>-6.9939041367273473</v>
      </c>
      <c r="S351" s="26">
        <f t="shared" si="198"/>
        <v>9.1661669337987856E-4</v>
      </c>
      <c r="T351" s="26">
        <f t="shared" si="199"/>
        <v>1.2890410641531869</v>
      </c>
      <c r="U351" s="26">
        <f t="shared" si="200"/>
        <v>0.78398483511094508</v>
      </c>
      <c r="V351" s="26">
        <f t="shared" si="201"/>
        <v>-0.66214417216009358</v>
      </c>
      <c r="W351" s="26">
        <f t="shared" si="202"/>
        <v>0.3402581176212004</v>
      </c>
      <c r="X351" s="26">
        <f t="shared" si="203"/>
        <v>0.21762967568236091</v>
      </c>
      <c r="Y351" s="26">
        <f t="shared" si="204"/>
        <v>0.67860531672658952</v>
      </c>
      <c r="Z351" s="26">
        <f t="shared" si="205"/>
        <v>0.66342734749755516</v>
      </c>
      <c r="AA351" s="26">
        <f t="shared" si="206"/>
        <v>0.63181780634464302</v>
      </c>
      <c r="AB351" s="26">
        <f t="shared" si="207"/>
        <v>0.65290152992526096</v>
      </c>
      <c r="AC351" s="26">
        <f t="shared" si="208"/>
        <v>1.6483049950629334</v>
      </c>
      <c r="AD351" s="26">
        <f t="shared" si="209"/>
        <v>0.83866183405328532</v>
      </c>
      <c r="AE351" s="26">
        <f t="shared" si="210"/>
        <v>1.3015001895524823E-2</v>
      </c>
      <c r="AF351" s="26">
        <f t="shared" si="211"/>
        <v>-3.4163649306078852</v>
      </c>
      <c r="AG351" s="26">
        <f t="shared" si="212"/>
        <v>3.1787916312217647E-2</v>
      </c>
      <c r="AH351" s="26">
        <f t="shared" si="213"/>
        <v>1.0494516138025975</v>
      </c>
      <c r="AI351" s="26">
        <f t="shared" si="214"/>
        <v>0.74066958007674433</v>
      </c>
      <c r="AJ351" s="26">
        <f t="shared" si="215"/>
        <v>-0.5582357163821432</v>
      </c>
      <c r="AK351" s="26">
        <f t="shared" si="216"/>
        <v>0.36395577909772492</v>
      </c>
      <c r="AL351" s="26">
        <f t="shared" si="217"/>
        <v>6.6231904569315964E-2</v>
      </c>
      <c r="AM351" s="27">
        <f t="shared" si="218"/>
        <v>0.36901694499673021</v>
      </c>
    </row>
    <row r="352" spans="1:39" ht="15" customHeight="1" x14ac:dyDescent="0.2">
      <c r="A352" s="24">
        <v>341</v>
      </c>
      <c r="B352" s="29">
        <f t="shared" si="219"/>
        <v>3.5855410902822467</v>
      </c>
      <c r="C352" s="29">
        <f t="shared" si="220"/>
        <v>-4.1035894670721493</v>
      </c>
      <c r="D352" s="29">
        <f t="shared" si="221"/>
        <v>-2.9059847600081357</v>
      </c>
      <c r="E352" s="29">
        <f t="shared" si="222"/>
        <v>-0.24072265445981561</v>
      </c>
      <c r="F352" s="29">
        <f t="shared" si="223"/>
        <v>0.41853122878486504</v>
      </c>
      <c r="G352" s="29">
        <f t="shared" si="224"/>
        <v>0.87092696200197761</v>
      </c>
      <c r="H352" s="29">
        <f t="shared" si="225"/>
        <v>3.5146382277064858</v>
      </c>
      <c r="I352" s="29">
        <f t="shared" si="226"/>
        <v>0.1057292215890669</v>
      </c>
      <c r="J352" s="29">
        <f t="shared" si="227"/>
        <v>-0.7482269848688593</v>
      </c>
      <c r="K352" s="26">
        <f t="shared" si="190"/>
        <v>-2.9059847600081357</v>
      </c>
      <c r="L352" s="26">
        <f t="shared" si="191"/>
        <v>5.1858506738435693E-2</v>
      </c>
      <c r="M352" s="26">
        <f t="shared" si="192"/>
        <v>0.87092696200197761</v>
      </c>
      <c r="N352" s="26">
        <f t="shared" si="193"/>
        <v>0.70493854289497881</v>
      </c>
      <c r="O352" s="26">
        <f t="shared" si="194"/>
        <v>-0.49143049124576166</v>
      </c>
      <c r="P352" s="26">
        <f t="shared" si="195"/>
        <v>0.37955663842141252</v>
      </c>
      <c r="Q352" s="26">
        <f t="shared" si="196"/>
        <v>7.2031620884881437E-2</v>
      </c>
      <c r="R352" s="26">
        <f t="shared" si="197"/>
        <v>-7.009574227080285</v>
      </c>
      <c r="S352" s="26">
        <f t="shared" si="198"/>
        <v>9.0237804010324745E-4</v>
      </c>
      <c r="T352" s="26">
        <f t="shared" si="199"/>
        <v>1.2894581907868425</v>
      </c>
      <c r="U352" s="26">
        <f t="shared" si="200"/>
        <v>0.78405546822842831</v>
      </c>
      <c r="V352" s="26">
        <f t="shared" si="201"/>
        <v>-0.66215787817482652</v>
      </c>
      <c r="W352" s="26">
        <f t="shared" si="202"/>
        <v>0.34025504086705943</v>
      </c>
      <c r="X352" s="26">
        <f t="shared" si="203"/>
        <v>0.21763170555066266</v>
      </c>
      <c r="Y352" s="26">
        <f t="shared" si="204"/>
        <v>0.679556330274111</v>
      </c>
      <c r="Z352" s="26">
        <f t="shared" si="205"/>
        <v>0.66363966772593264</v>
      </c>
      <c r="AA352" s="26">
        <f t="shared" si="206"/>
        <v>0.63020430754216195</v>
      </c>
      <c r="AB352" s="26">
        <f t="shared" si="207"/>
        <v>0.65253578686424119</v>
      </c>
      <c r="AC352" s="26">
        <f t="shared" si="208"/>
        <v>1.6532184615472993</v>
      </c>
      <c r="AD352" s="26">
        <f t="shared" si="209"/>
        <v>0.83932556039478112</v>
      </c>
      <c r="AE352" s="26">
        <f t="shared" si="210"/>
        <v>1.2908137771225564E-2</v>
      </c>
      <c r="AF352" s="26">
        <f t="shared" si="211"/>
        <v>-3.4240331367980383</v>
      </c>
      <c r="AG352" s="26">
        <f t="shared" si="212"/>
        <v>3.1552753986961342E-2</v>
      </c>
      <c r="AH352" s="26">
        <f t="shared" si="213"/>
        <v>1.048735536327027</v>
      </c>
      <c r="AI352" s="26">
        <f t="shared" si="214"/>
        <v>0.74053201353559694</v>
      </c>
      <c r="AJ352" s="26">
        <f t="shared" si="215"/>
        <v>-0.55903459616396378</v>
      </c>
      <c r="AK352" s="26">
        <f t="shared" si="216"/>
        <v>0.36377086495012545</v>
      </c>
      <c r="AL352" s="26">
        <f t="shared" si="217"/>
        <v>6.6164621093281209E-2</v>
      </c>
      <c r="AM352" s="27">
        <f t="shared" si="218"/>
        <v>0.36873608530005086</v>
      </c>
    </row>
    <row r="353" spans="1:39" ht="15" customHeight="1" x14ac:dyDescent="0.2">
      <c r="A353" s="24">
        <v>342</v>
      </c>
      <c r="B353" s="29">
        <f t="shared" si="219"/>
        <v>3.5934988367089988</v>
      </c>
      <c r="C353" s="29">
        <f t="shared" si="220"/>
        <v>-4.112162159024785</v>
      </c>
      <c r="D353" s="29">
        <f t="shared" si="221"/>
        <v>-2.9130041970116736</v>
      </c>
      <c r="E353" s="29">
        <f t="shared" si="222"/>
        <v>-0.24191359446390684</v>
      </c>
      <c r="F353" s="29">
        <f t="shared" si="223"/>
        <v>0.41947204050833981</v>
      </c>
      <c r="G353" s="29">
        <f t="shared" si="224"/>
        <v>0.8704215256540847</v>
      </c>
      <c r="H353" s="29">
        <f t="shared" si="225"/>
        <v>3.5218600334659746</v>
      </c>
      <c r="I353" s="29">
        <f t="shared" si="226"/>
        <v>0.1106313551813797</v>
      </c>
      <c r="J353" s="29">
        <f t="shared" si="227"/>
        <v>-0.7520329565013707</v>
      </c>
      <c r="K353" s="26">
        <f t="shared" si="190"/>
        <v>-2.9130041970116736</v>
      </c>
      <c r="L353" s="26">
        <f t="shared" si="191"/>
        <v>5.1514450333639668E-2</v>
      </c>
      <c r="M353" s="26">
        <f t="shared" si="192"/>
        <v>0.8704215256540847</v>
      </c>
      <c r="N353" s="26">
        <f t="shared" si="193"/>
        <v>0.70483340114804616</v>
      </c>
      <c r="O353" s="26">
        <f t="shared" si="194"/>
        <v>-0.49262959837924786</v>
      </c>
      <c r="P353" s="26">
        <f t="shared" si="195"/>
        <v>0.37927429742038538</v>
      </c>
      <c r="Q353" s="26">
        <f t="shared" si="196"/>
        <v>7.1924496341863473E-2</v>
      </c>
      <c r="R353" s="26">
        <f t="shared" si="197"/>
        <v>-7.0251663560364586</v>
      </c>
      <c r="S353" s="26">
        <f t="shared" si="198"/>
        <v>8.8842957128486061E-4</v>
      </c>
      <c r="T353" s="26">
        <f t="shared" si="199"/>
        <v>1.2898935661624245</v>
      </c>
      <c r="U353" s="26">
        <f t="shared" si="200"/>
        <v>0.78412917360141143</v>
      </c>
      <c r="V353" s="26">
        <f t="shared" si="201"/>
        <v>-0.66215475878893371</v>
      </c>
      <c r="W353" s="26">
        <f t="shared" si="202"/>
        <v>0.34025574111198242</v>
      </c>
      <c r="X353" s="26">
        <f t="shared" si="203"/>
        <v>0.21763124356784977</v>
      </c>
      <c r="Y353" s="26">
        <f t="shared" si="204"/>
        <v>0.68049463969732527</v>
      </c>
      <c r="Z353" s="26">
        <f t="shared" si="205"/>
        <v>0.66384908691693956</v>
      </c>
      <c r="AA353" s="26">
        <f t="shared" si="206"/>
        <v>0.62850793119017789</v>
      </c>
      <c r="AB353" s="26">
        <f t="shared" si="207"/>
        <v>0.65215106318878224</v>
      </c>
      <c r="AC353" s="26">
        <f t="shared" si="208"/>
        <v>1.6580989668678314</v>
      </c>
      <c r="AD353" s="26">
        <f t="shared" si="209"/>
        <v>0.83998264688979107</v>
      </c>
      <c r="AE353" s="26">
        <f t="shared" si="210"/>
        <v>1.2802776648198646E-2</v>
      </c>
      <c r="AF353" s="26">
        <f t="shared" si="211"/>
        <v>-3.4316675193274597</v>
      </c>
      <c r="AG353" s="26">
        <f t="shared" si="212"/>
        <v>3.1320301254355892E-2</v>
      </c>
      <c r="AH353" s="26">
        <f t="shared" si="213"/>
        <v>1.0479799716985176</v>
      </c>
      <c r="AI353" s="26">
        <f t="shared" si="214"/>
        <v>0.7403868096787426</v>
      </c>
      <c r="AJ353" s="26">
        <f t="shared" si="215"/>
        <v>-0.55981724316436288</v>
      </c>
      <c r="AK353" s="26">
        <f t="shared" si="216"/>
        <v>0.36358974717820153</v>
      </c>
      <c r="AL353" s="26">
        <f t="shared" si="217"/>
        <v>6.609875212655425E-2</v>
      </c>
      <c r="AM353" s="27">
        <f t="shared" si="218"/>
        <v>0.3684572686844661</v>
      </c>
    </row>
    <row r="354" spans="1:39" ht="15" customHeight="1" x14ac:dyDescent="0.2">
      <c r="A354" s="24">
        <v>343</v>
      </c>
      <c r="B354" s="29">
        <f t="shared" si="219"/>
        <v>3.6014129121260838</v>
      </c>
      <c r="C354" s="29">
        <f t="shared" si="220"/>
        <v>-4.1206887395662584</v>
      </c>
      <c r="D354" s="29">
        <f t="shared" si="221"/>
        <v>-2.91999234548953</v>
      </c>
      <c r="E354" s="29">
        <f t="shared" si="222"/>
        <v>-0.24316286509868218</v>
      </c>
      <c r="F354" s="29">
        <f t="shared" si="223"/>
        <v>0.42045640936650858</v>
      </c>
      <c r="G354" s="29">
        <f t="shared" si="224"/>
        <v>0.8698905543948029</v>
      </c>
      <c r="H354" s="29">
        <f t="shared" si="225"/>
        <v>3.5290350232979875</v>
      </c>
      <c r="I354" s="29">
        <f t="shared" si="226"/>
        <v>0.11556270893538254</v>
      </c>
      <c r="J354" s="29">
        <f t="shared" si="227"/>
        <v>-0.75584679008289091</v>
      </c>
      <c r="K354" s="26">
        <f t="shared" si="190"/>
        <v>-2.91999234548953</v>
      </c>
      <c r="L354" s="26">
        <f t="shared" si="191"/>
        <v>5.1174072582766558E-2</v>
      </c>
      <c r="M354" s="26">
        <f t="shared" si="192"/>
        <v>0.8698905543948029</v>
      </c>
      <c r="N354" s="26">
        <f t="shared" si="193"/>
        <v>0.70472292413390514</v>
      </c>
      <c r="O354" s="26">
        <f t="shared" si="194"/>
        <v>-0.49381200549173626</v>
      </c>
      <c r="P354" s="26">
        <f t="shared" si="195"/>
        <v>0.37899596862861268</v>
      </c>
      <c r="Q354" s="26">
        <f t="shared" si="196"/>
        <v>7.1818972118370183E-2</v>
      </c>
      <c r="R354" s="26">
        <f t="shared" si="197"/>
        <v>-7.0406810850557884</v>
      </c>
      <c r="S354" s="26">
        <f t="shared" si="198"/>
        <v>8.7476416639778183E-4</v>
      </c>
      <c r="T354" s="26">
        <f t="shared" si="199"/>
        <v>1.2903469637613114</v>
      </c>
      <c r="U354" s="26">
        <f t="shared" si="200"/>
        <v>0.78420591060393285</v>
      </c>
      <c r="V354" s="26">
        <f t="shared" si="201"/>
        <v>-0.66213475731001814</v>
      </c>
      <c r="W354" s="26">
        <f t="shared" si="202"/>
        <v>0.34026023109375297</v>
      </c>
      <c r="X354" s="26">
        <f t="shared" si="203"/>
        <v>0.21762828133823409</v>
      </c>
      <c r="Y354" s="26">
        <f t="shared" si="204"/>
        <v>0.68142056663655381</v>
      </c>
      <c r="Z354" s="26">
        <f t="shared" si="205"/>
        <v>0.66405567937524024</v>
      </c>
      <c r="AA354" s="26">
        <f t="shared" si="206"/>
        <v>0.62672768929612066</v>
      </c>
      <c r="AB354" s="26">
        <f t="shared" si="207"/>
        <v>0.65174710590755147</v>
      </c>
      <c r="AC354" s="26">
        <f t="shared" si="208"/>
        <v>1.6629466209517429</v>
      </c>
      <c r="AD354" s="26">
        <f t="shared" si="209"/>
        <v>0.84063315541120909</v>
      </c>
      <c r="AE354" s="26">
        <f t="shared" si="210"/>
        <v>1.2698895577093918E-2</v>
      </c>
      <c r="AF354" s="26">
        <f t="shared" si="211"/>
        <v>-3.4392681729297045</v>
      </c>
      <c r="AG354" s="26">
        <f t="shared" si="212"/>
        <v>3.109052208273062E-2</v>
      </c>
      <c r="AH354" s="26">
        <f t="shared" si="213"/>
        <v>1.0471840986626293</v>
      </c>
      <c r="AI354" s="26">
        <f t="shared" si="214"/>
        <v>0.74023380232949765</v>
      </c>
      <c r="AJ354" s="26">
        <f t="shared" si="215"/>
        <v>-0.56058382531757989</v>
      </c>
      <c r="AK354" s="26">
        <f t="shared" si="216"/>
        <v>0.36341238456981645</v>
      </c>
      <c r="AL354" s="26">
        <f t="shared" si="217"/>
        <v>6.6034280629360079E-2</v>
      </c>
      <c r="AM354" s="27">
        <f t="shared" si="218"/>
        <v>0.36818042966305825</v>
      </c>
    </row>
    <row r="355" spans="1:39" ht="15" customHeight="1" x14ac:dyDescent="0.2">
      <c r="A355" s="24">
        <v>344</v>
      </c>
      <c r="B355" s="29">
        <f t="shared" si="219"/>
        <v>3.6092837809597178</v>
      </c>
      <c r="C355" s="29">
        <f t="shared" si="220"/>
        <v>-4.129169622775529</v>
      </c>
      <c r="D355" s="29">
        <f t="shared" si="221"/>
        <v>-2.9269493504229755</v>
      </c>
      <c r="E355" s="29">
        <f t="shared" si="222"/>
        <v>-0.24447107254668032</v>
      </c>
      <c r="F355" s="29">
        <f t="shared" si="223"/>
        <v>0.42148449649924813</v>
      </c>
      <c r="G355" s="29">
        <f t="shared" si="224"/>
        <v>0.86933363864920121</v>
      </c>
      <c r="H355" s="29">
        <f t="shared" si="225"/>
        <v>3.5361637205852565</v>
      </c>
      <c r="I355" s="29">
        <f t="shared" si="226"/>
        <v>0.12052400727587538</v>
      </c>
      <c r="J355" s="29">
        <f t="shared" si="227"/>
        <v>-0.75966901907700157</v>
      </c>
      <c r="K355" s="26">
        <f t="shared" si="190"/>
        <v>-2.9269493504229755</v>
      </c>
      <c r="L355" s="26">
        <f t="shared" si="191"/>
        <v>5.0837326056323913E-2</v>
      </c>
      <c r="M355" s="26">
        <f t="shared" si="192"/>
        <v>0.86933363864920121</v>
      </c>
      <c r="N355" s="26">
        <f t="shared" si="193"/>
        <v>0.70460702314695223</v>
      </c>
      <c r="O355" s="26">
        <f t="shared" si="194"/>
        <v>-0.49497784904066922</v>
      </c>
      <c r="P355" s="26">
        <f t="shared" si="195"/>
        <v>0.37872161672856852</v>
      </c>
      <c r="Q355" s="26">
        <f t="shared" si="196"/>
        <v>7.1715031488750372E-2</v>
      </c>
      <c r="R355" s="26">
        <f t="shared" si="197"/>
        <v>-7.0561189731985046</v>
      </c>
      <c r="S355" s="26">
        <f t="shared" si="198"/>
        <v>8.613749043765986E-4</v>
      </c>
      <c r="T355" s="26">
        <f t="shared" si="199"/>
        <v>1.2908181351484493</v>
      </c>
      <c r="U355" s="26">
        <f t="shared" si="200"/>
        <v>0.78428563484711822</v>
      </c>
      <c r="V355" s="26">
        <f t="shared" si="201"/>
        <v>-0.66209780882964386</v>
      </c>
      <c r="W355" s="26">
        <f t="shared" si="202"/>
        <v>0.3402685254560463</v>
      </c>
      <c r="X355" s="26">
        <f t="shared" si="203"/>
        <v>0.21762280925196975</v>
      </c>
      <c r="Y355" s="26">
        <f t="shared" si="204"/>
        <v>0.68233443053674225</v>
      </c>
      <c r="Z355" s="26">
        <f t="shared" si="205"/>
        <v>0.66425951879952605</v>
      </c>
      <c r="AA355" s="26">
        <f t="shared" si="206"/>
        <v>0.62486256610252089</v>
      </c>
      <c r="AB355" s="26">
        <f t="shared" si="207"/>
        <v>0.65132365391878422</v>
      </c>
      <c r="AC355" s="26">
        <f t="shared" si="208"/>
        <v>1.6677615291591597</v>
      </c>
      <c r="AD355" s="26">
        <f t="shared" si="209"/>
        <v>0.84127714664077058</v>
      </c>
      <c r="AE355" s="26">
        <f t="shared" si="210"/>
        <v>1.2596472089247723E-2</v>
      </c>
      <c r="AF355" s="26">
        <f t="shared" si="211"/>
        <v>-3.4468351922387868</v>
      </c>
      <c r="AG355" s="26">
        <f t="shared" si="212"/>
        <v>3.0863380974876498E-2</v>
      </c>
      <c r="AH355" s="26">
        <f t="shared" si="213"/>
        <v>1.046347062601769</v>
      </c>
      <c r="AI355" s="26">
        <f t="shared" si="214"/>
        <v>0.74007281821162596</v>
      </c>
      <c r="AJ355" s="26">
        <f t="shared" si="215"/>
        <v>-0.56133450925222639</v>
      </c>
      <c r="AK355" s="26">
        <f t="shared" si="216"/>
        <v>0.36323873629130671</v>
      </c>
      <c r="AL355" s="26">
        <f t="shared" si="217"/>
        <v>6.5971189771252728E-2</v>
      </c>
      <c r="AM355" s="27">
        <f t="shared" si="218"/>
        <v>0.36790550260122057</v>
      </c>
    </row>
    <row r="356" spans="1:39" ht="15" customHeight="1" x14ac:dyDescent="0.2">
      <c r="A356" s="24">
        <v>345</v>
      </c>
      <c r="B356" s="29">
        <f t="shared" si="219"/>
        <v>3.6171119053814111</v>
      </c>
      <c r="C356" s="29">
        <f t="shared" si="220"/>
        <v>-4.1376052203931994</v>
      </c>
      <c r="D356" s="29">
        <f t="shared" si="221"/>
        <v>-2.9338753565686395</v>
      </c>
      <c r="E356" s="29">
        <f t="shared" si="222"/>
        <v>-0.245838834905731</v>
      </c>
      <c r="F356" s="29">
        <f t="shared" si="223"/>
        <v>0.42255645743705217</v>
      </c>
      <c r="G356" s="29">
        <f t="shared" si="224"/>
        <v>0.86875035212583607</v>
      </c>
      <c r="H356" s="29">
        <f t="shared" si="225"/>
        <v>3.5432466461116774</v>
      </c>
      <c r="I356" s="29">
        <f t="shared" si="226"/>
        <v>0.12551598944439188</v>
      </c>
      <c r="J356" s="29">
        <f t="shared" si="227"/>
        <v>-0.76350018003689546</v>
      </c>
      <c r="K356" s="26">
        <f t="shared" si="190"/>
        <v>-2.9338753565686395</v>
      </c>
      <c r="L356" s="26">
        <f t="shared" si="191"/>
        <v>5.0504163994267388E-2</v>
      </c>
      <c r="M356" s="26">
        <f t="shared" si="192"/>
        <v>0.86875035212583607</v>
      </c>
      <c r="N356" s="26">
        <f t="shared" si="193"/>
        <v>0.70448560575585306</v>
      </c>
      <c r="O356" s="26">
        <f t="shared" si="194"/>
        <v>-0.49612726249375572</v>
      </c>
      <c r="P356" s="26">
        <f t="shared" si="195"/>
        <v>0.37845120717588304</v>
      </c>
      <c r="Q356" s="26">
        <f t="shared" si="196"/>
        <v>7.1612658106441573E-2</v>
      </c>
      <c r="R356" s="26">
        <f t="shared" si="197"/>
        <v>-7.0714805769618394</v>
      </c>
      <c r="S356" s="26">
        <f t="shared" si="198"/>
        <v>8.4825505754339032E-4</v>
      </c>
      <c r="T356" s="26">
        <f t="shared" si="199"/>
        <v>1.2913068095628883</v>
      </c>
      <c r="U356" s="26">
        <f t="shared" si="200"/>
        <v>0.78436829811897624</v>
      </c>
      <c r="V356" s="26">
        <f t="shared" si="201"/>
        <v>-0.66204384012199058</v>
      </c>
      <c r="W356" s="26">
        <f t="shared" si="202"/>
        <v>0.34028064077202036</v>
      </c>
      <c r="X356" s="26">
        <f t="shared" si="203"/>
        <v>0.21761481647008801</v>
      </c>
      <c r="Y356" s="26">
        <f t="shared" si="204"/>
        <v>0.68323654881277163</v>
      </c>
      <c r="Z356" s="26">
        <f t="shared" si="205"/>
        <v>0.66446067832259692</v>
      </c>
      <c r="AA356" s="26">
        <f t="shared" si="206"/>
        <v>0.62291151722010507</v>
      </c>
      <c r="AB356" s="26">
        <f t="shared" si="207"/>
        <v>0.65088043775596205</v>
      </c>
      <c r="AC356" s="26">
        <f t="shared" si="208"/>
        <v>1.6725437920576749</v>
      </c>
      <c r="AD356" s="26">
        <f t="shared" si="209"/>
        <v>0.84191468005261239</v>
      </c>
      <c r="AE356" s="26">
        <f t="shared" si="210"/>
        <v>1.2495484191433955E-2</v>
      </c>
      <c r="AF356" s="26">
        <f t="shared" si="211"/>
        <v>-3.4543686715804278</v>
      </c>
      <c r="AG356" s="26">
        <f t="shared" si="212"/>
        <v>3.0638842965854566E-2</v>
      </c>
      <c r="AH356" s="26">
        <f t="shared" si="213"/>
        <v>1.0454679746571571</v>
      </c>
      <c r="AI356" s="26">
        <f t="shared" si="214"/>
        <v>0.73990367673668744</v>
      </c>
      <c r="AJ356" s="26">
        <f t="shared" si="215"/>
        <v>-0.56206946037824013</v>
      </c>
      <c r="AK356" s="26">
        <f t="shared" si="216"/>
        <v>0.36306876186573528</v>
      </c>
      <c r="AL356" s="26">
        <f t="shared" si="217"/>
        <v>6.5909462921358991E-2</v>
      </c>
      <c r="AM356" s="27">
        <f t="shared" si="218"/>
        <v>0.36763242168932253</v>
      </c>
    </row>
    <row r="357" spans="1:39" ht="15" customHeight="1" x14ac:dyDescent="0.2">
      <c r="A357" s="24">
        <v>346</v>
      </c>
      <c r="B357" s="29">
        <f t="shared" si="219"/>
        <v>3.6248977453586839</v>
      </c>
      <c r="C357" s="29">
        <f t="shared" si="220"/>
        <v>-4.145995941782032</v>
      </c>
      <c r="D357" s="29">
        <f t="shared" si="221"/>
        <v>-2.9407705083403868</v>
      </c>
      <c r="E357" s="29">
        <f t="shared" si="222"/>
        <v>-0.24726678266866012</v>
      </c>
      <c r="F357" s="29">
        <f t="shared" si="223"/>
        <v>0.42367244208645366</v>
      </c>
      <c r="G357" s="29">
        <f t="shared" si="224"/>
        <v>0.86814025140846185</v>
      </c>
      <c r="H357" s="29">
        <f t="shared" si="225"/>
        <v>3.550284318085914</v>
      </c>
      <c r="I357" s="29">
        <f t="shared" si="226"/>
        <v>0.13053940969019001</v>
      </c>
      <c r="J357" s="29">
        <f t="shared" si="227"/>
        <v>-0.76734081254727504</v>
      </c>
      <c r="K357" s="26">
        <f t="shared" si="190"/>
        <v>-2.9407705083403868</v>
      </c>
      <c r="L357" s="26">
        <f t="shared" si="191"/>
        <v>5.0174540301697469E-2</v>
      </c>
      <c r="M357" s="26">
        <f t="shared" si="192"/>
        <v>0.86814025140846185</v>
      </c>
      <c r="N357" s="26">
        <f t="shared" si="193"/>
        <v>0.70435857570542459</v>
      </c>
      <c r="O357" s="26">
        <f t="shared" si="194"/>
        <v>-0.49726037626417968</v>
      </c>
      <c r="P357" s="26">
        <f t="shared" si="195"/>
        <v>0.37818470621299449</v>
      </c>
      <c r="Q357" s="26">
        <f t="shared" si="196"/>
        <v>7.1511836006704479E-2</v>
      </c>
      <c r="R357" s="26">
        <f t="shared" si="197"/>
        <v>-7.0867664501224183</v>
      </c>
      <c r="S357" s="26">
        <f t="shared" si="198"/>
        <v>8.3539808572788031E-4</v>
      </c>
      <c r="T357" s="26">
        <f t="shared" si="199"/>
        <v>1.2918126934949155</v>
      </c>
      <c r="U357" s="26">
        <f t="shared" si="200"/>
        <v>0.78445384832254605</v>
      </c>
      <c r="V357" s="26">
        <f t="shared" si="201"/>
        <v>-0.66197276953493334</v>
      </c>
      <c r="W357" s="26">
        <f t="shared" si="202"/>
        <v>0.34029659556975772</v>
      </c>
      <c r="X357" s="26">
        <f t="shared" si="203"/>
        <v>0.21760429090842595</v>
      </c>
      <c r="Y357" s="26">
        <f t="shared" si="204"/>
        <v>0.68412723701829714</v>
      </c>
      <c r="Z357" s="26">
        <f t="shared" si="205"/>
        <v>0.66465923055208143</v>
      </c>
      <c r="AA357" s="26">
        <f t="shared" si="206"/>
        <v>0.62087346873980176</v>
      </c>
      <c r="AB357" s="26">
        <f t="shared" si="207"/>
        <v>0.65041717932659837</v>
      </c>
      <c r="AC357" s="26">
        <f t="shared" si="208"/>
        <v>1.6772935051944819</v>
      </c>
      <c r="AD357" s="26">
        <f t="shared" si="209"/>
        <v>0.84254581389690653</v>
      </c>
      <c r="AE357" s="26">
        <f t="shared" si="210"/>
        <v>1.2395910360693797E-2</v>
      </c>
      <c r="AF357" s="26">
        <f t="shared" si="211"/>
        <v>-3.4618687047637349</v>
      </c>
      <c r="AG357" s="26">
        <f t="shared" si="212"/>
        <v>3.0416873620661974E-2</v>
      </c>
      <c r="AH357" s="26">
        <f t="shared" si="213"/>
        <v>1.0445459108262554</v>
      </c>
      <c r="AI357" s="26">
        <f t="shared" si="214"/>
        <v>0.73972618978370908</v>
      </c>
      <c r="AJ357" s="26">
        <f t="shared" si="215"/>
        <v>-0.56278884297989884</v>
      </c>
      <c r="AK357" s="26">
        <f t="shared" si="216"/>
        <v>0.36290242114978782</v>
      </c>
      <c r="AL357" s="26">
        <f t="shared" si="217"/>
        <v>6.584908363818899E-2</v>
      </c>
      <c r="AM357" s="27">
        <f t="shared" si="218"/>
        <v>0.36736112091401324</v>
      </c>
    </row>
    <row r="358" spans="1:39" ht="15" customHeight="1" x14ac:dyDescent="0.2">
      <c r="A358" s="24">
        <v>347</v>
      </c>
      <c r="B358" s="29">
        <f t="shared" si="219"/>
        <v>3.6326417587109781</v>
      </c>
      <c r="C358" s="29">
        <f t="shared" si="220"/>
        <v>-4.1543421938912335</v>
      </c>
      <c r="D358" s="29">
        <f t="shared" si="221"/>
        <v>-2.9476349496927923</v>
      </c>
      <c r="E358" s="29">
        <f t="shared" si="222"/>
        <v>-0.24875555921470921</v>
      </c>
      <c r="F358" s="29">
        <f t="shared" si="223"/>
        <v>0.42483259471204193</v>
      </c>
      <c r="G358" s="29">
        <f t="shared" si="224"/>
        <v>0.86750287553735062</v>
      </c>
      <c r="H358" s="29">
        <f t="shared" si="225"/>
        <v>3.5572772521711169</v>
      </c>
      <c r="I358" s="29">
        <f t="shared" si="226"/>
        <v>0.13559503747686139</v>
      </c>
      <c r="J358" s="29">
        <f t="shared" si="227"/>
        <v>-0.77119145916687515</v>
      </c>
      <c r="K358" s="26">
        <f t="shared" si="190"/>
        <v>-2.9476349496927923</v>
      </c>
      <c r="L358" s="26">
        <f t="shared" si="191"/>
        <v>4.9848409544412546E-2</v>
      </c>
      <c r="M358" s="26">
        <f t="shared" si="192"/>
        <v>0.86750287553735062</v>
      </c>
      <c r="N358" s="26">
        <f t="shared" si="193"/>
        <v>0.70422583281553597</v>
      </c>
      <c r="O358" s="26">
        <f t="shared" si="194"/>
        <v>-0.49837731764483029</v>
      </c>
      <c r="P358" s="26">
        <f t="shared" si="195"/>
        <v>0.37792208088302864</v>
      </c>
      <c r="Q358" s="26">
        <f t="shared" si="196"/>
        <v>7.1412549609479223E-2</v>
      </c>
      <c r="R358" s="26">
        <f t="shared" si="197"/>
        <v>-7.1019771435840262</v>
      </c>
      <c r="S358" s="26">
        <f t="shared" si="198"/>
        <v>8.2279763057564422E-4</v>
      </c>
      <c r="T358" s="26">
        <f t="shared" si="199"/>
        <v>1.2923354702493925</v>
      </c>
      <c r="U358" s="26">
        <f t="shared" si="200"/>
        <v>0.78454222941232832</v>
      </c>
      <c r="V358" s="26">
        <f t="shared" si="201"/>
        <v>-0.66188450687314304</v>
      </c>
      <c r="W358" s="26">
        <f t="shared" si="202"/>
        <v>0.3403164103596531</v>
      </c>
      <c r="X358" s="26">
        <f t="shared" si="203"/>
        <v>0.21759121922038679</v>
      </c>
      <c r="Y358" s="26">
        <f t="shared" si="204"/>
        <v>0.68500680901818578</v>
      </c>
      <c r="Z358" s="26">
        <f t="shared" si="205"/>
        <v>0.66485524761181536</v>
      </c>
      <c r="AA358" s="26">
        <f t="shared" si="206"/>
        <v>0.61874731632264135</v>
      </c>
      <c r="AB358" s="26">
        <f t="shared" si="207"/>
        <v>0.64993359164384557</v>
      </c>
      <c r="AC358" s="26">
        <f t="shared" si="208"/>
        <v>1.682010758865649</v>
      </c>
      <c r="AD358" s="26">
        <f t="shared" si="209"/>
        <v>0.84317060518350151</v>
      </c>
      <c r="AE358" s="26">
        <f t="shared" si="210"/>
        <v>1.2297729539254582E-2</v>
      </c>
      <c r="AF358" s="26">
        <f t="shared" si="211"/>
        <v>-3.4693353848730477</v>
      </c>
      <c r="AG358" s="26">
        <f t="shared" si="212"/>
        <v>3.0197439031771973E-2</v>
      </c>
      <c r="AH358" s="26">
        <f t="shared" si="213"/>
        <v>1.0435799110346833</v>
      </c>
      <c r="AI358" s="26">
        <f t="shared" si="214"/>
        <v>0.7395401614708158</v>
      </c>
      <c r="AJ358" s="26">
        <f t="shared" si="215"/>
        <v>-0.5634928203150491</v>
      </c>
      <c r="AK358" s="26">
        <f t="shared" si="216"/>
        <v>0.3627396743092734</v>
      </c>
      <c r="AL358" s="26">
        <f t="shared" si="217"/>
        <v>6.5790035658998866E-2</v>
      </c>
      <c r="AM358" s="27">
        <f t="shared" si="218"/>
        <v>0.36709153402811945</v>
      </c>
    </row>
    <row r="359" spans="1:39" ht="15" customHeight="1" x14ac:dyDescent="0.2">
      <c r="A359" s="24">
        <v>348</v>
      </c>
      <c r="B359" s="29">
        <f t="shared" si="219"/>
        <v>3.6403444011707107</v>
      </c>
      <c r="C359" s="29">
        <f t="shared" si="220"/>
        <v>-4.162644381224343</v>
      </c>
      <c r="D359" s="29">
        <f t="shared" si="221"/>
        <v>-2.9544688240060668</v>
      </c>
      <c r="E359" s="29">
        <f t="shared" si="222"/>
        <v>-0.250305821313274</v>
      </c>
      <c r="F359" s="29">
        <f t="shared" si="223"/>
        <v>0.42603705391512836</v>
      </c>
      <c r="G359" s="29">
        <f t="shared" si="224"/>
        <v>0.86683774557977489</v>
      </c>
      <c r="H359" s="29">
        <f t="shared" si="225"/>
        <v>3.5642259615206191</v>
      </c>
      <c r="I359" s="29">
        <f t="shared" si="226"/>
        <v>0.1406836577052078</v>
      </c>
      <c r="J359" s="29">
        <f t="shared" si="227"/>
        <v>-0.77505266537147866</v>
      </c>
      <c r="K359" s="26">
        <f t="shared" si="190"/>
        <v>-2.9544688240060668</v>
      </c>
      <c r="L359" s="26">
        <f t="shared" si="191"/>
        <v>4.9525726944334728E-2</v>
      </c>
      <c r="M359" s="26">
        <f t="shared" si="192"/>
        <v>0.86683774557977489</v>
      </c>
      <c r="N359" s="26">
        <f t="shared" si="193"/>
        <v>0.70408727287689288</v>
      </c>
      <c r="O359" s="26">
        <f t="shared" si="194"/>
        <v>-0.49947821074129356</v>
      </c>
      <c r="P359" s="26">
        <f t="shared" si="195"/>
        <v>0.37766329904396906</v>
      </c>
      <c r="Q359" s="26">
        <f t="shared" si="196"/>
        <v>7.1314783722387198E-2</v>
      </c>
      <c r="R359" s="26">
        <f t="shared" si="197"/>
        <v>-7.1171132052304102</v>
      </c>
      <c r="S359" s="26">
        <f t="shared" si="198"/>
        <v>8.1044751003844122E-4</v>
      </c>
      <c r="T359" s="26">
        <f t="shared" si="199"/>
        <v>1.2928747994949032</v>
      </c>
      <c r="U359" s="26">
        <f t="shared" si="200"/>
        <v>0.78463338132892824</v>
      </c>
      <c r="V359" s="26">
        <f t="shared" si="201"/>
        <v>-0.66177895327279113</v>
      </c>
      <c r="W359" s="26">
        <f t="shared" si="202"/>
        <v>0.34034010766384565</v>
      </c>
      <c r="X359" s="26">
        <f t="shared" si="203"/>
        <v>0.21757558677847333</v>
      </c>
      <c r="Y359" s="26">
        <f t="shared" si="204"/>
        <v>0.68587557716464387</v>
      </c>
      <c r="Z359" s="26">
        <f t="shared" si="205"/>
        <v>0.66504880118389864</v>
      </c>
      <c r="AA359" s="26">
        <f t="shared" si="206"/>
        <v>0.61653192426650083</v>
      </c>
      <c r="AB359" s="26">
        <f t="shared" si="207"/>
        <v>0.64942937855062965</v>
      </c>
      <c r="AC359" s="26">
        <f t="shared" si="208"/>
        <v>1.6866956378820601</v>
      </c>
      <c r="AD359" s="26">
        <f t="shared" si="209"/>
        <v>0.84378910966549669</v>
      </c>
      <c r="AE359" s="26">
        <f t="shared" si="210"/>
        <v>1.2200921129549109E-2</v>
      </c>
      <c r="AF359" s="26">
        <f t="shared" si="211"/>
        <v>-3.4767688040596991</v>
      </c>
      <c r="AG359" s="26">
        <f t="shared" si="212"/>
        <v>2.9980505816563616E-2</v>
      </c>
      <c r="AH359" s="26">
        <f t="shared" si="213"/>
        <v>1.0425689781816292</v>
      </c>
      <c r="AI359" s="26">
        <f t="shared" si="214"/>
        <v>0.7393453879184464</v>
      </c>
      <c r="AJ359" s="26">
        <f t="shared" si="215"/>
        <v>-0.56418155472071985</v>
      </c>
      <c r="AK359" s="26">
        <f t="shared" si="216"/>
        <v>0.36258048179319408</v>
      </c>
      <c r="AL359" s="26">
        <f t="shared" si="217"/>
        <v>6.5732302888692376E-2</v>
      </c>
      <c r="AM359" s="27">
        <f t="shared" si="218"/>
        <v>0.36682359451910201</v>
      </c>
    </row>
    <row r="360" spans="1:39" ht="15" customHeight="1" x14ac:dyDescent="0.2">
      <c r="A360" s="24">
        <v>349</v>
      </c>
      <c r="B360" s="29">
        <f t="shared" si="219"/>
        <v>3.6480061264494146</v>
      </c>
      <c r="C360" s="29">
        <f t="shared" si="220"/>
        <v>-4.1709029058105536</v>
      </c>
      <c r="D360" s="29">
        <f t="shared" si="221"/>
        <v>-2.9612722739722881</v>
      </c>
      <c r="E360" s="29">
        <f t="shared" si="222"/>
        <v>-0.2519182396405924</v>
      </c>
      <c r="F360" s="29">
        <f t="shared" si="223"/>
        <v>0.42728595260912461</v>
      </c>
      <c r="G360" s="29">
        <f t="shared" si="224"/>
        <v>0.8661443641891976</v>
      </c>
      <c r="H360" s="29">
        <f t="shared" si="225"/>
        <v>3.5711309568194931</v>
      </c>
      <c r="I360" s="29">
        <f t="shared" si="226"/>
        <v>0.14580607095306247</v>
      </c>
      <c r="J360" s="29">
        <f t="shared" si="227"/>
        <v>-0.77892497949729111</v>
      </c>
      <c r="K360" s="26">
        <f t="shared" si="190"/>
        <v>-2.9612722739722881</v>
      </c>
      <c r="L360" s="26">
        <f t="shared" si="191"/>
        <v>4.9206448374823103E-2</v>
      </c>
      <c r="M360" s="26">
        <f t="shared" si="192"/>
        <v>0.8661443641891976</v>
      </c>
      <c r="N360" s="26">
        <f t="shared" si="193"/>
        <v>0.7039427875435661</v>
      </c>
      <c r="O360" s="26">
        <f t="shared" si="194"/>
        <v>-0.50056317640334624</v>
      </c>
      <c r="P360" s="26">
        <f t="shared" si="195"/>
        <v>0.37740832938317986</v>
      </c>
      <c r="Q360" s="26">
        <f t="shared" si="196"/>
        <v>7.1218523543901388E-2</v>
      </c>
      <c r="R360" s="26">
        <f t="shared" si="197"/>
        <v>-7.1321751797828412</v>
      </c>
      <c r="S360" s="26">
        <f t="shared" si="198"/>
        <v>7.9834171304085872E-4</v>
      </c>
      <c r="T360" s="26">
        <f t="shared" si="199"/>
        <v>1.2934303167983221</v>
      </c>
      <c r="U360" s="26">
        <f t="shared" si="200"/>
        <v>0.78472723993184446</v>
      </c>
      <c r="V360" s="26">
        <f t="shared" si="201"/>
        <v>-0.66165600106742717</v>
      </c>
      <c r="W360" s="26">
        <f t="shared" si="202"/>
        <v>0.34036771204779703</v>
      </c>
      <c r="X360" s="26">
        <f t="shared" si="203"/>
        <v>0.21755737765452901</v>
      </c>
      <c r="Y360" s="26">
        <f t="shared" si="204"/>
        <v>0.68673385247712648</v>
      </c>
      <c r="Z360" s="26">
        <f t="shared" si="205"/>
        <v>0.66523996255145179</v>
      </c>
      <c r="AA360" s="26">
        <f t="shared" si="206"/>
        <v>0.61422612454860515</v>
      </c>
      <c r="AB360" s="26">
        <f t="shared" si="207"/>
        <v>0.64890423443601386</v>
      </c>
      <c r="AC360" s="26">
        <f t="shared" si="208"/>
        <v>1.6913482213315589</v>
      </c>
      <c r="AD360" s="26">
        <f t="shared" si="209"/>
        <v>0.84440138182268198</v>
      </c>
      <c r="AE360" s="26">
        <f t="shared" si="210"/>
        <v>1.2105464989345401E-2</v>
      </c>
      <c r="AF360" s="26">
        <f t="shared" si="211"/>
        <v>-3.4841690533334271</v>
      </c>
      <c r="AG360" s="26">
        <f t="shared" si="212"/>
        <v>2.9766041114655868E-2</v>
      </c>
      <c r="AH360" s="26">
        <f t="shared" si="213"/>
        <v>1.0415120771577298</v>
      </c>
      <c r="AI360" s="26">
        <f t="shared" si="214"/>
        <v>0.73914165700376122</v>
      </c>
      <c r="AJ360" s="26">
        <f t="shared" si="215"/>
        <v>-0.56485520772532716</v>
      </c>
      <c r="AK360" s="26">
        <f t="shared" si="216"/>
        <v>0.362424804306334</v>
      </c>
      <c r="AL360" s="26">
        <f t="shared" si="217"/>
        <v>6.5675869388242256E-2</v>
      </c>
      <c r="AM360" s="27">
        <f t="shared" si="218"/>
        <v>0.36655723557601805</v>
      </c>
    </row>
    <row r="361" spans="1:39" ht="15" customHeight="1" x14ac:dyDescent="0.2">
      <c r="A361" s="24">
        <v>350</v>
      </c>
      <c r="B361" s="29">
        <f t="shared" si="219"/>
        <v>3.6556273863089381</v>
      </c>
      <c r="C361" s="29">
        <f t="shared" si="220"/>
        <v>-4.1791181671793041</v>
      </c>
      <c r="D361" s="29">
        <f t="shared" si="221"/>
        <v>-2.9680454414827797</v>
      </c>
      <c r="E361" s="29">
        <f t="shared" si="222"/>
        <v>-0.25359349931003755</v>
      </c>
      <c r="F361" s="29">
        <f t="shared" si="223"/>
        <v>0.42857941799170973</v>
      </c>
      <c r="G361" s="29">
        <f t="shared" si="224"/>
        <v>0.86542221515269835</v>
      </c>
      <c r="H361" s="29">
        <f t="shared" si="225"/>
        <v>3.5779927463318542</v>
      </c>
      <c r="I361" s="29">
        <f t="shared" si="226"/>
        <v>0.15096309373276257</v>
      </c>
      <c r="J361" s="29">
        <f t="shared" si="227"/>
        <v>-0.78280895268453354</v>
      </c>
      <c r="K361" s="26">
        <f t="shared" si="190"/>
        <v>-2.9680454414827797</v>
      </c>
      <c r="L361" s="26">
        <f t="shared" si="191"/>
        <v>4.8890530355889798E-2</v>
      </c>
      <c r="M361" s="26">
        <f t="shared" si="192"/>
        <v>0.86542221515269835</v>
      </c>
      <c r="N361" s="26">
        <f t="shared" si="193"/>
        <v>0.70379226422211771</v>
      </c>
      <c r="O361" s="26">
        <f t="shared" si="194"/>
        <v>-0.50163233215468572</v>
      </c>
      <c r="P361" s="26">
        <f t="shared" si="195"/>
        <v>0.37715714143234341</v>
      </c>
      <c r="Q361" s="26">
        <f t="shared" si="196"/>
        <v>7.1123754666708353E-2</v>
      </c>
      <c r="R361" s="26">
        <f t="shared" si="197"/>
        <v>-7.1471636086620833</v>
      </c>
      <c r="S361" s="26">
        <f t="shared" si="198"/>
        <v>7.8647439431768669E-4</v>
      </c>
      <c r="T361" s="26">
        <f t="shared" si="199"/>
        <v>1.2940016331444082</v>
      </c>
      <c r="U361" s="26">
        <f t="shared" si="200"/>
        <v>0.78482373693032659</v>
      </c>
      <c r="V361" s="26">
        <f t="shared" si="201"/>
        <v>-0.66151553364457927</v>
      </c>
      <c r="W361" s="26">
        <f t="shared" si="202"/>
        <v>0.34039925015412298</v>
      </c>
      <c r="X361" s="26">
        <f t="shared" si="203"/>
        <v>0.21753657459862161</v>
      </c>
      <c r="Y361" s="26">
        <f t="shared" si="204"/>
        <v>0.68758194482615842</v>
      </c>
      <c r="Z361" s="26">
        <f t="shared" si="205"/>
        <v>0.66542880264210669</v>
      </c>
      <c r="AA361" s="26">
        <f t="shared" si="206"/>
        <v>0.61182871584266074</v>
      </c>
      <c r="AB361" s="26">
        <f t="shared" si="207"/>
        <v>0.64835784394348395</v>
      </c>
      <c r="AC361" s="26">
        <f t="shared" si="208"/>
        <v>1.6959685823368273</v>
      </c>
      <c r="AD361" s="26">
        <f t="shared" si="209"/>
        <v>0.84500747484477823</v>
      </c>
      <c r="AE361" s="26">
        <f t="shared" si="210"/>
        <v>1.2011341426996027E-2</v>
      </c>
      <c r="AF361" s="26">
        <f t="shared" si="211"/>
        <v>-3.4915362223531456</v>
      </c>
      <c r="AG361" s="26">
        <f t="shared" si="212"/>
        <v>2.9554012585161528E-2</v>
      </c>
      <c r="AH361" s="26">
        <f t="shared" si="213"/>
        <v>1.0404081338343705</v>
      </c>
      <c r="AI361" s="26">
        <f t="shared" si="214"/>
        <v>0.73892874810583187</v>
      </c>
      <c r="AJ361" s="26">
        <f t="shared" si="215"/>
        <v>-0.56551394016769163</v>
      </c>
      <c r="AK361" s="26">
        <f t="shared" si="216"/>
        <v>0.36227260278031714</v>
      </c>
      <c r="AL361" s="26">
        <f t="shared" si="217"/>
        <v>6.5620719362612726E-2</v>
      </c>
      <c r="AM361" s="27">
        <f t="shared" si="218"/>
        <v>0.36629239005493869</v>
      </c>
    </row>
    <row r="362" spans="1:39" ht="15" customHeight="1" x14ac:dyDescent="0.2">
      <c r="A362" s="24">
        <v>351</v>
      </c>
      <c r="B362" s="29">
        <f t="shared" si="219"/>
        <v>3.6632086306376777</v>
      </c>
      <c r="C362" s="29">
        <f t="shared" si="220"/>
        <v>-4.1872905623379957</v>
      </c>
      <c r="D362" s="29">
        <f t="shared" si="221"/>
        <v>-2.9747884675164902</v>
      </c>
      <c r="E362" s="29">
        <f t="shared" si="222"/>
        <v>-0.25533230041669797</v>
      </c>
      <c r="F362" s="29">
        <f t="shared" si="223"/>
        <v>0.429917571513875</v>
      </c>
      <c r="G362" s="29">
        <f t="shared" si="224"/>
        <v>0.86467076292615386</v>
      </c>
      <c r="H362" s="29">
        <f t="shared" si="225"/>
        <v>3.5848118359538219</v>
      </c>
      <c r="I362" s="29">
        <f t="shared" si="226"/>
        <v>0.15615555876700948</v>
      </c>
      <c r="J362" s="29">
        <f t="shared" si="227"/>
        <v>-0.78670513882110948</v>
      </c>
      <c r="K362" s="26">
        <f t="shared" si="190"/>
        <v>-2.9747884675164902</v>
      </c>
      <c r="L362" s="26">
        <f t="shared" si="191"/>
        <v>4.8577930049332571E-2</v>
      </c>
      <c r="M362" s="26">
        <f t="shared" si="192"/>
        <v>0.86467076292615386</v>
      </c>
      <c r="N362" s="26">
        <f t="shared" si="193"/>
        <v>0.70363558595717612</v>
      </c>
      <c r="O362" s="26">
        <f t="shared" si="194"/>
        <v>-0.50268579212063025</v>
      </c>
      <c r="P362" s="26">
        <f t="shared" si="195"/>
        <v>0.37690970558287729</v>
      </c>
      <c r="Q362" s="26">
        <f t="shared" si="196"/>
        <v>7.1030463081285619E-2</v>
      </c>
      <c r="R362" s="26">
        <f t="shared" si="197"/>
        <v>-7.1620790298544854</v>
      </c>
      <c r="S362" s="26">
        <f t="shared" si="198"/>
        <v>7.7483986941655832E-4</v>
      </c>
      <c r="T362" s="26">
        <f t="shared" si="199"/>
        <v>1.2945883344400289</v>
      </c>
      <c r="U362" s="26">
        <f t="shared" si="200"/>
        <v>0.78492279981222801</v>
      </c>
      <c r="V362" s="26">
        <f t="shared" si="201"/>
        <v>-0.6613574252926121</v>
      </c>
      <c r="W362" s="26">
        <f t="shared" si="202"/>
        <v>0.34043475073878798</v>
      </c>
      <c r="X362" s="26">
        <f t="shared" si="203"/>
        <v>0.21751315901650239</v>
      </c>
      <c r="Y362" s="26">
        <f t="shared" si="204"/>
        <v>0.68842016312118748</v>
      </c>
      <c r="Z362" s="26">
        <f t="shared" si="205"/>
        <v>0.66561539207225262</v>
      </c>
      <c r="AA362" s="26">
        <f t="shared" si="206"/>
        <v>0.60933846250945589</v>
      </c>
      <c r="AB362" s="26">
        <f t="shared" si="207"/>
        <v>0.64778988167084584</v>
      </c>
      <c r="AC362" s="26">
        <f t="shared" si="208"/>
        <v>1.7005567878084713</v>
      </c>
      <c r="AD362" s="26">
        <f t="shared" si="209"/>
        <v>0.84560744061439919</v>
      </c>
      <c r="AE362" s="26">
        <f t="shared" si="210"/>
        <v>1.1918531196818138E-2</v>
      </c>
      <c r="AF362" s="26">
        <f t="shared" si="211"/>
        <v>-3.4988703992168082</v>
      </c>
      <c r="AG362" s="26">
        <f t="shared" si="212"/>
        <v>2.9344388403874502E-2</v>
      </c>
      <c r="AH362" s="26">
        <f t="shared" si="213"/>
        <v>1.0392560340233308</v>
      </c>
      <c r="AI362" s="26">
        <f t="shared" si="214"/>
        <v>0.73870643184118956</v>
      </c>
      <c r="AJ362" s="26">
        <f t="shared" si="215"/>
        <v>-0.56615791232312929</v>
      </c>
      <c r="AK362" s="26">
        <f t="shared" si="216"/>
        <v>0.36212383834307438</v>
      </c>
      <c r="AL362" s="26">
        <f t="shared" si="217"/>
        <v>6.5566837148160528E-2</v>
      </c>
      <c r="AM362" s="27">
        <f t="shared" si="218"/>
        <v>0.36602899044276666</v>
      </c>
    </row>
    <row r="363" spans="1:39" ht="15" customHeight="1" x14ac:dyDescent="0.2">
      <c r="A363" s="24">
        <v>352</v>
      </c>
      <c r="B363" s="29">
        <f t="shared" si="219"/>
        <v>3.6707503075318368</v>
      </c>
      <c r="C363" s="29">
        <f t="shared" si="220"/>
        <v>-4.195420485752666</v>
      </c>
      <c r="D363" s="29">
        <f t="shared" si="221"/>
        <v>-2.9815014920292064</v>
      </c>
      <c r="E363" s="29">
        <f t="shared" si="222"/>
        <v>-0.25713535859695391</v>
      </c>
      <c r="F363" s="29">
        <f t="shared" si="223"/>
        <v>0.43130052884594755</v>
      </c>
      <c r="G363" s="29">
        <f t="shared" si="224"/>
        <v>0.86388945215667656</v>
      </c>
      <c r="H363" s="29">
        <f t="shared" si="225"/>
        <v>3.5915887292720536</v>
      </c>
      <c r="I363" s="29">
        <f t="shared" si="226"/>
        <v>0.16138431528388819</v>
      </c>
      <c r="J363" s="29">
        <f t="shared" si="227"/>
        <v>-0.79061409448619457</v>
      </c>
      <c r="K363" s="26">
        <f t="shared" si="190"/>
        <v>-2.9815014920292064</v>
      </c>
      <c r="L363" s="26">
        <f t="shared" si="191"/>
        <v>4.8268605253798162E-2</v>
      </c>
      <c r="M363" s="26">
        <f t="shared" si="192"/>
        <v>0.86388945215667656</v>
      </c>
      <c r="N363" s="26">
        <f t="shared" si="193"/>
        <v>0.70347263131330373</v>
      </c>
      <c r="O363" s="26">
        <f t="shared" si="194"/>
        <v>-0.50372366695351856</v>
      </c>
      <c r="P363" s="26">
        <f t="shared" si="195"/>
        <v>0.37666599310189391</v>
      </c>
      <c r="Q363" s="26">
        <f t="shared" si="196"/>
        <v>7.093863517971799E-2</v>
      </c>
      <c r="R363" s="26">
        <f t="shared" si="197"/>
        <v>-7.1769219777818725</v>
      </c>
      <c r="S363" s="26">
        <f t="shared" si="198"/>
        <v>7.6343260986058042E-4</v>
      </c>
      <c r="T363" s="26">
        <f t="shared" si="199"/>
        <v>1.2951899810026242</v>
      </c>
      <c r="U363" s="26">
        <f t="shared" si="200"/>
        <v>0.78502435177077723</v>
      </c>
      <c r="V363" s="26">
        <f t="shared" si="201"/>
        <v>-0.66118154103735549</v>
      </c>
      <c r="W363" s="26">
        <f t="shared" si="202"/>
        <v>0.34047424470978027</v>
      </c>
      <c r="X363" s="26">
        <f t="shared" si="203"/>
        <v>0.21748711094556739</v>
      </c>
      <c r="Y363" s="26">
        <f t="shared" si="204"/>
        <v>0.6892488155026304</v>
      </c>
      <c r="Z363" s="26">
        <f t="shared" si="205"/>
        <v>0.66579980119208149</v>
      </c>
      <c r="AA363" s="26">
        <f t="shared" si="206"/>
        <v>0.60675409355972265</v>
      </c>
      <c r="AB363" s="26">
        <f t="shared" si="207"/>
        <v>0.64720001186141651</v>
      </c>
      <c r="AC363" s="26">
        <f t="shared" si="208"/>
        <v>1.7051128981928381</v>
      </c>
      <c r="AD363" s="26">
        <f t="shared" si="209"/>
        <v>0.84620132968967399</v>
      </c>
      <c r="AE363" s="26">
        <f t="shared" si="210"/>
        <v>1.1827015494612177E-2</v>
      </c>
      <c r="AF363" s="26">
        <f t="shared" si="211"/>
        <v>-3.5061716702500356</v>
      </c>
      <c r="AG363" s="26">
        <f t="shared" si="212"/>
        <v>2.9137137260405257E-2</v>
      </c>
      <c r="AH363" s="26">
        <f t="shared" si="213"/>
        <v>1.0380546224056701</v>
      </c>
      <c r="AI363" s="26">
        <f t="shared" si="214"/>
        <v>0.73847446978928333</v>
      </c>
      <c r="AJ363" s="26">
        <f t="shared" si="215"/>
        <v>-0.56678728403689438</v>
      </c>
      <c r="AK363" s="26">
        <f t="shared" si="216"/>
        <v>0.3619784722866552</v>
      </c>
      <c r="AL363" s="26">
        <f t="shared" si="217"/>
        <v>6.5514207199490401E-2</v>
      </c>
      <c r="AM363" s="27">
        <f t="shared" si="218"/>
        <v>0.36576696881938797</v>
      </c>
    </row>
    <row r="364" spans="1:39" ht="15" customHeight="1" x14ac:dyDescent="0.2">
      <c r="A364" s="24">
        <v>353</v>
      </c>
      <c r="B364" s="29">
        <f t="shared" si="219"/>
        <v>3.6782528633817129</v>
      </c>
      <c r="C364" s="29">
        <f t="shared" si="220"/>
        <v>-4.2035083293314921</v>
      </c>
      <c r="D364" s="29">
        <f t="shared" si="221"/>
        <v>-2.98818465384345</v>
      </c>
      <c r="E364" s="29">
        <f t="shared" si="222"/>
        <v>-0.25900340560378765</v>
      </c>
      <c r="F364" s="29">
        <f t="shared" si="223"/>
        <v>0.43272839984070938</v>
      </c>
      <c r="G364" s="29">
        <f t="shared" si="224"/>
        <v>0.86307770719180099</v>
      </c>
      <c r="H364" s="29">
        <f t="shared" si="225"/>
        <v>3.5983239276277819</v>
      </c>
      <c r="I364" s="29">
        <f t="shared" si="226"/>
        <v>0.16665022933184861</v>
      </c>
      <c r="J364" s="29">
        <f t="shared" si="227"/>
        <v>-0.79453637889359174</v>
      </c>
      <c r="K364" s="26">
        <f t="shared" si="190"/>
        <v>-2.98818465384345</v>
      </c>
      <c r="L364" s="26">
        <f t="shared" si="191"/>
        <v>4.7962514399789213E-2</v>
      </c>
      <c r="M364" s="26">
        <f t="shared" si="192"/>
        <v>0.86307770719180099</v>
      </c>
      <c r="N364" s="26">
        <f t="shared" si="193"/>
        <v>0.70330327425299455</v>
      </c>
      <c r="O364" s="26">
        <f t="shared" si="194"/>
        <v>-0.50474606375553654</v>
      </c>
      <c r="P364" s="26">
        <f t="shared" si="195"/>
        <v>0.37642597614876777</v>
      </c>
      <c r="Q364" s="26">
        <f t="shared" si="196"/>
        <v>7.0848257759776337E-2</v>
      </c>
      <c r="R364" s="26">
        <f t="shared" si="197"/>
        <v>-7.1916929831749421</v>
      </c>
      <c r="S364" s="26">
        <f t="shared" si="198"/>
        <v>7.5224723846581908E-4</v>
      </c>
      <c r="T364" s="26">
        <f t="shared" si="199"/>
        <v>1.2958061070325104</v>
      </c>
      <c r="U364" s="26">
        <f t="shared" si="200"/>
        <v>0.7851283116291875</v>
      </c>
      <c r="V364" s="26">
        <f t="shared" si="201"/>
        <v>-0.66098773646799702</v>
      </c>
      <c r="W364" s="26">
        <f t="shared" si="202"/>
        <v>0.34051776516838744</v>
      </c>
      <c r="X364" s="26">
        <f t="shared" si="203"/>
        <v>0.21745840902924904</v>
      </c>
      <c r="Y364" s="26">
        <f t="shared" si="204"/>
        <v>0.69006820953826287</v>
      </c>
      <c r="Z364" s="26">
        <f t="shared" si="205"/>
        <v>0.66598210013146097</v>
      </c>
      <c r="AA364" s="26">
        <f t="shared" si="206"/>
        <v>0.60407430158801334</v>
      </c>
      <c r="AB364" s="26">
        <f t="shared" si="207"/>
        <v>0.64658788808618683</v>
      </c>
      <c r="AC364" s="26">
        <f t="shared" si="208"/>
        <v>1.7096369672140044</v>
      </c>
      <c r="AD364" s="26">
        <f t="shared" si="209"/>
        <v>0.84678919128645158</v>
      </c>
      <c r="AE364" s="26">
        <f t="shared" si="210"/>
        <v>1.1736775953329762E-2</v>
      </c>
      <c r="AF364" s="26">
        <f t="shared" si="211"/>
        <v>-3.5134401197932292</v>
      </c>
      <c r="AG364" s="26">
        <f t="shared" si="212"/>
        <v>2.8932228355277197E-2</v>
      </c>
      <c r="AH364" s="26">
        <f t="shared" si="213"/>
        <v>1.0368027014287227</v>
      </c>
      <c r="AI364" s="26">
        <f t="shared" si="214"/>
        <v>0.73823261420738806</v>
      </c>
      <c r="AJ364" s="26">
        <f t="shared" si="215"/>
        <v>-0.56740221486529552</v>
      </c>
      <c r="AK364" s="26">
        <f t="shared" si="216"/>
        <v>0.36183646603330888</v>
      </c>
      <c r="AL364" s="26">
        <f t="shared" si="217"/>
        <v>6.5462814075736939E-2</v>
      </c>
      <c r="AM364" s="27">
        <f t="shared" si="218"/>
        <v>0.36550625681809212</v>
      </c>
    </row>
    <row r="365" spans="1:39" ht="15" customHeight="1" x14ac:dyDescent="0.2">
      <c r="A365" s="24">
        <v>354</v>
      </c>
      <c r="B365" s="29">
        <f t="shared" si="219"/>
        <v>3.6857167429630331</v>
      </c>
      <c r="C365" s="29">
        <f t="shared" si="220"/>
        <v>-4.2115544824109712</v>
      </c>
      <c r="D365" s="29">
        <f t="shared" si="221"/>
        <v>-2.9948380905388836</v>
      </c>
      <c r="E365" s="29">
        <f t="shared" si="222"/>
        <v>-0.2609371898985921</v>
      </c>
      <c r="F365" s="29">
        <f t="shared" si="223"/>
        <v>0.4342012884937419</v>
      </c>
      <c r="G365" s="29">
        <f t="shared" si="224"/>
        <v>0.86223493157489484</v>
      </c>
      <c r="H365" s="29">
        <f t="shared" si="225"/>
        <v>3.6050179301863019</v>
      </c>
      <c r="I365" s="29">
        <f t="shared" si="226"/>
        <v>0.17195418411549296</v>
      </c>
      <c r="J365" s="29">
        <f t="shared" si="227"/>
        <v>-0.79847255383468452</v>
      </c>
      <c r="K365" s="26">
        <f t="shared" si="190"/>
        <v>-2.9948380905388836</v>
      </c>
      <c r="L365" s="26">
        <f t="shared" si="191"/>
        <v>4.7659616544627866E-2</v>
      </c>
      <c r="M365" s="26">
        <f t="shared" si="192"/>
        <v>0.86223493157489484</v>
      </c>
      <c r="N365" s="26">
        <f t="shared" si="193"/>
        <v>0.7031273840106359</v>
      </c>
      <c r="O365" s="26">
        <f t="shared" si="194"/>
        <v>-0.50575308599868751</v>
      </c>
      <c r="P365" s="26">
        <f t="shared" si="195"/>
        <v>0.37618962779237736</v>
      </c>
      <c r="Q365" s="26">
        <f t="shared" si="196"/>
        <v>7.0759318029283702E-2</v>
      </c>
      <c r="R365" s="26">
        <f t="shared" si="197"/>
        <v>-7.2063925729498548</v>
      </c>
      <c r="S365" s="26">
        <f t="shared" si="198"/>
        <v>7.4127852480867552E-4</v>
      </c>
      <c r="T365" s="26">
        <f t="shared" si="199"/>
        <v>1.2964362200686368</v>
      </c>
      <c r="U365" s="26">
        <f t="shared" si="200"/>
        <v>0.78523459376302185</v>
      </c>
      <c r="V365" s="26">
        <f t="shared" si="201"/>
        <v>-0.6607758575517062</v>
      </c>
      <c r="W365" s="26">
        <f t="shared" si="202"/>
        <v>0.34056534745320105</v>
      </c>
      <c r="X365" s="26">
        <f t="shared" si="203"/>
        <v>0.2174270304897587</v>
      </c>
      <c r="Y365" s="26">
        <f t="shared" si="204"/>
        <v>0.69087865242414948</v>
      </c>
      <c r="Z365" s="26">
        <f t="shared" si="205"/>
        <v>0.66616235884668329</v>
      </c>
      <c r="AA365" s="26">
        <f t="shared" si="206"/>
        <v>0.60129774167630279</v>
      </c>
      <c r="AB365" s="26">
        <f t="shared" si="207"/>
        <v>0.6459531529166308</v>
      </c>
      <c r="AC365" s="26">
        <f t="shared" si="208"/>
        <v>1.7141290416094197</v>
      </c>
      <c r="AD365" s="26">
        <f t="shared" si="209"/>
        <v>0.84737107326002059</v>
      </c>
      <c r="AE365" s="26">
        <f t="shared" si="210"/>
        <v>1.1647794638899001E-2</v>
      </c>
      <c r="AF365" s="26">
        <f t="shared" si="211"/>
        <v>-3.5206758299868217</v>
      </c>
      <c r="AG365" s="26">
        <f t="shared" si="212"/>
        <v>2.8729631396997826E-2</v>
      </c>
      <c r="AH365" s="26">
        <f t="shared" si="213"/>
        <v>1.0354990301700446</v>
      </c>
      <c r="AI365" s="26">
        <f t="shared" si="214"/>
        <v>0.73798060773447971</v>
      </c>
      <c r="AJ365" s="26">
        <f t="shared" si="215"/>
        <v>-0.56800286422482593</v>
      </c>
      <c r="AK365" s="26">
        <f t="shared" si="216"/>
        <v>0.36169778109975892</v>
      </c>
      <c r="AL365" s="26">
        <f t="shared" si="217"/>
        <v>6.541264242624456E-2</v>
      </c>
      <c r="AM365" s="27">
        <f t="shared" si="218"/>
        <v>0.36524678558418594</v>
      </c>
    </row>
    <row r="366" spans="1:39" ht="15" customHeight="1" x14ac:dyDescent="0.2">
      <c r="A366" s="24">
        <v>355</v>
      </c>
      <c r="B366" s="29">
        <f t="shared" si="219"/>
        <v>3.6931423895333668</v>
      </c>
      <c r="C366" s="29">
        <f t="shared" si="220"/>
        <v>-4.2195593317446436</v>
      </c>
      <c r="D366" s="29">
        <f t="shared" si="221"/>
        <v>-3.0014619383430632</v>
      </c>
      <c r="E366" s="29">
        <f t="shared" si="222"/>
        <v>-0.26293747726027367</v>
      </c>
      <c r="F366" s="29">
        <f t="shared" si="223"/>
        <v>0.43571929290114308</v>
      </c>
      <c r="G366" s="29">
        <f t="shared" si="224"/>
        <v>0.86136050752625526</v>
      </c>
      <c r="H366" s="29">
        <f t="shared" si="225"/>
        <v>3.6116712340118671</v>
      </c>
      <c r="I366" s="29">
        <f t="shared" si="226"/>
        <v>0.17729708035304625</v>
      </c>
      <c r="J366" s="29">
        <f t="shared" si="227"/>
        <v>-0.80242318362081733</v>
      </c>
      <c r="K366" s="26">
        <f t="shared" si="190"/>
        <v>-3.0014619383430632</v>
      </c>
      <c r="L366" s="26">
        <f t="shared" si="191"/>
        <v>4.7359871367388555E-2</v>
      </c>
      <c r="M366" s="26">
        <f t="shared" si="192"/>
        <v>0.86136050752625526</v>
      </c>
      <c r="N366" s="26">
        <f t="shared" si="193"/>
        <v>0.70294482496225918</v>
      </c>
      <c r="O366" s="26">
        <f t="shared" si="194"/>
        <v>-0.50674483344162613</v>
      </c>
      <c r="P366" s="26">
        <f t="shared" si="195"/>
        <v>0.37595692202908648</v>
      </c>
      <c r="Q366" s="26">
        <f t="shared" si="196"/>
        <v>7.0671803610792311E-2</v>
      </c>
      <c r="R366" s="26">
        <f t="shared" si="197"/>
        <v>-7.2210212700877072</v>
      </c>
      <c r="S366" s="26">
        <f t="shared" si="198"/>
        <v>7.3052138083833389E-4</v>
      </c>
      <c r="T366" s="26">
        <f t="shared" si="199"/>
        <v>1.2970798004273982</v>
      </c>
      <c r="U366" s="26">
        <f t="shared" si="200"/>
        <v>0.78534310802023044</v>
      </c>
      <c r="V366" s="26">
        <f t="shared" si="201"/>
        <v>-0.66054574043643899</v>
      </c>
      <c r="W366" s="26">
        <f t="shared" si="202"/>
        <v>0.34061702918698211</v>
      </c>
      <c r="X366" s="26">
        <f t="shared" si="203"/>
        <v>0.21739295109910059</v>
      </c>
      <c r="Y366" s="26">
        <f t="shared" si="204"/>
        <v>0.69168045119030364</v>
      </c>
      <c r="Z366" s="26">
        <f t="shared" si="205"/>
        <v>0.66634064716813102</v>
      </c>
      <c r="AA366" s="26">
        <f t="shared" si="206"/>
        <v>0.59842303026598165</v>
      </c>
      <c r="AB366" s="26">
        <f t="shared" si="207"/>
        <v>0.64529543758782648</v>
      </c>
      <c r="AC366" s="26">
        <f t="shared" si="208"/>
        <v>1.7185891608586354</v>
      </c>
      <c r="AD366" s="26">
        <f t="shared" si="209"/>
        <v>0.84794702208627015</v>
      </c>
      <c r="AE366" s="26">
        <f t="shared" si="210"/>
        <v>1.1560054046216609E-2</v>
      </c>
      <c r="AF366" s="26">
        <f t="shared" si="211"/>
        <v>-3.52787888055434</v>
      </c>
      <c r="AG366" s="26">
        <f t="shared" si="212"/>
        <v>2.8529316599117525E-2</v>
      </c>
      <c r="AH366" s="26">
        <f t="shared" si="213"/>
        <v>1.0341423231671247</v>
      </c>
      <c r="AI366" s="26">
        <f t="shared" si="214"/>
        <v>0.73771818308356996</v>
      </c>
      <c r="AJ366" s="26">
        <f t="shared" si="215"/>
        <v>-0.56858939154969634</v>
      </c>
      <c r="AK366" s="26">
        <f t="shared" si="216"/>
        <v>0.36156237905957733</v>
      </c>
      <c r="AL366" s="26">
        <f t="shared" si="217"/>
        <v>6.5363676975610741E-2</v>
      </c>
      <c r="AM366" s="27">
        <f t="shared" si="218"/>
        <v>0.36498848573172027</v>
      </c>
    </row>
    <row r="367" spans="1:39" ht="15" customHeight="1" x14ac:dyDescent="0.2">
      <c r="A367" s="24">
        <v>356</v>
      </c>
      <c r="B367" s="29">
        <f t="shared" si="219"/>
        <v>3.7005302449336601</v>
      </c>
      <c r="C367" s="29">
        <f t="shared" si="220"/>
        <v>-4.2275232614942313</v>
      </c>
      <c r="D367" s="29">
        <f t="shared" si="221"/>
        <v>-3.0080563320223646</v>
      </c>
      <c r="E367" s="29">
        <f t="shared" si="222"/>
        <v>-0.26500505141247288</v>
      </c>
      <c r="F367" s="29">
        <f t="shared" si="223"/>
        <v>0.4372825052147814</v>
      </c>
      <c r="G367" s="29">
        <f t="shared" si="224"/>
        <v>0.86045379540933697</v>
      </c>
      <c r="H367" s="29">
        <f t="shared" si="225"/>
        <v>3.6182843341479596</v>
      </c>
      <c r="I367" s="29">
        <f t="shared" si="226"/>
        <v>0.18267983665643275</v>
      </c>
      <c r="J367" s="29">
        <f t="shared" si="227"/>
        <v>-0.80638883502491676</v>
      </c>
      <c r="K367" s="26">
        <f t="shared" si="190"/>
        <v>-3.0080563320223646</v>
      </c>
      <c r="L367" s="26">
        <f t="shared" si="191"/>
        <v>4.7063239163811617E-2</v>
      </c>
      <c r="M367" s="26">
        <f t="shared" si="192"/>
        <v>0.86045379540933697</v>
      </c>
      <c r="N367" s="26">
        <f t="shared" si="193"/>
        <v>0.70275545649090054</v>
      </c>
      <c r="O367" s="26">
        <f t="shared" si="194"/>
        <v>-0.50772140204306393</v>
      </c>
      <c r="P367" s="26">
        <f t="shared" si="195"/>
        <v>0.37572783380153602</v>
      </c>
      <c r="Q367" s="26">
        <f t="shared" si="196"/>
        <v>7.0585702546597337E-2</v>
      </c>
      <c r="R367" s="26">
        <f t="shared" si="197"/>
        <v>-7.2355795935165954</v>
      </c>
      <c r="S367" s="26">
        <f t="shared" si="198"/>
        <v>7.199708566296058E-4</v>
      </c>
      <c r="T367" s="26">
        <f t="shared" si="199"/>
        <v>1.2977363006241185</v>
      </c>
      <c r="U367" s="26">
        <f t="shared" si="200"/>
        <v>0.78545375963877218</v>
      </c>
      <c r="V367" s="26">
        <f t="shared" si="201"/>
        <v>-0.66029721124133889</v>
      </c>
      <c r="W367" s="26">
        <f t="shared" si="202"/>
        <v>0.34067285032652861</v>
      </c>
      <c r="X367" s="26">
        <f t="shared" si="203"/>
        <v>0.21735614514827206</v>
      </c>
      <c r="Y367" s="26">
        <f t="shared" si="204"/>
        <v>0.69247391291129556</v>
      </c>
      <c r="Z367" s="26">
        <f t="shared" si="205"/>
        <v>0.66651703484890856</v>
      </c>
      <c r="AA367" s="26">
        <f t="shared" si="206"/>
        <v>0.59544874399686409</v>
      </c>
      <c r="AB367" s="26">
        <f t="shared" si="207"/>
        <v>0.6446143616515585</v>
      </c>
      <c r="AC367" s="26">
        <f t="shared" si="208"/>
        <v>1.7230173569045357</v>
      </c>
      <c r="AD367" s="26">
        <f t="shared" si="209"/>
        <v>0.84851708284221772</v>
      </c>
      <c r="AE367" s="26">
        <f t="shared" si="210"/>
        <v>1.1473537095315765E-2</v>
      </c>
      <c r="AF367" s="26">
        <f t="shared" si="211"/>
        <v>-3.5350493485829357</v>
      </c>
      <c r="AG367" s="26">
        <f t="shared" si="212"/>
        <v>2.833125467728843E-2</v>
      </c>
      <c r="AH367" s="26">
        <f t="shared" si="213"/>
        <v>1.0327312492116456</v>
      </c>
      <c r="AI367" s="26">
        <f t="shared" si="214"/>
        <v>0.73744506272198318</v>
      </c>
      <c r="AJ367" s="26">
        <f t="shared" si="215"/>
        <v>-0.56916195645818324</v>
      </c>
      <c r="AK367" s="26">
        <f t="shared" si="216"/>
        <v>0.36143022150356685</v>
      </c>
      <c r="AL367" s="26">
        <f t="shared" si="217"/>
        <v>6.5315902508058701E-2</v>
      </c>
      <c r="AM367" s="27">
        <f t="shared" si="218"/>
        <v>0.36473128729824389</v>
      </c>
    </row>
    <row r="368" spans="1:39" ht="15" customHeight="1" x14ac:dyDescent="0.2">
      <c r="A368" s="24">
        <v>357</v>
      </c>
      <c r="B368" s="29">
        <f t="shared" si="219"/>
        <v>3.7078807496949517</v>
      </c>
      <c r="C368" s="29">
        <f t="shared" si="220"/>
        <v>-4.2354466532230539</v>
      </c>
      <c r="D368" s="29">
        <f t="shared" si="221"/>
        <v>-3.0146214047729067</v>
      </c>
      <c r="E368" s="29">
        <f t="shared" si="222"/>
        <v>-0.26714071466975881</v>
      </c>
      <c r="F368" s="29">
        <f t="shared" si="223"/>
        <v>0.43889101159526878</v>
      </c>
      <c r="G368" s="29">
        <f t="shared" si="224"/>
        <v>0.85951413318154335</v>
      </c>
      <c r="H368" s="29">
        <f t="shared" si="225"/>
        <v>3.624857723702926</v>
      </c>
      <c r="I368" s="29">
        <f t="shared" si="226"/>
        <v>0.18810338993491993</v>
      </c>
      <c r="J368" s="29">
        <f t="shared" si="227"/>
        <v>-0.81037007722216192</v>
      </c>
      <c r="K368" s="26">
        <f t="shared" si="190"/>
        <v>-3.0146214047729067</v>
      </c>
      <c r="L368" s="26">
        <f t="shared" si="191"/>
        <v>4.676968084120979E-2</v>
      </c>
      <c r="M368" s="26">
        <f t="shared" si="192"/>
        <v>0.85951413318154335</v>
      </c>
      <c r="N368" s="26">
        <f t="shared" si="193"/>
        <v>0.70255913284738358</v>
      </c>
      <c r="O368" s="26">
        <f t="shared" si="194"/>
        <v>-0.50868288387145122</v>
      </c>
      <c r="P368" s="26">
        <f t="shared" si="195"/>
        <v>0.37550233901831409</v>
      </c>
      <c r="Q368" s="26">
        <f t="shared" si="196"/>
        <v>7.050100330411245E-2</v>
      </c>
      <c r="R368" s="26">
        <f t="shared" si="197"/>
        <v>-7.2500680579959607</v>
      </c>
      <c r="S368" s="26">
        <f t="shared" si="198"/>
        <v>7.096221362716458E-4</v>
      </c>
      <c r="T368" s="26">
        <f t="shared" si="199"/>
        <v>1.2984051447768121</v>
      </c>
      <c r="U368" s="26">
        <f t="shared" si="200"/>
        <v>0.78556644916173102</v>
      </c>
      <c r="V368" s="26">
        <f t="shared" si="201"/>
        <v>-0.66003008583412748</v>
      </c>
      <c r="W368" s="26">
        <f t="shared" si="202"/>
        <v>0.3407328532156913</v>
      </c>
      <c r="X368" s="26">
        <f t="shared" si="203"/>
        <v>0.21731658541456164</v>
      </c>
      <c r="Y368" s="26">
        <f t="shared" si="204"/>
        <v>0.693259344922045</v>
      </c>
      <c r="Z368" s="26">
        <f t="shared" si="205"/>
        <v>0.66669159161449199</v>
      </c>
      <c r="AA368" s="26">
        <f t="shared" si="206"/>
        <v>0.5923734185117846</v>
      </c>
      <c r="AB368" s="26">
        <f t="shared" si="207"/>
        <v>0.64390953261906025</v>
      </c>
      <c r="AC368" s="26">
        <f t="shared" si="208"/>
        <v>1.7274136538664813</v>
      </c>
      <c r="AD368" s="26">
        <f t="shared" si="209"/>
        <v>0.84908129918582953</v>
      </c>
      <c r="AE368" s="26">
        <f t="shared" si="210"/>
        <v>1.138822712771855E-2</v>
      </c>
      <c r="AF368" s="26">
        <f t="shared" si="211"/>
        <v>-3.5421873083010089</v>
      </c>
      <c r="AG368" s="26">
        <f t="shared" si="212"/>
        <v>2.8135416846336293E-2</v>
      </c>
      <c r="AH368" s="26">
        <f t="shared" si="213"/>
        <v>1.0312644301070533</v>
      </c>
      <c r="AI368" s="26">
        <f t="shared" si="214"/>
        <v>0.73716095853902242</v>
      </c>
      <c r="AJ368" s="26">
        <f t="shared" si="215"/>
        <v>-0.56972071892825338</v>
      </c>
      <c r="AK368" s="26">
        <f t="shared" si="216"/>
        <v>0.36130126999804157</v>
      </c>
      <c r="AL368" s="26">
        <f t="shared" si="217"/>
        <v>6.5269303851098873E-2</v>
      </c>
      <c r="AM368" s="27">
        <f t="shared" si="218"/>
        <v>0.36447511969749147</v>
      </c>
    </row>
    <row r="369" spans="1:39" ht="15" customHeight="1" x14ac:dyDescent="0.2">
      <c r="A369" s="24">
        <v>358</v>
      </c>
      <c r="B369" s="29">
        <f t="shared" si="219"/>
        <v>3.7151943431503405</v>
      </c>
      <c r="C369" s="29">
        <f t="shared" si="220"/>
        <v>-4.2433298858916073</v>
      </c>
      <c r="D369" s="29">
        <f t="shared" si="221"/>
        <v>-3.02115728811129</v>
      </c>
      <c r="E369" s="29">
        <f t="shared" si="222"/>
        <v>-0.26934528860368273</v>
      </c>
      <c r="F369" s="29">
        <f t="shared" si="223"/>
        <v>0.44054489216285531</v>
      </c>
      <c r="G369" s="29">
        <f t="shared" si="224"/>
        <v>0.85854083582899543</v>
      </c>
      <c r="H369" s="29">
        <f t="shared" si="225"/>
        <v>3.6313918939409704</v>
      </c>
      <c r="I369" s="29">
        <f t="shared" si="226"/>
        <v>0.19356869582334002</v>
      </c>
      <c r="J369" s="29">
        <f t="shared" si="227"/>
        <v>-0.8143674817294968</v>
      </c>
      <c r="K369" s="26">
        <f t="shared" si="190"/>
        <v>-3.02115728811129</v>
      </c>
      <c r="L369" s="26">
        <f t="shared" si="191"/>
        <v>4.6479157913378727E-2</v>
      </c>
      <c r="M369" s="26">
        <f t="shared" si="192"/>
        <v>0.85854083582899543</v>
      </c>
      <c r="N369" s="26">
        <f t="shared" si="193"/>
        <v>0.70235570300633121</v>
      </c>
      <c r="O369" s="26">
        <f t="shared" si="194"/>
        <v>-0.50962936701063033</v>
      </c>
      <c r="P369" s="26">
        <f t="shared" si="195"/>
        <v>0.37528041457457612</v>
      </c>
      <c r="Q369" s="26">
        <f t="shared" si="196"/>
        <v>7.0417694781632859E-2</v>
      </c>
      <c r="R369" s="26">
        <f t="shared" si="197"/>
        <v>-7.2644871740028973</v>
      </c>
      <c r="S369" s="26">
        <f t="shared" si="198"/>
        <v>6.9947053388816479E-4</v>
      </c>
      <c r="T369" s="26">
        <f t="shared" si="199"/>
        <v>1.2990857279918506</v>
      </c>
      <c r="U369" s="26">
        <f t="shared" si="200"/>
        <v>0.78568107234983331</v>
      </c>
      <c r="V369" s="26">
        <f t="shared" si="201"/>
        <v>-0.65974416959484428</v>
      </c>
      <c r="W369" s="26">
        <f t="shared" si="202"/>
        <v>0.34079708264169356</v>
      </c>
      <c r="X369" s="26">
        <f t="shared" si="203"/>
        <v>0.21727424312685112</v>
      </c>
      <c r="Y369" s="26">
        <f t="shared" si="204"/>
        <v>0.69403705503905044</v>
      </c>
      <c r="Z369" s="26">
        <f t="shared" si="205"/>
        <v>0.66686438721345331</v>
      </c>
      <c r="AA369" s="26">
        <f t="shared" si="206"/>
        <v>0.58919554722531275</v>
      </c>
      <c r="AB369" s="26">
        <f t="shared" si="207"/>
        <v>0.64318054559305915</v>
      </c>
      <c r="AC369" s="26">
        <f t="shared" si="208"/>
        <v>1.7317780677447427</v>
      </c>
      <c r="AD369" s="26">
        <f t="shared" si="209"/>
        <v>0.84963971333505817</v>
      </c>
      <c r="AE369" s="26">
        <f t="shared" si="210"/>
        <v>1.1304107902981742E-2</v>
      </c>
      <c r="AF369" s="26">
        <f t="shared" si="211"/>
        <v>-3.5492928308525569</v>
      </c>
      <c r="AG369" s="26">
        <f t="shared" si="212"/>
        <v>2.7941774817357226E-2</v>
      </c>
      <c r="AH369" s="26">
        <f t="shared" si="213"/>
        <v>1.0297404393881679</v>
      </c>
      <c r="AI369" s="26">
        <f t="shared" si="214"/>
        <v>0.73686557150045928</v>
      </c>
      <c r="AJ369" s="26">
        <f t="shared" si="215"/>
        <v>-0.57026583948295784</v>
      </c>
      <c r="AK369" s="26">
        <f t="shared" si="216"/>
        <v>0.36117548604089478</v>
      </c>
      <c r="AL369" s="26">
        <f t="shared" si="217"/>
        <v>6.5223865858438285E-2</v>
      </c>
      <c r="AM369" s="27">
        <f t="shared" si="218"/>
        <v>0.36421991166990397</v>
      </c>
    </row>
    <row r="370" spans="1:39" ht="15" customHeight="1" x14ac:dyDescent="0.2">
      <c r="A370" s="24">
        <v>359</v>
      </c>
      <c r="B370" s="29">
        <f t="shared" si="219"/>
        <v>3.7224714635522909</v>
      </c>
      <c r="C370" s="29">
        <f t="shared" si="220"/>
        <v>-4.251173335855178</v>
      </c>
      <c r="D370" s="29">
        <f t="shared" si="221"/>
        <v>-3.0276641117649632</v>
      </c>
      <c r="E370" s="29">
        <f t="shared" si="222"/>
        <v>-0.27161961472960949</v>
      </c>
      <c r="F370" s="29">
        <f t="shared" si="223"/>
        <v>0.44224422094646948</v>
      </c>
      <c r="G370" s="29">
        <f t="shared" si="224"/>
        <v>0.8575331947846786</v>
      </c>
      <c r="H370" s="29">
        <f t="shared" si="225"/>
        <v>3.637887334378521</v>
      </c>
      <c r="I370" s="29">
        <f t="shared" si="226"/>
        <v>0.19907672913594296</v>
      </c>
      <c r="J370" s="29">
        <f t="shared" si="227"/>
        <v>-0.81838162234376788</v>
      </c>
      <c r="K370" s="26">
        <f t="shared" si="190"/>
        <v>-3.0276641117649632</v>
      </c>
      <c r="L370" s="26">
        <f t="shared" si="191"/>
        <v>4.6191632495522633E-2</v>
      </c>
      <c r="M370" s="26">
        <f t="shared" si="192"/>
        <v>0.8575331947846786</v>
      </c>
      <c r="N370" s="26">
        <f t="shared" si="193"/>
        <v>0.70214501051720468</v>
      </c>
      <c r="O370" s="26">
        <f t="shared" si="194"/>
        <v>-0.51056093546115133</v>
      </c>
      <c r="P370" s="26">
        <f t="shared" si="195"/>
        <v>0.37506203837368851</v>
      </c>
      <c r="Q370" s="26">
        <f t="shared" si="196"/>
        <v>7.033576631451309E-2</v>
      </c>
      <c r="R370" s="26">
        <f t="shared" si="197"/>
        <v>-7.2788374476201412</v>
      </c>
      <c r="S370" s="26">
        <f t="shared" si="198"/>
        <v>6.8951148978487798E-4</v>
      </c>
      <c r="T370" s="26">
        <f t="shared" si="199"/>
        <v>1.2997774157311481</v>
      </c>
      <c r="U370" s="26">
        <f t="shared" si="200"/>
        <v>0.78579752009127246</v>
      </c>
      <c r="V370" s="26">
        <f t="shared" si="201"/>
        <v>-0.65943925716526508</v>
      </c>
      <c r="W370" s="26">
        <f t="shared" si="202"/>
        <v>0.3408655858949165</v>
      </c>
      <c r="X370" s="26">
        <f t="shared" si="203"/>
        <v>0.21722908792882581</v>
      </c>
      <c r="Y370" s="26">
        <f t="shared" si="204"/>
        <v>0.69480735178732766</v>
      </c>
      <c r="Z370" s="26">
        <f t="shared" si="205"/>
        <v>0.66703549146931884</v>
      </c>
      <c r="AA370" s="26">
        <f t="shared" si="206"/>
        <v>0.58591358005506911</v>
      </c>
      <c r="AB370" s="26">
        <f t="shared" si="207"/>
        <v>0.64242698288878364</v>
      </c>
      <c r="AC370" s="26">
        <f t="shared" si="208"/>
        <v>1.7361106061155909</v>
      </c>
      <c r="AD370" s="26">
        <f t="shared" si="209"/>
        <v>0.85019236604601811</v>
      </c>
      <c r="AE370" s="26">
        <f t="shared" si="210"/>
        <v>1.1221163595445114E-2</v>
      </c>
      <c r="AF370" s="26">
        <f t="shared" si="211"/>
        <v>-3.5563659840678503</v>
      </c>
      <c r="AG370" s="26">
        <f t="shared" si="212"/>
        <v>2.7750300794851575E-2</v>
      </c>
      <c r="AH370" s="26">
        <f t="shared" si="213"/>
        <v>1.0281578010015386</v>
      </c>
      <c r="AI370" s="26">
        <f t="shared" si="214"/>
        <v>0.73655859128925516</v>
      </c>
      <c r="AJ370" s="26">
        <f t="shared" si="215"/>
        <v>-0.57079747938614034</v>
      </c>
      <c r="AK370" s="26">
        <f t="shared" si="216"/>
        <v>0.3610528310153247</v>
      </c>
      <c r="AL370" s="26">
        <f t="shared" si="217"/>
        <v>6.5179573392090309E-2</v>
      </c>
      <c r="AM370" s="27">
        <f t="shared" si="218"/>
        <v>0.3639655912308743</v>
      </c>
    </row>
    <row r="371" spans="1:39" ht="15" customHeight="1" x14ac:dyDescent="0.2">
      <c r="A371" s="24">
        <v>360</v>
      </c>
      <c r="B371" s="29">
        <f t="shared" si="219"/>
        <v>3.7297125481953821</v>
      </c>
      <c r="C371" s="29">
        <f t="shared" si="220"/>
        <v>-4.258977376863375</v>
      </c>
      <c r="D371" s="29">
        <f t="shared" si="221"/>
        <v>-3.0341420035620308</v>
      </c>
      <c r="E371" s="29">
        <f t="shared" si="222"/>
        <v>-0.27396455521527652</v>
      </c>
      <c r="F371" s="29">
        <f t="shared" si="223"/>
        <v>0.44398906583115222</v>
      </c>
      <c r="G371" s="29">
        <f t="shared" si="224"/>
        <v>0.85649047732935024</v>
      </c>
      <c r="H371" s="29">
        <f t="shared" si="225"/>
        <v>3.6443445328859925</v>
      </c>
      <c r="I371" s="29">
        <f t="shared" si="226"/>
        <v>0.20462848434698749</v>
      </c>
      <c r="J371" s="29">
        <f t="shared" si="227"/>
        <v>-0.82241307507825367</v>
      </c>
      <c r="K371" s="26">
        <f t="shared" si="190"/>
        <v>-3.0341420035620308</v>
      </c>
      <c r="L371" s="26">
        <f t="shared" si="191"/>
        <v>4.5907067299205705E-2</v>
      </c>
      <c r="M371" s="26">
        <f t="shared" si="192"/>
        <v>0.85649047732935024</v>
      </c>
      <c r="N371" s="26">
        <f t="shared" si="193"/>
        <v>0.70192689335016256</v>
      </c>
      <c r="O371" s="26">
        <f t="shared" si="194"/>
        <v>-0.5114776690369307</v>
      </c>
      <c r="P371" s="26">
        <f t="shared" si="195"/>
        <v>0.37484718934997024</v>
      </c>
      <c r="Q371" s="26">
        <f t="shared" si="196"/>
        <v>7.0255207681786225E-2</v>
      </c>
      <c r="R371" s="26">
        <f t="shared" si="197"/>
        <v>-7.2931193804254058</v>
      </c>
      <c r="S371" s="26">
        <f t="shared" si="198"/>
        <v>6.797405667200927E-4</v>
      </c>
      <c r="T371" s="26">
        <f t="shared" si="199"/>
        <v>1.3004795431605025</v>
      </c>
      <c r="U371" s="26">
        <f t="shared" si="200"/>
        <v>0.78591567830874087</v>
      </c>
      <c r="V371" s="26">
        <f t="shared" si="201"/>
        <v>-0.65911513218329421</v>
      </c>
      <c r="W371" s="26">
        <f t="shared" si="202"/>
        <v>0.34093841283232279</v>
      </c>
      <c r="X371" s="26">
        <f t="shared" si="203"/>
        <v>0.21718108783998893</v>
      </c>
      <c r="Y371" s="26">
        <f t="shared" si="204"/>
        <v>0.69557054463335133</v>
      </c>
      <c r="Z371" s="26">
        <f t="shared" si="205"/>
        <v>0.66720497433362613</v>
      </c>
      <c r="AA371" s="26">
        <f t="shared" si="206"/>
        <v>0.58252592211407372</v>
      </c>
      <c r="AB371" s="26">
        <f t="shared" si="207"/>
        <v>0.64164841364359149</v>
      </c>
      <c r="AC371" s="26">
        <f t="shared" si="208"/>
        <v>1.7404112678163728</v>
      </c>
      <c r="AD371" s="26">
        <f t="shared" si="209"/>
        <v>0.85073929659022274</v>
      </c>
      <c r="AE371" s="26">
        <f t="shared" si="210"/>
        <v>1.1139378791190747E-2</v>
      </c>
      <c r="AF371" s="26">
        <f t="shared" si="211"/>
        <v>-3.5634068322300236</v>
      </c>
      <c r="AG371" s="26">
        <f t="shared" si="212"/>
        <v>2.7560967473906878E-2</v>
      </c>
      <c r="AH371" s="26">
        <f t="shared" si="213"/>
        <v>1.026514987945226</v>
      </c>
      <c r="AI371" s="26">
        <f t="shared" si="214"/>
        <v>0.73623969593189564</v>
      </c>
      <c r="AJ371" s="26">
        <f t="shared" si="215"/>
        <v>-0.57131580084904177</v>
      </c>
      <c r="AK371" s="26">
        <f t="shared" si="216"/>
        <v>0.36093326614108728</v>
      </c>
      <c r="AL371" s="26">
        <f t="shared" si="217"/>
        <v>6.5136411303636468E-2</v>
      </c>
      <c r="AM371" s="27">
        <f t="shared" si="218"/>
        <v>0.3637120856166024</v>
      </c>
    </row>
    <row r="372" spans="1:39" ht="15" customHeight="1" x14ac:dyDescent="0.2">
      <c r="A372" s="24">
        <v>361</v>
      </c>
      <c r="B372" s="29">
        <f t="shared" si="219"/>
        <v>3.7369180335446108</v>
      </c>
      <c r="C372" s="29">
        <f t="shared" si="220"/>
        <v>-4.2667423800614674</v>
      </c>
      <c r="D372" s="29">
        <f t="shared" si="221"/>
        <v>-3.0405910893202992</v>
      </c>
      <c r="E372" s="29">
        <f t="shared" si="222"/>
        <v>-0.27638099361206331</v>
      </c>
      <c r="F372" s="29">
        <f t="shared" si="223"/>
        <v>0.44577948850415638</v>
      </c>
      <c r="G372" s="29">
        <f t="shared" si="224"/>
        <v>0.85541192597457516</v>
      </c>
      <c r="H372" s="29">
        <f t="shared" si="225"/>
        <v>3.6507639757949861</v>
      </c>
      <c r="I372" s="29">
        <f t="shared" si="226"/>
        <v>0.21022497609922658</v>
      </c>
      <c r="J372" s="29">
        <f t="shared" si="227"/>
        <v>-0.82646241809734</v>
      </c>
      <c r="K372" s="26">
        <f t="shared" si="190"/>
        <v>-3.0405910893202992</v>
      </c>
      <c r="L372" s="26">
        <f t="shared" si="191"/>
        <v>4.5625425627339906E-2</v>
      </c>
      <c r="M372" s="26">
        <f t="shared" si="192"/>
        <v>0.85541192597457516</v>
      </c>
      <c r="N372" s="26">
        <f t="shared" si="193"/>
        <v>0.70170118373652235</v>
      </c>
      <c r="O372" s="26">
        <f t="shared" si="194"/>
        <v>-0.51237964325692475</v>
      </c>
      <c r="P372" s="26">
        <f t="shared" si="195"/>
        <v>0.37463584749260903</v>
      </c>
      <c r="Q372" s="26">
        <f t="shared" si="196"/>
        <v>7.017600911325271E-2</v>
      </c>
      <c r="R372" s="26">
        <f t="shared" si="197"/>
        <v>-7.3073334693817671</v>
      </c>
      <c r="S372" s="26">
        <f t="shared" si="198"/>
        <v>6.7015344629444849E-4</v>
      </c>
      <c r="T372" s="26">
        <f t="shared" si="199"/>
        <v>1.3011914144787315</v>
      </c>
      <c r="U372" s="26">
        <f t="shared" si="200"/>
        <v>0.78603542786357039</v>
      </c>
      <c r="V372" s="26">
        <f t="shared" si="201"/>
        <v>-0.65877156700158901</v>
      </c>
      <c r="W372" s="26">
        <f t="shared" si="202"/>
        <v>0.34101561594469765</v>
      </c>
      <c r="X372" s="26">
        <f t="shared" si="203"/>
        <v>0.21713020921437312</v>
      </c>
      <c r="Y372" s="26">
        <f t="shared" si="204"/>
        <v>0.69632694422431163</v>
      </c>
      <c r="Z372" s="26">
        <f t="shared" si="205"/>
        <v>0.66737290594024767</v>
      </c>
      <c r="AA372" s="26">
        <f t="shared" si="206"/>
        <v>0.5790309323625118</v>
      </c>
      <c r="AB372" s="26">
        <f t="shared" si="207"/>
        <v>0.64084439341488075</v>
      </c>
      <c r="AC372" s="26">
        <f t="shared" si="208"/>
        <v>1.7446800426198985</v>
      </c>
      <c r="AD372" s="26">
        <f t="shared" si="209"/>
        <v>0.85128054273079734</v>
      </c>
      <c r="AE372" s="26">
        <f t="shared" si="210"/>
        <v>1.1058738485223098E-2</v>
      </c>
      <c r="AF372" s="26">
        <f t="shared" si="211"/>
        <v>-3.5704154358371558</v>
      </c>
      <c r="AG372" s="26">
        <f t="shared" si="212"/>
        <v>2.7373748037441688E-2</v>
      </c>
      <c r="AH372" s="26">
        <f t="shared" si="213"/>
        <v>1.0248104208666682</v>
      </c>
      <c r="AI372" s="26">
        <f t="shared" si="214"/>
        <v>0.73590855140969835</v>
      </c>
      <c r="AJ372" s="26">
        <f t="shared" si="215"/>
        <v>-0.57182096724843889</v>
      </c>
      <c r="AK372" s="26">
        <f t="shared" si="216"/>
        <v>0.36081675242312494</v>
      </c>
      <c r="AL372" s="26">
        <f t="shared" si="217"/>
        <v>6.5094364414585326E-2</v>
      </c>
      <c r="AM372" s="27">
        <f t="shared" si="218"/>
        <v>0.36345932122743424</v>
      </c>
    </row>
    <row r="373" spans="1:39" ht="15" customHeight="1" x14ac:dyDescent="0.2">
      <c r="A373" s="24">
        <v>362</v>
      </c>
      <c r="B373" s="29">
        <f t="shared" si="219"/>
        <v>3.7440883553693842</v>
      </c>
      <c r="C373" s="29">
        <f t="shared" si="220"/>
        <v>-4.2744687139934117</v>
      </c>
      <c r="D373" s="29">
        <f t="shared" si="221"/>
        <v>-3.0470114927353613</v>
      </c>
      <c r="E373" s="29">
        <f t="shared" si="222"/>
        <v>-0.27886983560998752</v>
      </c>
      <c r="F373" s="29">
        <f t="shared" si="223"/>
        <v>0.44761554440001317</v>
      </c>
      <c r="G373" s="29">
        <f t="shared" si="224"/>
        <v>0.85429675782724013</v>
      </c>
      <c r="H373" s="29">
        <f t="shared" si="225"/>
        <v>3.6571461480109781</v>
      </c>
      <c r="I373" s="29">
        <f t="shared" si="226"/>
        <v>0.21586723974149935</v>
      </c>
      <c r="J373" s="29">
        <f t="shared" si="227"/>
        <v>-0.83053023164907658</v>
      </c>
      <c r="K373" s="26">
        <f t="shared" si="190"/>
        <v>-3.0470114927353613</v>
      </c>
      <c r="L373" s="26">
        <f t="shared" si="191"/>
        <v>4.5346671369219362E-2</v>
      </c>
      <c r="M373" s="26">
        <f t="shared" si="192"/>
        <v>0.85429675782724013</v>
      </c>
      <c r="N373" s="26">
        <f t="shared" si="193"/>
        <v>0.70146770800360159</v>
      </c>
      <c r="O373" s="26">
        <f t="shared" si="194"/>
        <v>-0.51326692923148276</v>
      </c>
      <c r="P373" s="26">
        <f t="shared" si="195"/>
        <v>0.37442799387083153</v>
      </c>
      <c r="Q373" s="26">
        <f t="shared" si="196"/>
        <v>7.0098161297067724E-2</v>
      </c>
      <c r="R373" s="26">
        <f t="shared" si="197"/>
        <v>-7.321480206728773</v>
      </c>
      <c r="S373" s="26">
        <f t="shared" si="198"/>
        <v>6.607459254559634E-4</v>
      </c>
      <c r="T373" s="26">
        <f t="shared" si="199"/>
        <v>1.3019123022272532</v>
      </c>
      <c r="U373" s="26">
        <f t="shared" si="200"/>
        <v>0.78615664445687383</v>
      </c>
      <c r="V373" s="26">
        <f t="shared" si="201"/>
        <v>-0.65840832238963665</v>
      </c>
      <c r="W373" s="26">
        <f t="shared" si="202"/>
        <v>0.3410972504278999</v>
      </c>
      <c r="X373" s="26">
        <f t="shared" si="203"/>
        <v>0.2170764166968368</v>
      </c>
      <c r="Y373" s="26">
        <f t="shared" si="204"/>
        <v>0.69707686263402291</v>
      </c>
      <c r="Z373" s="26">
        <f t="shared" si="205"/>
        <v>0.66753935666105502</v>
      </c>
      <c r="AA373" s="26">
        <f t="shared" si="206"/>
        <v>0.57542692221725256</v>
      </c>
      <c r="AB373" s="26">
        <f t="shared" si="207"/>
        <v>0.64001446376595006</v>
      </c>
      <c r="AC373" s="26">
        <f t="shared" si="208"/>
        <v>1.7489169108974185</v>
      </c>
      <c r="AD373" s="26">
        <f t="shared" si="209"/>
        <v>0.85181614069759026</v>
      </c>
      <c r="AE373" s="26">
        <f t="shared" si="210"/>
        <v>1.0979228078878182E-2</v>
      </c>
      <c r="AF373" s="26">
        <f t="shared" si="211"/>
        <v>-3.5773918513593888</v>
      </c>
      <c r="AG373" s="26">
        <f t="shared" si="212"/>
        <v>2.7188616153521986E-2</v>
      </c>
      <c r="AH373" s="26">
        <f t="shared" si="213"/>
        <v>1.0230424666172657</v>
      </c>
      <c r="AI373" s="26">
        <f t="shared" si="214"/>
        <v>0.73556481125442807</v>
      </c>
      <c r="AJ373" s="26">
        <f t="shared" si="215"/>
        <v>-0.57231314335700423</v>
      </c>
      <c r="AK373" s="26">
        <f t="shared" si="216"/>
        <v>0.36070325059741554</v>
      </c>
      <c r="AL373" s="26">
        <f t="shared" si="217"/>
        <v>6.5053417495770982E-2</v>
      </c>
      <c r="AM373" s="27">
        <f t="shared" si="218"/>
        <v>0.36320722356855373</v>
      </c>
    </row>
    <row r="374" spans="1:39" ht="15" customHeight="1" x14ac:dyDescent="0.2">
      <c r="A374" s="24">
        <v>363</v>
      </c>
      <c r="B374" s="29">
        <f t="shared" si="219"/>
        <v>3.7512239488833479</v>
      </c>
      <c r="C374" s="29">
        <f t="shared" si="220"/>
        <v>-4.282156744606457</v>
      </c>
      <c r="D374" s="29">
        <f t="shared" si="221"/>
        <v>-3.0534033352675087</v>
      </c>
      <c r="E374" s="29">
        <f t="shared" si="222"/>
        <v>-0.28143200981747657</v>
      </c>
      <c r="F374" s="29">
        <f t="shared" si="223"/>
        <v>0.44949728264489508</v>
      </c>
      <c r="G374" s="29">
        <f t="shared" si="224"/>
        <v>0.85314416393488102</v>
      </c>
      <c r="H374" s="29">
        <f t="shared" si="225"/>
        <v>3.6634915331315683</v>
      </c>
      <c r="I374" s="29">
        <f t="shared" si="226"/>
        <v>0.22155633189669874</v>
      </c>
      <c r="J374" s="29">
        <f t="shared" si="227"/>
        <v>-0.83461709799533179</v>
      </c>
      <c r="K374" s="26">
        <f t="shared" si="190"/>
        <v>-3.0534033352675087</v>
      </c>
      <c r="L374" s="26">
        <f t="shared" si="191"/>
        <v>4.5070768995611341E-2</v>
      </c>
      <c r="M374" s="26">
        <f t="shared" si="192"/>
        <v>0.85314416393488102</v>
      </c>
      <c r="N374" s="26">
        <f t="shared" si="193"/>
        <v>0.70122628640370643</v>
      </c>
      <c r="O374" s="26">
        <f t="shared" si="194"/>
        <v>-0.51413959354303174</v>
      </c>
      <c r="P374" s="26">
        <f t="shared" si="195"/>
        <v>0.37422361066040799</v>
      </c>
      <c r="Q374" s="26">
        <f t="shared" si="196"/>
        <v>7.0021655387856319E-2</v>
      </c>
      <c r="R374" s="26">
        <f t="shared" si="197"/>
        <v>-7.3355600798739662</v>
      </c>
      <c r="S374" s="26">
        <f t="shared" si="198"/>
        <v>6.5151391311665417E-4</v>
      </c>
      <c r="T374" s="26">
        <f t="shared" si="199"/>
        <v>1.3026414465797762</v>
      </c>
      <c r="U374" s="26">
        <f t="shared" si="200"/>
        <v>0.78627919852758599</v>
      </c>
      <c r="V374" s="26">
        <f t="shared" si="201"/>
        <v>-0.65802514721846339</v>
      </c>
      <c r="W374" s="26">
        <f t="shared" si="202"/>
        <v>0.34118337425832135</v>
      </c>
      <c r="X374" s="26">
        <f t="shared" si="203"/>
        <v>0.21701967317682555</v>
      </c>
      <c r="Y374" s="26">
        <f t="shared" si="204"/>
        <v>0.69782061361583914</v>
      </c>
      <c r="Z374" s="26">
        <f t="shared" si="205"/>
        <v>0.66770439716300012</v>
      </c>
      <c r="AA374" s="26">
        <f t="shared" si="206"/>
        <v>0.57171215411740439</v>
      </c>
      <c r="AB374" s="26">
        <f t="shared" si="207"/>
        <v>0.63915815183947411</v>
      </c>
      <c r="AC374" s="26">
        <f t="shared" si="208"/>
        <v>1.7531218432694644</v>
      </c>
      <c r="AD374" s="26">
        <f t="shared" si="209"/>
        <v>0.85234612516109209</v>
      </c>
      <c r="AE374" s="26">
        <f t="shared" si="210"/>
        <v>1.0900833377471941E-2</v>
      </c>
      <c r="AF374" s="26">
        <f t="shared" si="211"/>
        <v>-3.5843361309906179</v>
      </c>
      <c r="AG374" s="26">
        <f t="shared" si="212"/>
        <v>2.7005545972761891E-2</v>
      </c>
      <c r="AH374" s="26">
        <f t="shared" si="213"/>
        <v>1.0212094367622995</v>
      </c>
      <c r="AI374" s="26">
        <f t="shared" si="214"/>
        <v>0.73520811612752479</v>
      </c>
      <c r="AJ374" s="26">
        <f t="shared" si="215"/>
        <v>-0.57279249558662682</v>
      </c>
      <c r="AK374" s="26">
        <f t="shared" si="216"/>
        <v>0.36059272107386869</v>
      </c>
      <c r="AL374" s="26">
        <f t="shared" si="217"/>
        <v>6.5013555245728438E-2</v>
      </c>
      <c r="AM374" s="27">
        <f t="shared" si="218"/>
        <v>0.36295571718788228</v>
      </c>
    </row>
    <row r="375" spans="1:39" ht="15" customHeight="1" x14ac:dyDescent="0.2">
      <c r="A375" s="24">
        <v>364</v>
      </c>
      <c r="B375" s="29">
        <f t="shared" si="219"/>
        <v>3.7583252488902152</v>
      </c>
      <c r="C375" s="29">
        <f t="shared" si="220"/>
        <v>-4.2898068352572318</v>
      </c>
      <c r="D375" s="29">
        <f t="shared" si="221"/>
        <v>-3.0597667360272536</v>
      </c>
      <c r="E375" s="29">
        <f t="shared" si="222"/>
        <v>-0.28406846856699752</v>
      </c>
      <c r="F375" s="29">
        <f t="shared" si="223"/>
        <v>0.45142474600063887</v>
      </c>
      <c r="G375" s="29">
        <f t="shared" si="224"/>
        <v>0.85195330861114293</v>
      </c>
      <c r="H375" s="29">
        <f t="shared" si="225"/>
        <v>3.6698006135703682</v>
      </c>
      <c r="I375" s="29">
        <f t="shared" si="226"/>
        <v>0.22729333106144325</v>
      </c>
      <c r="J375" s="29">
        <f t="shared" si="227"/>
        <v>-0.83872360133924473</v>
      </c>
      <c r="K375" s="26">
        <f t="shared" si="190"/>
        <v>-3.0597667360272536</v>
      </c>
      <c r="L375" s="26">
        <f t="shared" si="191"/>
        <v>4.4797683553913871E-2</v>
      </c>
      <c r="M375" s="26">
        <f t="shared" si="192"/>
        <v>0.85195330861114293</v>
      </c>
      <c r="N375" s="26">
        <f t="shared" si="193"/>
        <v>0.70097673293702722</v>
      </c>
      <c r="O375" s="26">
        <f t="shared" si="194"/>
        <v>-0.51499769812073581</v>
      </c>
      <c r="P375" s="26">
        <f t="shared" si="195"/>
        <v>0.37402268117157639</v>
      </c>
      <c r="Q375" s="26">
        <f t="shared" si="196"/>
        <v>6.9946483015387348E-2</v>
      </c>
      <c r="R375" s="26">
        <f t="shared" si="197"/>
        <v>-7.3495735712844859</v>
      </c>
      <c r="S375" s="26">
        <f t="shared" si="198"/>
        <v>6.4245342687713398E-4</v>
      </c>
      <c r="T375" s="26">
        <f t="shared" si="199"/>
        <v>1.3033780546117817</v>
      </c>
      <c r="U375" s="26">
        <f t="shared" si="200"/>
        <v>0.78640295514728953</v>
      </c>
      <c r="V375" s="26">
        <f t="shared" si="201"/>
        <v>-0.65762177812711042</v>
      </c>
      <c r="W375" s="26">
        <f t="shared" si="202"/>
        <v>0.34127404827276853</v>
      </c>
      <c r="X375" s="26">
        <f t="shared" si="203"/>
        <v>0.21695993973947345</v>
      </c>
      <c r="Y375" s="26">
        <f t="shared" si="204"/>
        <v>0.69855851286296167</v>
      </c>
      <c r="Z375" s="26">
        <f t="shared" si="205"/>
        <v>0.6678680984666967</v>
      </c>
      <c r="AA375" s="26">
        <f t="shared" si="206"/>
        <v>0.56788484004414541</v>
      </c>
      <c r="AB375" s="26">
        <f t="shared" si="207"/>
        <v>0.63827496991827615</v>
      </c>
      <c r="AC375" s="26">
        <f t="shared" si="208"/>
        <v>1.7572948002437816</v>
      </c>
      <c r="AD375" s="26">
        <f t="shared" si="209"/>
        <v>0.85287052920507922</v>
      </c>
      <c r="AE375" s="26">
        <f t="shared" si="210"/>
        <v>1.0823540588196724E-2</v>
      </c>
      <c r="AF375" s="26">
        <f t="shared" si="211"/>
        <v>-3.5912483223942702</v>
      </c>
      <c r="AG375" s="26">
        <f t="shared" si="212"/>
        <v>2.6824512125820217E-2</v>
      </c>
      <c r="AH375" s="26">
        <f t="shared" si="213"/>
        <v>1.0193095860447843</v>
      </c>
      <c r="AI375" s="26">
        <f t="shared" si="214"/>
        <v>0.73483809338222728</v>
      </c>
      <c r="AJ375" s="26">
        <f t="shared" si="215"/>
        <v>-0.5732591922454976</v>
      </c>
      <c r="AK375" s="26">
        <f t="shared" si="216"/>
        <v>0.360485123876084</v>
      </c>
      <c r="AL375" s="26">
        <f t="shared" si="217"/>
        <v>6.4974762267977812E-2</v>
      </c>
      <c r="AM375" s="27">
        <f t="shared" si="218"/>
        <v>0.36270472561103534</v>
      </c>
    </row>
    <row r="376" spans="1:39" ht="15" customHeight="1" x14ac:dyDescent="0.2">
      <c r="A376" s="24">
        <v>365</v>
      </c>
      <c r="B376" s="29">
        <f t="shared" si="219"/>
        <v>3.7653926899357759</v>
      </c>
      <c r="C376" s="29">
        <f t="shared" si="220"/>
        <v>-4.2974193467191864</v>
      </c>
      <c r="D376" s="29">
        <f t="shared" si="221"/>
        <v>-3.0661018116592387</v>
      </c>
      <c r="E376" s="29">
        <f t="shared" si="222"/>
        <v>-0.28678018874766159</v>
      </c>
      <c r="F376" s="29">
        <f t="shared" si="223"/>
        <v>0.45339797080882704</v>
      </c>
      <c r="G376" s="29">
        <f t="shared" si="224"/>
        <v>0.85072332874067436</v>
      </c>
      <c r="H376" s="29">
        <f t="shared" si="225"/>
        <v>3.6760738706866309</v>
      </c>
      <c r="I376" s="29">
        <f t="shared" si="226"/>
        <v>0.233079338238844</v>
      </c>
      <c r="J376" s="29">
        <f t="shared" si="227"/>
        <v>-0.84285032774965019</v>
      </c>
      <c r="K376" s="26">
        <f t="shared" si="190"/>
        <v>-3.0661018116592387</v>
      </c>
      <c r="L376" s="26">
        <f t="shared" si="191"/>
        <v>4.4527380663389501E-2</v>
      </c>
      <c r="M376" s="26">
        <f t="shared" si="192"/>
        <v>0.85072332874067436</v>
      </c>
      <c r="N376" s="26">
        <f t="shared" si="193"/>
        <v>0.70071885516819254</v>
      </c>
      <c r="O376" s="26">
        <f t="shared" si="194"/>
        <v>-0.51584130010876417</v>
      </c>
      <c r="P376" s="26">
        <f t="shared" si="195"/>
        <v>0.37382518987847058</v>
      </c>
      <c r="Q376" s="26">
        <f t="shared" si="196"/>
        <v>6.987263629383729E-2</v>
      </c>
      <c r="R376" s="26">
        <f t="shared" si="197"/>
        <v>-7.3635211583784255</v>
      </c>
      <c r="S376" s="26">
        <f t="shared" si="198"/>
        <v>6.3356058985569166E-4</v>
      </c>
      <c r="T376" s="26">
        <f t="shared" si="199"/>
        <v>1.3041212995495015</v>
      </c>
      <c r="U376" s="26">
        <f t="shared" si="200"/>
        <v>0.78652777391171924</v>
      </c>
      <c r="V376" s="26">
        <f t="shared" si="201"/>
        <v>-0.65719793916997027</v>
      </c>
      <c r="W376" s="26">
        <f t="shared" si="202"/>
        <v>0.34136933625298921</v>
      </c>
      <c r="X376" s="26">
        <f t="shared" si="203"/>
        <v>0.21689717561391397</v>
      </c>
      <c r="Y376" s="26">
        <f t="shared" si="204"/>
        <v>0.69929087827653724</v>
      </c>
      <c r="Z376" s="26">
        <f t="shared" si="205"/>
        <v>0.66803053200658902</v>
      </c>
      <c r="AA376" s="26">
        <f t="shared" si="206"/>
        <v>0.56394313999301282</v>
      </c>
      <c r="AB376" s="26">
        <f t="shared" si="207"/>
        <v>0.6373644149730795</v>
      </c>
      <c r="AC376" s="26">
        <f t="shared" si="208"/>
        <v>1.7614357318395741</v>
      </c>
      <c r="AD376" s="26">
        <f t="shared" si="209"/>
        <v>0.85338938429788858</v>
      </c>
      <c r="AE376" s="26">
        <f t="shared" si="210"/>
        <v>1.07473363182761E-2</v>
      </c>
      <c r="AF376" s="26">
        <f t="shared" si="211"/>
        <v>-3.5981284684426491</v>
      </c>
      <c r="AG376" s="26">
        <f t="shared" si="212"/>
        <v>2.664548972100465E-2</v>
      </c>
      <c r="AH376" s="26">
        <f t="shared" si="213"/>
        <v>1.0173411108018398</v>
      </c>
      <c r="AI376" s="26">
        <f t="shared" si="214"/>
        <v>0.73445435660784664</v>
      </c>
      <c r="AJ376" s="26">
        <f t="shared" si="215"/>
        <v>-0.57371340380982294</v>
      </c>
      <c r="AK376" s="26">
        <f t="shared" si="216"/>
        <v>0.36038041857777348</v>
      </c>
      <c r="AL376" s="26">
        <f t="shared" si="217"/>
        <v>6.4937023047145603E-2</v>
      </c>
      <c r="AM376" s="27">
        <f t="shared" si="218"/>
        <v>0.36245417127317298</v>
      </c>
    </row>
    <row r="377" spans="1:39" ht="15" customHeight="1" x14ac:dyDescent="0.2">
      <c r="A377" s="24">
        <v>366</v>
      </c>
      <c r="B377" s="29">
        <f t="shared" si="219"/>
        <v>3.7724267064662849</v>
      </c>
      <c r="C377" s="29">
        <f t="shared" si="220"/>
        <v>-4.3049946371913075</v>
      </c>
      <c r="D377" s="29">
        <f t="shared" si="221"/>
        <v>-3.0724086762242981</v>
      </c>
      <c r="E377" s="29">
        <f t="shared" si="222"/>
        <v>-0.28956817266595225</v>
      </c>
      <c r="F377" s="29">
        <f t="shared" si="223"/>
        <v>0.4554169869353657</v>
      </c>
      <c r="G377" s="29">
        <f t="shared" si="224"/>
        <v>0.84945333306274429</v>
      </c>
      <c r="H377" s="29">
        <f t="shared" si="225"/>
        <v>3.6823117849207323</v>
      </c>
      <c r="I377" s="29">
        <f t="shared" si="226"/>
        <v>0.23891547760582393</v>
      </c>
      <c r="J377" s="29">
        <f t="shared" si="227"/>
        <v>-0.8469978650821286</v>
      </c>
      <c r="K377" s="26">
        <f t="shared" si="190"/>
        <v>-3.0724086762242981</v>
      </c>
      <c r="L377" s="26">
        <f t="shared" si="191"/>
        <v>4.425982651048508E-2</v>
      </c>
      <c r="M377" s="26">
        <f t="shared" si="192"/>
        <v>0.84945333306274429</v>
      </c>
      <c r="N377" s="26">
        <f t="shared" si="193"/>
        <v>0.70045245403622369</v>
      </c>
      <c r="O377" s="26">
        <f t="shared" si="194"/>
        <v>-0.51667045172778647</v>
      </c>
      <c r="P377" s="26">
        <f t="shared" si="195"/>
        <v>0.37363112245014218</v>
      </c>
      <c r="Q377" s="26">
        <f t="shared" si="196"/>
        <v>6.9800107831676575E-2</v>
      </c>
      <c r="R377" s="26">
        <f t="shared" si="197"/>
        <v>-7.3774033134156056</v>
      </c>
      <c r="S377" s="26">
        <f t="shared" si="198"/>
        <v>6.2483162761849012E-4</v>
      </c>
      <c r="T377" s="26">
        <f t="shared" si="199"/>
        <v>1.30487031999811</v>
      </c>
      <c r="U377" s="26">
        <f t="shared" si="200"/>
        <v>0.78665350882882823</v>
      </c>
      <c r="V377" s="26">
        <f t="shared" si="201"/>
        <v>-0.65675334144402109</v>
      </c>
      <c r="W377" s="26">
        <f t="shared" si="202"/>
        <v>0.34146930501507944</v>
      </c>
      <c r="X377" s="26">
        <f t="shared" si="203"/>
        <v>0.21683133811866123</v>
      </c>
      <c r="Y377" s="26">
        <f t="shared" si="204"/>
        <v>0.70001803024198672</v>
      </c>
      <c r="Z377" s="26">
        <f t="shared" si="205"/>
        <v>0.6681917696928007</v>
      </c>
      <c r="AA377" s="26">
        <f t="shared" si="206"/>
        <v>0.55988516039679204</v>
      </c>
      <c r="AB377" s="26">
        <f t="shared" si="207"/>
        <v>0.63642596819694064</v>
      </c>
      <c r="AC377" s="26">
        <f t="shared" si="208"/>
        <v>1.765544577197232</v>
      </c>
      <c r="AD377" s="26">
        <f t="shared" si="209"/>
        <v>0.85390272026223479</v>
      </c>
      <c r="AE377" s="26">
        <f t="shared" si="210"/>
        <v>1.067220757338741E-2</v>
      </c>
      <c r="AF377" s="26">
        <f t="shared" si="211"/>
        <v>-3.6049766069493208</v>
      </c>
      <c r="AG377" s="26">
        <f t="shared" si="212"/>
        <v>2.646845434199515E-2</v>
      </c>
      <c r="AH377" s="26">
        <f t="shared" si="213"/>
        <v>1.0153021473321577</v>
      </c>
      <c r="AI377" s="26">
        <f t="shared" si="214"/>
        <v>0.73405650515541687</v>
      </c>
      <c r="AJ377" s="26">
        <f t="shared" si="215"/>
        <v>-0.57415530321109509</v>
      </c>
      <c r="AK377" s="26">
        <f t="shared" si="216"/>
        <v>0.36027856423563087</v>
      </c>
      <c r="AL377" s="26">
        <f t="shared" si="217"/>
        <v>6.4900321923843804E-2</v>
      </c>
      <c r="AM377" s="27">
        <f t="shared" si="218"/>
        <v>0.36220397544756905</v>
      </c>
    </row>
    <row r="378" spans="1:39" ht="15" customHeight="1" x14ac:dyDescent="0.2">
      <c r="A378" s="24">
        <v>367</v>
      </c>
      <c r="B378" s="29">
        <f t="shared" si="219"/>
        <v>3.7794277329934451</v>
      </c>
      <c r="C378" s="29">
        <f t="shared" si="220"/>
        <v>-4.3125330623079847</v>
      </c>
      <c r="D378" s="29">
        <f t="shared" si="221"/>
        <v>-3.0786874410794334</v>
      </c>
      <c r="E378" s="29">
        <f t="shared" si="222"/>
        <v>-0.29243344893575968</v>
      </c>
      <c r="F378" s="29">
        <f t="shared" si="223"/>
        <v>0.45748181771603913</v>
      </c>
      <c r="G378" s="29">
        <f t="shared" si="224"/>
        <v>0.84814240143285502</v>
      </c>
      <c r="H378" s="29">
        <f t="shared" si="225"/>
        <v>3.6885148359356363</v>
      </c>
      <c r="I378" s="29">
        <f t="shared" si="226"/>
        <v>0.24480289721651377</v>
      </c>
      <c r="J378" s="29">
        <f t="shared" si="227"/>
        <v>-0.85116680289630808</v>
      </c>
      <c r="K378" s="26">
        <f t="shared" si="190"/>
        <v>-3.0786874410794334</v>
      </c>
      <c r="L378" s="26">
        <f t="shared" si="191"/>
        <v>4.3994987844246804E-2</v>
      </c>
      <c r="M378" s="26">
        <f t="shared" si="192"/>
        <v>0.84814240143285502</v>
      </c>
      <c r="N378" s="26">
        <f t="shared" si="193"/>
        <v>0.70017732365762564</v>
      </c>
      <c r="O378" s="26">
        <f t="shared" si="194"/>
        <v>-0.51748520012930432</v>
      </c>
      <c r="P378" s="26">
        <f t="shared" si="195"/>
        <v>0.37344046578326806</v>
      </c>
      <c r="Q378" s="26">
        <f t="shared" si="196"/>
        <v>6.9728890742212099E-2</v>
      </c>
      <c r="R378" s="26">
        <f t="shared" si="197"/>
        <v>-7.3912205033874177</v>
      </c>
      <c r="S378" s="26">
        <f t="shared" si="198"/>
        <v>6.1626286520761672E-4</v>
      </c>
      <c r="T378" s="26">
        <f t="shared" si="199"/>
        <v>1.305624219148894</v>
      </c>
      <c r="U378" s="26">
        <f t="shared" si="200"/>
        <v>0.78678000820330096</v>
      </c>
      <c r="V378" s="26">
        <f t="shared" si="201"/>
        <v>-0.65628768269495308</v>
      </c>
      <c r="W378" s="26">
        <f t="shared" si="202"/>
        <v>0.34157402450402147</v>
      </c>
      <c r="X378" s="26">
        <f t="shared" si="203"/>
        <v>0.21676238260391542</v>
      </c>
      <c r="Y378" s="26">
        <f t="shared" si="204"/>
        <v>0.70074029191401177</v>
      </c>
      <c r="Z378" s="26">
        <f t="shared" si="205"/>
        <v>0.66835188397476175</v>
      </c>
      <c r="AA378" s="26">
        <f t="shared" si="206"/>
        <v>0.55570895249709529</v>
      </c>
      <c r="AB378" s="26">
        <f t="shared" si="207"/>
        <v>0.63545909452607496</v>
      </c>
      <c r="AC378" s="26">
        <f t="shared" si="208"/>
        <v>1.7696212641726992</v>
      </c>
      <c r="AD378" s="26">
        <f t="shared" si="209"/>
        <v>0.85441056524346992</v>
      </c>
      <c r="AE378" s="26">
        <f t="shared" si="210"/>
        <v>1.0598141756362964E-2</v>
      </c>
      <c r="AF378" s="26">
        <f t="shared" si="211"/>
        <v>-3.611792770393973</v>
      </c>
      <c r="AG378" s="26">
        <f t="shared" si="212"/>
        <v>2.629338204569838E-2</v>
      </c>
      <c r="AH378" s="26">
        <f t="shared" si="213"/>
        <v>1.0131907702131344</v>
      </c>
      <c r="AI378" s="26">
        <f t="shared" si="214"/>
        <v>0.73364412364392195</v>
      </c>
      <c r="AJ378" s="26">
        <f t="shared" si="215"/>
        <v>-0.57458506613992355</v>
      </c>
      <c r="AK378" s="26">
        <f t="shared" si="216"/>
        <v>0.36017951931841852</v>
      </c>
      <c r="AL378" s="26">
        <f t="shared" si="217"/>
        <v>6.486464306822351E-2</v>
      </c>
      <c r="AM378" s="27">
        <f t="shared" si="218"/>
        <v>0.36195405817071402</v>
      </c>
    </row>
    <row r="379" spans="1:39" ht="15" customHeight="1" x14ac:dyDescent="0.2">
      <c r="A379" s="24">
        <v>368</v>
      </c>
      <c r="B379" s="29">
        <f t="shared" si="219"/>
        <v>3.7863962042662211</v>
      </c>
      <c r="C379" s="29">
        <f t="shared" si="220"/>
        <v>-4.3200349751499365</v>
      </c>
      <c r="D379" s="29">
        <f t="shared" si="221"/>
        <v>-3.0849382147554478</v>
      </c>
      <c r="E379" s="29">
        <f t="shared" si="222"/>
        <v>-0.29537707339893565</v>
      </c>
      <c r="F379" s="29">
        <f t="shared" si="223"/>
        <v>0.45959247990356838</v>
      </c>
      <c r="G379" s="29">
        <f t="shared" si="224"/>
        <v>0.84678958406161053</v>
      </c>
      <c r="H379" s="29">
        <f t="shared" si="225"/>
        <v>3.6946835027644904</v>
      </c>
      <c r="I379" s="29">
        <f t="shared" si="226"/>
        <v>0.25074276974332033</v>
      </c>
      <c r="J379" s="29">
        <f t="shared" si="227"/>
        <v>-0.85535773236901891</v>
      </c>
      <c r="K379" s="26">
        <f t="shared" si="190"/>
        <v>-3.0849382147554478</v>
      </c>
      <c r="L379" s="26">
        <f t="shared" si="191"/>
        <v>4.3732831971840282E-2</v>
      </c>
      <c r="M379" s="26">
        <f t="shared" si="192"/>
        <v>0.84678958406161053</v>
      </c>
      <c r="N379" s="26">
        <f t="shared" si="193"/>
        <v>0.69989325112233813</v>
      </c>
      <c r="O379" s="26">
        <f t="shared" si="194"/>
        <v>-0.5182855872424168</v>
      </c>
      <c r="P379" s="26">
        <f t="shared" si="195"/>
        <v>0.37325320803663736</v>
      </c>
      <c r="Q379" s="26">
        <f t="shared" si="196"/>
        <v>6.9658978654820639E-2</v>
      </c>
      <c r="R379" s="26">
        <f t="shared" si="197"/>
        <v>-7.4049731899053839</v>
      </c>
      <c r="S379" s="26">
        <f t="shared" si="198"/>
        <v>6.0785072426384199E-4</v>
      </c>
      <c r="T379" s="26">
        <f t="shared" si="199"/>
        <v>1.3063820639651789</v>
      </c>
      <c r="U379" s="26">
        <f t="shared" si="200"/>
        <v>0.78690711451739603</v>
      </c>
      <c r="V379" s="26">
        <f t="shared" si="201"/>
        <v>-0.65580064690112183</v>
      </c>
      <c r="W379" s="26">
        <f t="shared" si="202"/>
        <v>0.34168356789361404</v>
      </c>
      <c r="X379" s="26">
        <f t="shared" si="203"/>
        <v>0.2166902623906409</v>
      </c>
      <c r="Y379" s="26">
        <f t="shared" si="204"/>
        <v>0.70145798951077332</v>
      </c>
      <c r="Z379" s="26">
        <f t="shared" si="205"/>
        <v>0.66851094790671772</v>
      </c>
      <c r="AA379" s="26">
        <f t="shared" si="206"/>
        <v>0.55141251066267483</v>
      </c>
      <c r="AB379" s="26">
        <f t="shared" si="207"/>
        <v>0.63446324214680994</v>
      </c>
      <c r="AC379" s="26">
        <f t="shared" si="208"/>
        <v>1.7736657089156007</v>
      </c>
      <c r="AD379" s="26">
        <f t="shared" si="209"/>
        <v>0.85491294567619069</v>
      </c>
      <c r="AE379" s="26">
        <f t="shared" si="210"/>
        <v>1.0525126666179996E-2</v>
      </c>
      <c r="AF379" s="26">
        <f t="shared" si="211"/>
        <v>-3.6185769856391632</v>
      </c>
      <c r="AG379" s="26">
        <f t="shared" si="212"/>
        <v>2.6120249360245026E-2</v>
      </c>
      <c r="AH379" s="26">
        <f t="shared" si="213"/>
        <v>1.0110049905662433</v>
      </c>
      <c r="AI379" s="26">
        <f t="shared" si="214"/>
        <v>0.73321678144627478</v>
      </c>
      <c r="AJ379" s="26">
        <f t="shared" si="215"/>
        <v>-0.57500287136750516</v>
      </c>
      <c r="AK379" s="26">
        <f t="shared" si="216"/>
        <v>0.36008324163202188</v>
      </c>
      <c r="AL379" s="26">
        <f t="shared" si="217"/>
        <v>6.4829970452112529E-2</v>
      </c>
      <c r="AM379" s="27">
        <f t="shared" si="218"/>
        <v>0.36170433816375408</v>
      </c>
    </row>
    <row r="380" spans="1:39" ht="15" customHeight="1" x14ac:dyDescent="0.2">
      <c r="A380" s="24">
        <v>369</v>
      </c>
      <c r="B380" s="29">
        <f t="shared" si="219"/>
        <v>3.7933325554497337</v>
      </c>
      <c r="C380" s="29">
        <f t="shared" si="220"/>
        <v>-4.3275007262560914</v>
      </c>
      <c r="D380" s="29">
        <f t="shared" si="221"/>
        <v>-3.091161102831987</v>
      </c>
      <c r="E380" s="29">
        <f t="shared" si="222"/>
        <v>-0.29840013007761518</v>
      </c>
      <c r="F380" s="29">
        <f t="shared" si="223"/>
        <v>0.46174898361675198</v>
      </c>
      <c r="G380" s="29">
        <f t="shared" si="224"/>
        <v>0.84539390073008758</v>
      </c>
      <c r="H380" s="29">
        <f t="shared" si="225"/>
        <v>3.7008182639645093</v>
      </c>
      <c r="I380" s="29">
        <f t="shared" si="226"/>
        <v>0.2567362932573371</v>
      </c>
      <c r="J380" s="29">
        <f t="shared" si="227"/>
        <v>-0.85957124620286751</v>
      </c>
      <c r="K380" s="26">
        <f t="shared" si="190"/>
        <v>-3.091161102831987</v>
      </c>
      <c r="L380" s="26">
        <f t="shared" si="191"/>
        <v>4.3473326754184673E-2</v>
      </c>
      <c r="M380" s="26">
        <f t="shared" si="192"/>
        <v>0.84539390073008758</v>
      </c>
      <c r="N380" s="26">
        <f t="shared" si="193"/>
        <v>0.69960001628226365</v>
      </c>
      <c r="O380" s="26">
        <f t="shared" si="194"/>
        <v>-0.51907164961260288</v>
      </c>
      <c r="P380" s="26">
        <f t="shared" si="195"/>
        <v>0.37306933866751624</v>
      </c>
      <c r="Q380" s="26">
        <f t="shared" si="196"/>
        <v>6.9590365726908965E-2</v>
      </c>
      <c r="R380" s="26">
        <f t="shared" si="197"/>
        <v>-7.4186618290880784</v>
      </c>
      <c r="S380" s="26">
        <f t="shared" si="198"/>
        <v>5.9959172024103382E-4</v>
      </c>
      <c r="T380" s="26">
        <f t="shared" si="199"/>
        <v>1.3071428843468396</v>
      </c>
      <c r="U380" s="26">
        <f t="shared" si="200"/>
        <v>0.78703466430800206</v>
      </c>
      <c r="V380" s="26">
        <f t="shared" si="201"/>
        <v>-0.65529190383420854</v>
      </c>
      <c r="W380" s="26">
        <f t="shared" si="202"/>
        <v>0.34179801169207391</v>
      </c>
      <c r="X380" s="26">
        <f t="shared" si="203"/>
        <v>0.21661492870625362</v>
      </c>
      <c r="Y380" s="26">
        <f t="shared" si="204"/>
        <v>0.70217145261774672</v>
      </c>
      <c r="Z380" s="26">
        <f t="shared" si="205"/>
        <v>0.6686690352152288</v>
      </c>
      <c r="AA380" s="26">
        <f t="shared" si="206"/>
        <v>0.54699377065247234</v>
      </c>
      <c r="AB380" s="26">
        <f t="shared" si="207"/>
        <v>0.6334378419884209</v>
      </c>
      <c r="AC380" s="26">
        <f t="shared" si="208"/>
        <v>1.7776778154302126</v>
      </c>
      <c r="AD380" s="26">
        <f t="shared" si="209"/>
        <v>0.85540988624909209</v>
      </c>
      <c r="AE380" s="26">
        <f t="shared" si="210"/>
        <v>1.0453150497250244E-2</v>
      </c>
      <c r="AF380" s="26">
        <f t="shared" si="211"/>
        <v>-3.6253292736383447</v>
      </c>
      <c r="AG380" s="26">
        <f t="shared" si="212"/>
        <v>2.5949033283141892E-2</v>
      </c>
      <c r="AH380" s="26">
        <f t="shared" si="213"/>
        <v>1.0087427542692244</v>
      </c>
      <c r="AI380" s="26">
        <f t="shared" si="214"/>
        <v>0.7327740321541929</v>
      </c>
      <c r="AJ380" s="26">
        <f t="shared" si="215"/>
        <v>-0.57540890108589282</v>
      </c>
      <c r="AK380" s="26">
        <f t="shared" si="216"/>
        <v>0.35998968824020472</v>
      </c>
      <c r="AL380" s="26">
        <f t="shared" si="217"/>
        <v>6.4796287819639892E-2</v>
      </c>
      <c r="AM380" s="27">
        <f t="shared" si="218"/>
        <v>0.36145473275005269</v>
      </c>
    </row>
    <row r="381" spans="1:39" ht="15" customHeight="1" x14ac:dyDescent="0.2">
      <c r="A381" s="24">
        <v>370</v>
      </c>
      <c r="B381" s="29">
        <f t="shared" si="219"/>
        <v>3.8002372223115146</v>
      </c>
      <c r="C381" s="29">
        <f t="shared" si="220"/>
        <v>-4.3349306636363201</v>
      </c>
      <c r="D381" s="29">
        <f t="shared" si="221"/>
        <v>-3.0973562078097077</v>
      </c>
      <c r="E381" s="29">
        <f t="shared" si="222"/>
        <v>-0.30150373215958082</v>
      </c>
      <c r="F381" s="29">
        <f t="shared" si="223"/>
        <v>0.46395133229232333</v>
      </c>
      <c r="G381" s="29">
        <f t="shared" si="224"/>
        <v>0.84395433998094527</v>
      </c>
      <c r="H381" s="29">
        <f t="shared" si="225"/>
        <v>3.7069195977773339</v>
      </c>
      <c r="I381" s="29">
        <f t="shared" si="226"/>
        <v>0.26278469204984345</v>
      </c>
      <c r="J381" s="29">
        <f t="shared" si="227"/>
        <v>-0.86380793852976812</v>
      </c>
      <c r="K381" s="26">
        <f t="shared" si="190"/>
        <v>-3.0973562078097077</v>
      </c>
      <c r="L381" s="26">
        <f t="shared" si="191"/>
        <v>4.321644060171053E-2</v>
      </c>
      <c r="M381" s="26">
        <f t="shared" si="192"/>
        <v>0.84395433998094527</v>
      </c>
      <c r="N381" s="26">
        <f t="shared" si="193"/>
        <v>0.69929739153208148</v>
      </c>
      <c r="O381" s="26">
        <f t="shared" si="194"/>
        <v>-0.51984341823209046</v>
      </c>
      <c r="P381" s="26">
        <f t="shared" si="195"/>
        <v>0.37288884846999026</v>
      </c>
      <c r="Q381" s="26">
        <f t="shared" si="196"/>
        <v>6.952304665663768E-2</v>
      </c>
      <c r="R381" s="26">
        <f t="shared" si="197"/>
        <v>-7.4322868714460277</v>
      </c>
      <c r="S381" s="26">
        <f t="shared" si="198"/>
        <v>5.9148245970929174E-4</v>
      </c>
      <c r="T381" s="26">
        <f t="shared" si="199"/>
        <v>1.3079056722732685</v>
      </c>
      <c r="U381" s="26">
        <f t="shared" si="200"/>
        <v>0.78716248803978439</v>
      </c>
      <c r="V381" s="26">
        <f t="shared" si="201"/>
        <v>-0.65476110859540693</v>
      </c>
      <c r="W381" s="26">
        <f t="shared" si="202"/>
        <v>0.34191743585360101</v>
      </c>
      <c r="X381" s="26">
        <f t="shared" si="203"/>
        <v>0.21653633061674968</v>
      </c>
      <c r="Y381" s="26">
        <f t="shared" si="204"/>
        <v>0.70288101450180696</v>
      </c>
      <c r="Z381" s="26">
        <f t="shared" si="205"/>
        <v>0.66882622036877826</v>
      </c>
      <c r="AA381" s="26">
        <f t="shared" si="206"/>
        <v>0.54245060782136445</v>
      </c>
      <c r="AB381" s="26">
        <f t="shared" si="207"/>
        <v>0.63238230720163324</v>
      </c>
      <c r="AC381" s="26">
        <f t="shared" si="208"/>
        <v>1.7816574751183483</v>
      </c>
      <c r="AD381" s="26">
        <f t="shared" si="209"/>
        <v>0.85590140986796015</v>
      </c>
      <c r="AE381" s="26">
        <f t="shared" si="210"/>
        <v>1.0382201839020807E-2</v>
      </c>
      <c r="AF381" s="26">
        <f t="shared" si="211"/>
        <v>-3.6320496491345131</v>
      </c>
      <c r="AG381" s="26">
        <f t="shared" si="212"/>
        <v>2.577971127959118E-2</v>
      </c>
      <c r="AH381" s="26">
        <f t="shared" si="213"/>
        <v>1.0064019401136877</v>
      </c>
      <c r="AI381" s="26">
        <f t="shared" si="214"/>
        <v>0.73231541302109138</v>
      </c>
      <c r="AJ381" s="26">
        <f t="shared" si="215"/>
        <v>-0.57580334126830879</v>
      </c>
      <c r="AK381" s="26">
        <f t="shared" si="216"/>
        <v>0.35989881538077717</v>
      </c>
      <c r="AL381" s="26">
        <f t="shared" si="217"/>
        <v>6.4763578656243367E-2</v>
      </c>
      <c r="AM381" s="27">
        <f t="shared" si="218"/>
        <v>0.36120515776865159</v>
      </c>
    </row>
    <row r="382" spans="1:39" ht="15" customHeight="1" x14ac:dyDescent="0.2">
      <c r="A382" s="24">
        <v>371</v>
      </c>
      <c r="B382" s="29">
        <f t="shared" si="219"/>
        <v>3.8071106414154099</v>
      </c>
      <c r="C382" s="29">
        <f t="shared" si="220"/>
        <v>-4.3423251327849188</v>
      </c>
      <c r="D382" s="29">
        <f t="shared" si="221"/>
        <v>-3.103523628979298</v>
      </c>
      <c r="E382" s="29">
        <f t="shared" si="222"/>
        <v>-0.30468902301797457</v>
      </c>
      <c r="F382" s="29">
        <f t="shared" si="223"/>
        <v>0.46619952264022174</v>
      </c>
      <c r="G382" s="29">
        <f t="shared" si="224"/>
        <v>0.84246985828450105</v>
      </c>
      <c r="H382" s="29">
        <f t="shared" si="225"/>
        <v>3.7129879822960574</v>
      </c>
      <c r="I382" s="29">
        <f t="shared" si="226"/>
        <v>0.26888921749671912</v>
      </c>
      <c r="J382" s="29">
        <f t="shared" si="227"/>
        <v>-0.86806840480893199</v>
      </c>
      <c r="K382" s="26">
        <f t="shared" si="190"/>
        <v>-3.103523628979298</v>
      </c>
      <c r="L382" s="26">
        <f t="shared" si="191"/>
        <v>4.2962142470250736E-2</v>
      </c>
      <c r="M382" s="26">
        <f t="shared" si="192"/>
        <v>0.84246985828450105</v>
      </c>
      <c r="N382" s="26">
        <f t="shared" si="193"/>
        <v>0.69898514158204561</v>
      </c>
      <c r="O382" s="26">
        <f t="shared" si="194"/>
        <v>-0.52060091836137024</v>
      </c>
      <c r="P382" s="26">
        <f t="shared" si="195"/>
        <v>0.37271172961538968</v>
      </c>
      <c r="Q382" s="26">
        <f t="shared" si="196"/>
        <v>6.9457016696447674E-2</v>
      </c>
      <c r="R382" s="26">
        <f t="shared" si="197"/>
        <v>-7.4458487617642168</v>
      </c>
      <c r="S382" s="26">
        <f t="shared" si="198"/>
        <v>5.8351963774395368E-4</v>
      </c>
      <c r="T382" s="26">
        <f t="shared" si="199"/>
        <v>1.3086693809247227</v>
      </c>
      <c r="U382" s="26">
        <f t="shared" si="200"/>
        <v>0.78729040997430899</v>
      </c>
      <c r="V382" s="26">
        <f t="shared" si="201"/>
        <v>-0.65420790112589178</v>
      </c>
      <c r="W382" s="26">
        <f t="shared" si="202"/>
        <v>0.3420419238962174</v>
      </c>
      <c r="X382" s="26">
        <f t="shared" si="203"/>
        <v>0.21645441495509551</v>
      </c>
      <c r="Y382" s="26">
        <f t="shared" si="204"/>
        <v>0.70358701243611188</v>
      </c>
      <c r="Z382" s="26">
        <f t="shared" si="205"/>
        <v>0.66898257864960808</v>
      </c>
      <c r="AA382" s="26">
        <f t="shared" si="206"/>
        <v>0.53778083526652654</v>
      </c>
      <c r="AB382" s="26">
        <f t="shared" si="207"/>
        <v>0.63129603262260492</v>
      </c>
      <c r="AC382" s="26">
        <f t="shared" si="208"/>
        <v>1.7856045663031652</v>
      </c>
      <c r="AD382" s="26">
        <f t="shared" si="209"/>
        <v>0.85638753761670028</v>
      </c>
      <c r="AE382" s="26">
        <f t="shared" si="210"/>
        <v>1.0312269675897339E-2</v>
      </c>
      <c r="AF382" s="26">
        <f t="shared" si="211"/>
        <v>-3.6387381203488069</v>
      </c>
      <c r="AG382" s="26">
        <f t="shared" si="212"/>
        <v>2.561226128098916E-2</v>
      </c>
      <c r="AH382" s="26">
        <f t="shared" si="213"/>
        <v>1.0039803579067481</v>
      </c>
      <c r="AI382" s="26">
        <f t="shared" si="214"/>
        <v>0.73184044438208951</v>
      </c>
      <c r="AJ382" s="26">
        <f t="shared" si="215"/>
        <v>-0.57618638205084138</v>
      </c>
      <c r="AK382" s="26">
        <f t="shared" si="216"/>
        <v>0.35981057837686803</v>
      </c>
      <c r="AL382" s="26">
        <f t="shared" si="217"/>
        <v>6.4731826155948149E-2</v>
      </c>
      <c r="AM382" s="27">
        <f t="shared" si="218"/>
        <v>0.36095552748338866</v>
      </c>
    </row>
    <row r="383" spans="1:39" ht="15" customHeight="1" x14ac:dyDescent="0.2">
      <c r="A383" s="24">
        <v>372</v>
      </c>
      <c r="B383" s="29">
        <f t="shared" si="219"/>
        <v>3.8139532503234523</v>
      </c>
      <c r="C383" s="29">
        <f t="shared" si="220"/>
        <v>-4.3496844766947449</v>
      </c>
      <c r="D383" s="29">
        <f t="shared" si="221"/>
        <v>-3.1096634622870538</v>
      </c>
      <c r="E383" s="29">
        <f t="shared" si="222"/>
        <v>-0.30795717726668859</v>
      </c>
      <c r="F383" s="29">
        <f t="shared" si="223"/>
        <v>0.46849354460304038</v>
      </c>
      <c r="G383" s="29">
        <f t="shared" si="224"/>
        <v>0.84093937917899175</v>
      </c>
      <c r="H383" s="29">
        <f t="shared" si="225"/>
        <v>3.719023895639137</v>
      </c>
      <c r="I383" s="29">
        <f t="shared" si="226"/>
        <v>0.27505114896768346</v>
      </c>
      <c r="J383" s="29">
        <f t="shared" si="227"/>
        <v>-0.87235324171877815</v>
      </c>
      <c r="K383" s="26">
        <f t="shared" si="190"/>
        <v>-3.1096634622870538</v>
      </c>
      <c r="L383" s="26">
        <f t="shared" si="191"/>
        <v>4.2710401857073803E-2</v>
      </c>
      <c r="M383" s="26">
        <f t="shared" si="192"/>
        <v>0.84093937917899175</v>
      </c>
      <c r="N383" s="26">
        <f t="shared" si="193"/>
        <v>0.69866302322245843</v>
      </c>
      <c r="O383" s="26">
        <f t="shared" si="194"/>
        <v>-0.52134416934139804</v>
      </c>
      <c r="P383" s="26">
        <f t="shared" si="195"/>
        <v>0.37253797569490293</v>
      </c>
      <c r="Q383" s="26">
        <f t="shared" si="196"/>
        <v>6.9392271667428049E-2</v>
      </c>
      <c r="R383" s="26">
        <f t="shared" si="197"/>
        <v>-7.4593479389817983</v>
      </c>
      <c r="S383" s="26">
        <f t="shared" si="198"/>
        <v>5.7570003539773298E-4</v>
      </c>
      <c r="T383" s="26">
        <f t="shared" si="199"/>
        <v>1.3094329237820321</v>
      </c>
      <c r="U383" s="26">
        <f t="shared" si="200"/>
        <v>0.78741824803502081</v>
      </c>
      <c r="V383" s="26">
        <f t="shared" si="201"/>
        <v>-0.65363190569026086</v>
      </c>
      <c r="W383" s="26">
        <f t="shared" si="202"/>
        <v>0.34217156302620683</v>
      </c>
      <c r="X383" s="26">
        <f t="shared" si="203"/>
        <v>0.21636912624569193</v>
      </c>
      <c r="Y383" s="26">
        <f t="shared" si="204"/>
        <v>0.70428978803639852</v>
      </c>
      <c r="Z383" s="26">
        <f t="shared" si="205"/>
        <v>0.66913818622791443</v>
      </c>
      <c r="AA383" s="26">
        <f t="shared" si="206"/>
        <v>0.53298220191230317</v>
      </c>
      <c r="AB383" s="26">
        <f t="shared" si="207"/>
        <v>0.63017839422224398</v>
      </c>
      <c r="AC383" s="26">
        <f t="shared" si="208"/>
        <v>1.7895189537329044</v>
      </c>
      <c r="AD383" s="26">
        <f t="shared" si="209"/>
        <v>0.8568682887162844</v>
      </c>
      <c r="AE383" s="26">
        <f t="shared" si="210"/>
        <v>1.0243343387502459E-2</v>
      </c>
      <c r="AF383" s="26">
        <f t="shared" si="211"/>
        <v>-3.6453946886583464</v>
      </c>
      <c r="AG383" s="26">
        <f t="shared" si="212"/>
        <v>2.5446661683616895E-2</v>
      </c>
      <c r="AH383" s="26">
        <f t="shared" si="213"/>
        <v>1.0014757465153434</v>
      </c>
      <c r="AI383" s="26">
        <f t="shared" si="214"/>
        <v>0.73134862905019971</v>
      </c>
      <c r="AJ383" s="26">
        <f t="shared" si="215"/>
        <v>-0.57655821813696462</v>
      </c>
      <c r="AK383" s="26">
        <f t="shared" si="216"/>
        <v>0.35972493154297047</v>
      </c>
      <c r="AL383" s="26">
        <f t="shared" si="217"/>
        <v>6.4701013186797399E-2</v>
      </c>
      <c r="AM383" s="27">
        <f t="shared" si="218"/>
        <v>0.36070575448741982</v>
      </c>
    </row>
    <row r="384" spans="1:39" ht="15" customHeight="1" x14ac:dyDescent="0.2">
      <c r="A384" s="24">
        <v>373</v>
      </c>
      <c r="B384" s="29">
        <f t="shared" si="219"/>
        <v>3.8207654878060371</v>
      </c>
      <c r="C384" s="29">
        <f t="shared" si="220"/>
        <v>-4.3570090358718963</v>
      </c>
      <c r="D384" s="29">
        <f t="shared" si="221"/>
        <v>-3.1157758001967069</v>
      </c>
      <c r="E384" s="29">
        <f t="shared" si="222"/>
        <v>-0.31130940185279032</v>
      </c>
      <c r="F384" s="29">
        <f t="shared" si="223"/>
        <v>0.47083338132049041</v>
      </c>
      <c r="G384" s="29">
        <f t="shared" si="224"/>
        <v>0.83936179238423669</v>
      </c>
      <c r="H384" s="29">
        <f t="shared" si="225"/>
        <v>3.7250278161314259</v>
      </c>
      <c r="I384" s="29">
        <f t="shared" si="226"/>
        <v>0.28127179478235426</v>
      </c>
      <c r="J384" s="29">
        <f t="shared" si="227"/>
        <v>-0.87666304704218601</v>
      </c>
      <c r="K384" s="26">
        <f t="shared" si="190"/>
        <v>-3.1157758001967069</v>
      </c>
      <c r="L384" s="26">
        <f t="shared" si="191"/>
        <v>4.2461188797069102E-2</v>
      </c>
      <c r="M384" s="26">
        <f t="shared" si="192"/>
        <v>0.83936179238423669</v>
      </c>
      <c r="N384" s="26">
        <f t="shared" si="193"/>
        <v>0.69833078507950341</v>
      </c>
      <c r="O384" s="26">
        <f t="shared" si="194"/>
        <v>-0.52207318439601313</v>
      </c>
      <c r="P384" s="26">
        <f t="shared" si="195"/>
        <v>0.37236758176449064</v>
      </c>
      <c r="Q384" s="26">
        <f t="shared" si="196"/>
        <v>6.9328807974567308E-2</v>
      </c>
      <c r="R384" s="26">
        <f t="shared" si="197"/>
        <v>-7.4727848360686036</v>
      </c>
      <c r="S384" s="26">
        <f t="shared" si="198"/>
        <v>5.6802051725332993E-4</v>
      </c>
      <c r="T384" s="26">
        <f t="shared" si="199"/>
        <v>1.310195173704727</v>
      </c>
      <c r="U384" s="26">
        <f t="shared" si="200"/>
        <v>0.78754581366796494</v>
      </c>
      <c r="V384" s="26">
        <f t="shared" si="201"/>
        <v>-0.65303273033156595</v>
      </c>
      <c r="W384" s="26">
        <f t="shared" si="202"/>
        <v>0.34230644426949997</v>
      </c>
      <c r="X384" s="26">
        <f t="shared" si="203"/>
        <v>0.21628040662471418</v>
      </c>
      <c r="Y384" s="26">
        <f t="shared" si="204"/>
        <v>0.70498968760933023</v>
      </c>
      <c r="Z384" s="26">
        <f t="shared" si="205"/>
        <v>0.66929312023853582</v>
      </c>
      <c r="AA384" s="26">
        <f t="shared" si="206"/>
        <v>0.52805239053144637</v>
      </c>
      <c r="AB384" s="26">
        <f t="shared" si="207"/>
        <v>0.62902874854076019</v>
      </c>
      <c r="AC384" s="26">
        <f t="shared" si="208"/>
        <v>1.7934004880635128</v>
      </c>
      <c r="AD384" s="26">
        <f t="shared" si="209"/>
        <v>0.85734368048151088</v>
      </c>
      <c r="AE384" s="26">
        <f t="shared" si="210"/>
        <v>1.0175412749280629E-2</v>
      </c>
      <c r="AF384" s="26">
        <f t="shared" si="211"/>
        <v>-3.652019348262566</v>
      </c>
      <c r="AG384" s="26">
        <f t="shared" si="212"/>
        <v>2.5282891347535939E-2</v>
      </c>
      <c r="AH384" s="26">
        <f t="shared" si="213"/>
        <v>0.99888577185193683</v>
      </c>
      <c r="AI384" s="26">
        <f t="shared" si="214"/>
        <v>0.73083945168774922</v>
      </c>
      <c r="AJ384" s="26">
        <f t="shared" si="215"/>
        <v>-0.57691904922642112</v>
      </c>
      <c r="AK384" s="26">
        <f t="shared" si="216"/>
        <v>0.35964182808540496</v>
      </c>
      <c r="AL384" s="26">
        <f t="shared" si="217"/>
        <v>6.467112225430599E-2</v>
      </c>
      <c r="AM384" s="27">
        <f t="shared" si="218"/>
        <v>0.36045574960286808</v>
      </c>
    </row>
    <row r="385" spans="1:39" ht="15" customHeight="1" x14ac:dyDescent="0.2">
      <c r="A385" s="24">
        <v>374</v>
      </c>
      <c r="B385" s="29">
        <f t="shared" si="219"/>
        <v>3.8275477940607656</v>
      </c>
      <c r="C385" s="29">
        <f t="shared" si="220"/>
        <v>-4.3642991483508347</v>
      </c>
      <c r="D385" s="29">
        <f t="shared" si="221"/>
        <v>-3.1218607315471845</v>
      </c>
      <c r="E385" s="29">
        <f t="shared" si="222"/>
        <v>-0.31474693718735869</v>
      </c>
      <c r="F385" s="29">
        <f t="shared" si="223"/>
        <v>0.4732190090998023</v>
      </c>
      <c r="G385" s="29">
        <f t="shared" si="224"/>
        <v>0.8377359528879158</v>
      </c>
      <c r="H385" s="29">
        <f t="shared" si="225"/>
        <v>3.7310002224925793</v>
      </c>
      <c r="I385" s="29">
        <f t="shared" si="226"/>
        <v>0.28755249321521015</v>
      </c>
      <c r="J385" s="29">
        <f t="shared" si="227"/>
        <v>-0.88099841954446867</v>
      </c>
      <c r="K385" s="26">
        <f t="shared" si="190"/>
        <v>-3.1218607315471845</v>
      </c>
      <c r="L385" s="26">
        <f t="shared" si="191"/>
        <v>4.2214473859093715E-2</v>
      </c>
      <c r="M385" s="26">
        <f t="shared" si="192"/>
        <v>0.8377359528879158</v>
      </c>
      <c r="N385" s="26">
        <f t="shared" si="193"/>
        <v>0.69798816736210945</v>
      </c>
      <c r="O385" s="26">
        <f t="shared" si="194"/>
        <v>-0.52278797042409297</v>
      </c>
      <c r="P385" s="26">
        <f t="shared" si="195"/>
        <v>0.37220054439221228</v>
      </c>
      <c r="Q385" s="26">
        <f t="shared" si="196"/>
        <v>6.9266622622929597E-2</v>
      </c>
      <c r="R385" s="26">
        <f t="shared" si="197"/>
        <v>-7.4861598798980191</v>
      </c>
      <c r="S385" s="26">
        <f t="shared" si="198"/>
        <v>5.6047802905396724E-4</v>
      </c>
      <c r="T385" s="26">
        <f t="shared" si="199"/>
        <v>1.3109549619877181</v>
      </c>
      <c r="U385" s="26">
        <f t="shared" si="200"/>
        <v>0.78767291169813458</v>
      </c>
      <c r="V385" s="26">
        <f t="shared" si="201"/>
        <v>-0.65240996629648351</v>
      </c>
      <c r="W385" s="26">
        <f t="shared" si="202"/>
        <v>0.34244666261036966</v>
      </c>
      <c r="X385" s="26">
        <f t="shared" si="203"/>
        <v>0.21618819575612047</v>
      </c>
      <c r="Y385" s="26">
        <f t="shared" si="204"/>
        <v>0.70568706251358115</v>
      </c>
      <c r="Z385" s="26">
        <f t="shared" si="205"/>
        <v>0.66944745886028012</v>
      </c>
      <c r="AA385" s="26">
        <f t="shared" si="206"/>
        <v>0.52298901570055711</v>
      </c>
      <c r="AB385" s="26">
        <f t="shared" si="207"/>
        <v>0.62784643210739732</v>
      </c>
      <c r="AC385" s="26">
        <f t="shared" si="208"/>
        <v>1.7972490053190844</v>
      </c>
      <c r="AD385" s="26">
        <f t="shared" si="209"/>
        <v>0.85781372827544922</v>
      </c>
      <c r="AE385" s="26">
        <f t="shared" si="210"/>
        <v>1.0108467933463894E-2</v>
      </c>
      <c r="AF385" s="26">
        <f t="shared" si="211"/>
        <v>-3.6586120858372535</v>
      </c>
      <c r="AG385" s="26">
        <f t="shared" si="212"/>
        <v>2.5120929595702331E-2</v>
      </c>
      <c r="AH385" s="26">
        <f t="shared" si="213"/>
        <v>0.99620802480035942</v>
      </c>
      <c r="AI385" s="26">
        <f t="shared" si="214"/>
        <v>0.73031237815206029</v>
      </c>
      <c r="AJ385" s="26">
        <f t="shared" si="215"/>
        <v>-0.57726908047012859</v>
      </c>
      <c r="AK385" s="26">
        <f t="shared" si="216"/>
        <v>0.35956121999681812</v>
      </c>
      <c r="AL385" s="26">
        <f t="shared" si="217"/>
        <v>6.4642135462800121E-2</v>
      </c>
      <c r="AM385" s="27">
        <f t="shared" si="218"/>
        <v>0.36020542177531406</v>
      </c>
    </row>
    <row r="386" spans="1:39" ht="15" customHeight="1" x14ac:dyDescent="0.2">
      <c r="A386" s="24">
        <v>375</v>
      </c>
      <c r="B386" s="29">
        <f t="shared" si="219"/>
        <v>3.8343006109403381</v>
      </c>
      <c r="C386" s="29">
        <f t="shared" si="220"/>
        <v>-4.3715551497098435</v>
      </c>
      <c r="D386" s="29">
        <f t="shared" si="221"/>
        <v>-3.1279183414059699</v>
      </c>
      <c r="E386" s="29">
        <f t="shared" si="222"/>
        <v>-0.31827105831612529</v>
      </c>
      <c r="F386" s="29">
        <f t="shared" si="223"/>
        <v>0.4756503973930748</v>
      </c>
      <c r="G386" s="29">
        <f t="shared" si="224"/>
        <v>0.83606068000367917</v>
      </c>
      <c r="H386" s="29">
        <f t="shared" si="225"/>
        <v>3.7369415940331123</v>
      </c>
      <c r="I386" s="29">
        <f t="shared" si="226"/>
        <v>0.29389461355163199</v>
      </c>
      <c r="J386" s="29">
        <f t="shared" si="227"/>
        <v>-0.88535995884339502</v>
      </c>
      <c r="K386" s="26">
        <f t="shared" si="190"/>
        <v>-3.1279183414059699</v>
      </c>
      <c r="L386" s="26">
        <f t="shared" si="191"/>
        <v>4.1970228142490365E-2</v>
      </c>
      <c r="M386" s="26">
        <f t="shared" si="192"/>
        <v>0.83606068000367917</v>
      </c>
      <c r="N386" s="26">
        <f t="shared" si="193"/>
        <v>0.69763490159951758</v>
      </c>
      <c r="O386" s="26">
        <f t="shared" si="194"/>
        <v>-0.52348852778094268</v>
      </c>
      <c r="P386" s="26">
        <f t="shared" si="195"/>
        <v>0.37203686170808414</v>
      </c>
      <c r="Q386" s="26">
        <f t="shared" si="196"/>
        <v>6.9205713234800056E-2</v>
      </c>
      <c r="R386" s="26">
        <f t="shared" si="197"/>
        <v>-7.499473491115813</v>
      </c>
      <c r="S386" s="26">
        <f t="shared" si="198"/>
        <v>5.5306959540936233E-4</v>
      </c>
      <c r="T386" s="26">
        <f t="shared" si="199"/>
        <v>1.311711077396754</v>
      </c>
      <c r="U386" s="26">
        <f t="shared" si="200"/>
        <v>0.78779934018134057</v>
      </c>
      <c r="V386" s="26">
        <f t="shared" si="201"/>
        <v>-0.65176318742908901</v>
      </c>
      <c r="W386" s="26">
        <f t="shared" si="202"/>
        <v>0.34259231713782234</v>
      </c>
      <c r="X386" s="26">
        <f t="shared" si="203"/>
        <v>0.21609243074310877</v>
      </c>
      <c r="Y386" s="26">
        <f t="shared" si="204"/>
        <v>0.70638226953436822</v>
      </c>
      <c r="Z386" s="26">
        <f t="shared" si="205"/>
        <v>0.66960128139803743</v>
      </c>
      <c r="AA386" s="26">
        <f t="shared" si="206"/>
        <v>0.51778962168755394</v>
      </c>
      <c r="AB386" s="26">
        <f t="shared" si="207"/>
        <v>0.62663076084535918</v>
      </c>
      <c r="AC386" s="26">
        <f t="shared" si="208"/>
        <v>1.8010643263290138</v>
      </c>
      <c r="AD386" s="26">
        <f t="shared" si="209"/>
        <v>0.85827844546145693</v>
      </c>
      <c r="AE386" s="26">
        <f t="shared" si="210"/>
        <v>1.004249951041062E-2</v>
      </c>
      <c r="AF386" s="26">
        <f t="shared" si="211"/>
        <v>-3.6651728801754753</v>
      </c>
      <c r="AG386" s="26">
        <f t="shared" si="212"/>
        <v>2.4960756213312379E-2</v>
      </c>
      <c r="AH386" s="26">
        <f t="shared" si="213"/>
        <v>0.99344001908062873</v>
      </c>
      <c r="AI386" s="26">
        <f t="shared" si="214"/>
        <v>0.72976685481439907</v>
      </c>
      <c r="AJ386" s="26">
        <f t="shared" si="215"/>
        <v>-0.57760852295287979</v>
      </c>
      <c r="AK386" s="26">
        <f t="shared" si="216"/>
        <v>0.35948305794430996</v>
      </c>
      <c r="AL386" s="26">
        <f t="shared" si="217"/>
        <v>6.4614034474496054E-2</v>
      </c>
      <c r="AM386" s="27">
        <f t="shared" si="218"/>
        <v>0.35995467796281549</v>
      </c>
    </row>
    <row r="387" spans="1:39" ht="15" customHeight="1" x14ac:dyDescent="0.2">
      <c r="A387" s="24">
        <v>376</v>
      </c>
      <c r="B387" s="29">
        <f t="shared" si="219"/>
        <v>3.841024382189909</v>
      </c>
      <c r="C387" s="29">
        <f t="shared" si="220"/>
        <v>-4.3787773730867174</v>
      </c>
      <c r="D387" s="29">
        <f t="shared" si="221"/>
        <v>-3.1339487109177147</v>
      </c>
      <c r="E387" s="29">
        <f t="shared" si="222"/>
        <v>-0.32188307613132805</v>
      </c>
      <c r="F387" s="29">
        <f t="shared" si="223"/>
        <v>0.47812750878268284</v>
      </c>
      <c r="G387" s="29">
        <f t="shared" si="224"/>
        <v>0.83433475640031185</v>
      </c>
      <c r="H387" s="29">
        <f t="shared" si="225"/>
        <v>3.7428524108583976</v>
      </c>
      <c r="I387" s="29">
        <f t="shared" si="226"/>
        <v>0.30029955719729146</v>
      </c>
      <c r="J387" s="29">
        <f t="shared" si="227"/>
        <v>-0.88974826527053874</v>
      </c>
      <c r="K387" s="26">
        <f t="shared" si="190"/>
        <v>-3.1339487109177147</v>
      </c>
      <c r="L387" s="26">
        <f t="shared" si="191"/>
        <v>4.1728423273786411E-2</v>
      </c>
      <c r="M387" s="26">
        <f t="shared" si="192"/>
        <v>0.83433475640031185</v>
      </c>
      <c r="N387" s="26">
        <f t="shared" si="193"/>
        <v>0.69727071036920896</v>
      </c>
      <c r="O387" s="26">
        <f t="shared" si="194"/>
        <v>-0.52417485004841335</v>
      </c>
      <c r="P387" s="26">
        <f t="shared" si="195"/>
        <v>0.37187653345658628</v>
      </c>
      <c r="Q387" s="26">
        <f t="shared" si="196"/>
        <v>6.9146078067843772E-2</v>
      </c>
      <c r="R387" s="26">
        <f t="shared" si="197"/>
        <v>-7.5127260840044325</v>
      </c>
      <c r="S387" s="26">
        <f t="shared" si="198"/>
        <v>5.4579231757476848E-4</v>
      </c>
      <c r="T387" s="26">
        <f t="shared" si="199"/>
        <v>1.3124622651829947</v>
      </c>
      <c r="U387" s="26">
        <f t="shared" si="200"/>
        <v>0.78792489025149592</v>
      </c>
      <c r="V387" s="26">
        <f t="shared" si="201"/>
        <v>-0.6510919495316273</v>
      </c>
      <c r="W387" s="26">
        <f t="shared" si="202"/>
        <v>0.34274351120008884</v>
      </c>
      <c r="X387" s="26">
        <f t="shared" si="203"/>
        <v>0.21599304603479388</v>
      </c>
      <c r="Y387" s="26">
        <f t="shared" si="204"/>
        <v>0.70707567127219439</v>
      </c>
      <c r="Z387" s="26">
        <f t="shared" si="205"/>
        <v>0.66975466836784159</v>
      </c>
      <c r="AA387" s="26">
        <f t="shared" si="206"/>
        <v>0.5124516802689838</v>
      </c>
      <c r="AB387" s="26">
        <f t="shared" si="207"/>
        <v>0.62538102946200436</v>
      </c>
      <c r="AC387" s="26">
        <f t="shared" si="208"/>
        <v>1.8048462561407295</v>
      </c>
      <c r="AD387" s="26">
        <f t="shared" si="209"/>
        <v>0.85873784335263859</v>
      </c>
      <c r="AE387" s="26">
        <f t="shared" si="210"/>
        <v>9.9774984503318374E-3</v>
      </c>
      <c r="AF387" s="26">
        <f t="shared" si="211"/>
        <v>-3.671701701814523</v>
      </c>
      <c r="AG387" s="26">
        <f t="shared" si="212"/>
        <v>2.4802351447394212E-2</v>
      </c>
      <c r="AH387" s="26">
        <f t="shared" si="213"/>
        <v>0.99057918905166664</v>
      </c>
      <c r="AI387" s="26">
        <f t="shared" si="214"/>
        <v>0.72920230785118745</v>
      </c>
      <c r="AJ387" s="26">
        <f t="shared" si="215"/>
        <v>-0.57793759420574742</v>
      </c>
      <c r="AK387" s="26">
        <f t="shared" si="216"/>
        <v>0.35940729115074904</v>
      </c>
      <c r="AL387" s="26">
        <f t="shared" si="217"/>
        <v>6.4586800466159638E-2</v>
      </c>
      <c r="AM387" s="27">
        <f t="shared" si="218"/>
        <v>0.35970342301912916</v>
      </c>
    </row>
    <row r="388" spans="1:39" ht="15" customHeight="1" x14ac:dyDescent="0.2">
      <c r="A388" s="24">
        <v>377</v>
      </c>
      <c r="B388" s="29">
        <f t="shared" si="219"/>
        <v>3.8477195536943372</v>
      </c>
      <c r="C388" s="29">
        <f t="shared" si="220"/>
        <v>-4.385966149194565</v>
      </c>
      <c r="D388" s="29">
        <f t="shared" si="221"/>
        <v>-3.1399519171477408</v>
      </c>
      <c r="E388" s="29">
        <f t="shared" si="222"/>
        <v>-0.32558433862619218</v>
      </c>
      <c r="F388" s="29">
        <f t="shared" si="223"/>
        <v>0.48065029897596406</v>
      </c>
      <c r="G388" s="29">
        <f t="shared" si="224"/>
        <v>0.83255692710118656</v>
      </c>
      <c r="H388" s="29">
        <f t="shared" si="225"/>
        <v>3.7487331540809294</v>
      </c>
      <c r="I388" s="29">
        <f t="shared" si="226"/>
        <v>0.30676875884325394</v>
      </c>
      <c r="J388" s="29">
        <f t="shared" si="227"/>
        <v>-0.89416393972317643</v>
      </c>
      <c r="K388" s="26">
        <f t="shared" si="190"/>
        <v>-3.1399519171477408</v>
      </c>
      <c r="L388" s="26">
        <f t="shared" si="191"/>
        <v>4.1489031403583884E-2</v>
      </c>
      <c r="M388" s="26">
        <f t="shared" si="192"/>
        <v>0.83255692710118656</v>
      </c>
      <c r="N388" s="26">
        <f t="shared" si="193"/>
        <v>0.6968953070148507</v>
      </c>
      <c r="O388" s="26">
        <f t="shared" si="194"/>
        <v>-0.52484692379322251</v>
      </c>
      <c r="P388" s="26">
        <f t="shared" si="195"/>
        <v>0.37171956105194526</v>
      </c>
      <c r="Q388" s="26">
        <f t="shared" si="196"/>
        <v>6.9087716034325425E-2</v>
      </c>
      <c r="R388" s="26">
        <f t="shared" si="197"/>
        <v>-7.5259180663423058</v>
      </c>
      <c r="S388" s="26">
        <f t="shared" si="198"/>
        <v>5.3864337130077647E-4</v>
      </c>
      <c r="T388" s="26">
        <f t="shared" si="199"/>
        <v>1.3132072260771506</v>
      </c>
      <c r="U388" s="26">
        <f t="shared" si="200"/>
        <v>0.78804934596322296</v>
      </c>
      <c r="V388" s="26">
        <f t="shared" si="201"/>
        <v>-0.65039578969057932</v>
      </c>
      <c r="W388" s="26">
        <f t="shared" si="202"/>
        <v>0.34290035256764617</v>
      </c>
      <c r="X388" s="26">
        <f t="shared" si="203"/>
        <v>0.21588997332786186</v>
      </c>
      <c r="Y388" s="26">
        <f t="shared" si="204"/>
        <v>0.70776763654659636</v>
      </c>
      <c r="Z388" s="26">
        <f t="shared" si="205"/>
        <v>0.66990770158504254</v>
      </c>
      <c r="AA388" s="26">
        <f t="shared" si="206"/>
        <v>0.50697258847499438</v>
      </c>
      <c r="AB388" s="26">
        <f t="shared" si="207"/>
        <v>0.62409651082447037</v>
      </c>
      <c r="AC388" s="26">
        <f t="shared" si="208"/>
        <v>1.8085945834068542</v>
      </c>
      <c r="AD388" s="26">
        <f t="shared" si="209"/>
        <v>0.85919193115861892</v>
      </c>
      <c r="AE388" s="26">
        <f t="shared" si="210"/>
        <v>9.9134561254195577E-3</v>
      </c>
      <c r="AF388" s="26">
        <f t="shared" si="211"/>
        <v>-3.6781985126479686</v>
      </c>
      <c r="AG388" s="26">
        <f t="shared" si="212"/>
        <v>2.4645696006659744E-2</v>
      </c>
      <c r="AH388" s="26">
        <f t="shared" si="213"/>
        <v>0.9876228874509585</v>
      </c>
      <c r="AI388" s="26">
        <f t="shared" si="214"/>
        <v>0.72861814250646095</v>
      </c>
      <c r="AJ388" s="26">
        <f t="shared" si="215"/>
        <v>-0.57825651875022688</v>
      </c>
      <c r="AK388" s="26">
        <f t="shared" si="216"/>
        <v>0.35933386726880884</v>
      </c>
      <c r="AL388" s="26">
        <f t="shared" si="217"/>
        <v>6.456041408317896E-2</v>
      </c>
      <c r="AM388" s="27">
        <f t="shared" si="218"/>
        <v>0.35945155957078578</v>
      </c>
    </row>
    <row r="389" spans="1:39" ht="15" customHeight="1" x14ac:dyDescent="0.2">
      <c r="A389" s="24">
        <v>378</v>
      </c>
      <c r="B389" s="29">
        <f t="shared" si="219"/>
        <v>3.8543865737357947</v>
      </c>
      <c r="C389" s="29">
        <f t="shared" si="220"/>
        <v>-4.3931218063376205</v>
      </c>
      <c r="D389" s="29">
        <f t="shared" si="221"/>
        <v>-3.1459280329200539</v>
      </c>
      <c r="E389" s="29">
        <f t="shared" si="222"/>
        <v>-0.3293762321934553</v>
      </c>
      <c r="F389" s="29">
        <f t="shared" si="223"/>
        <v>0.48321871681052503</v>
      </c>
      <c r="G389" s="29">
        <f t="shared" si="224"/>
        <v>0.83072589845325773</v>
      </c>
      <c r="H389" s="29">
        <f t="shared" si="225"/>
        <v>3.7545843060411861</v>
      </c>
      <c r="I389" s="29">
        <f t="shared" si="226"/>
        <v>0.3133036876892592</v>
      </c>
      <c r="J389" s="29">
        <f t="shared" si="227"/>
        <v>-0.89860758350589665</v>
      </c>
      <c r="K389" s="26">
        <f t="shared" si="190"/>
        <v>-3.1459280329200539</v>
      </c>
      <c r="L389" s="26">
        <f t="shared" si="191"/>
        <v>4.1252025203650677E-2</v>
      </c>
      <c r="M389" s="26">
        <f t="shared" si="192"/>
        <v>0.83072589845325773</v>
      </c>
      <c r="N389" s="26">
        <f t="shared" si="193"/>
        <v>0.6965083953539084</v>
      </c>
      <c r="O389" s="26">
        <f t="shared" si="194"/>
        <v>-0.52550472831294637</v>
      </c>
      <c r="P389" s="26">
        <f t="shared" si="195"/>
        <v>0.37156594763631456</v>
      </c>
      <c r="Q389" s="26">
        <f t="shared" si="196"/>
        <v>6.9030626721436228E-2</v>
      </c>
      <c r="R389" s="26">
        <f t="shared" si="197"/>
        <v>-7.5390498392576744</v>
      </c>
      <c r="S389" s="26">
        <f t="shared" si="198"/>
        <v>5.3162000475164917E-4</v>
      </c>
      <c r="T389" s="26">
        <f t="shared" si="199"/>
        <v>1.3139446152637828</v>
      </c>
      <c r="U389" s="26">
        <f t="shared" si="200"/>
        <v>0.78817248412969698</v>
      </c>
      <c r="V389" s="26">
        <f t="shared" si="201"/>
        <v>-0.64967422556624033</v>
      </c>
      <c r="W389" s="26">
        <f t="shared" si="202"/>
        <v>0.3430629536052206</v>
      </c>
      <c r="X389" s="26">
        <f t="shared" si="203"/>
        <v>0.2157831414629483</v>
      </c>
      <c r="Y389" s="26">
        <f t="shared" si="204"/>
        <v>0.70845854081574089</v>
      </c>
      <c r="Z389" s="26">
        <f t="shared" si="205"/>
        <v>0.67006046425576993</v>
      </c>
      <c r="AA389" s="26">
        <f t="shared" si="206"/>
        <v>0.50134966625980248</v>
      </c>
      <c r="AB389" s="26">
        <f t="shared" si="207"/>
        <v>0.62277645532097248</v>
      </c>
      <c r="AC389" s="26">
        <f t="shared" si="208"/>
        <v>1.8123090797455941</v>
      </c>
      <c r="AD389" s="26">
        <f t="shared" si="209"/>
        <v>0.85964071592950131</v>
      </c>
      <c r="AE389" s="26">
        <f t="shared" si="210"/>
        <v>9.8503643123914741E-3</v>
      </c>
      <c r="AF389" s="26">
        <f t="shared" si="211"/>
        <v>-3.6846632655218796</v>
      </c>
      <c r="AG389" s="26">
        <f t="shared" si="212"/>
        <v>2.4490771061631611E-2</v>
      </c>
      <c r="AH389" s="26">
        <f t="shared" si="213"/>
        <v>0.98456838307032746</v>
      </c>
      <c r="AI389" s="26">
        <f t="shared" si="214"/>
        <v>0.72801374232455052</v>
      </c>
      <c r="AJ389" s="26">
        <f t="shared" si="215"/>
        <v>-0.57856552867630717</v>
      </c>
      <c r="AK389" s="26">
        <f t="shared" si="216"/>
        <v>0.35926273224722155</v>
      </c>
      <c r="AL389" s="26">
        <f t="shared" si="217"/>
        <v>6.4534855390869408E-2</v>
      </c>
      <c r="AM389" s="27">
        <f t="shared" si="218"/>
        <v>0.35919898788764543</v>
      </c>
    </row>
    <row r="390" spans="1:39" ht="15" customHeight="1" x14ac:dyDescent="0.2">
      <c r="A390" s="24">
        <v>379</v>
      </c>
      <c r="B390" s="29">
        <f t="shared" si="219"/>
        <v>3.861025893262227</v>
      </c>
      <c r="C390" s="29">
        <f t="shared" si="220"/>
        <v>-4.4002446704269413</v>
      </c>
      <c r="D390" s="29">
        <f t="shared" si="221"/>
        <v>-3.1518771266494694</v>
      </c>
      <c r="E390" s="29">
        <f t="shared" si="222"/>
        <v>-0.33326018296934817</v>
      </c>
      <c r="F390" s="29">
        <f t="shared" si="223"/>
        <v>0.48583270427164116</v>
      </c>
      <c r="G390" s="29">
        <f t="shared" si="224"/>
        <v>0.82884033706487037</v>
      </c>
      <c r="H390" s="29">
        <f t="shared" si="225"/>
        <v>3.7604063505374556</v>
      </c>
      <c r="I390" s="29">
        <f t="shared" si="226"/>
        <v>0.31990584872774563</v>
      </c>
      <c r="J390" s="29">
        <f t="shared" si="227"/>
        <v>-0.9030797981610178</v>
      </c>
      <c r="K390" s="26">
        <f t="shared" si="190"/>
        <v>-3.1518771266494694</v>
      </c>
      <c r="L390" s="26">
        <f t="shared" si="191"/>
        <v>4.1017377864223339E-2</v>
      </c>
      <c r="M390" s="26">
        <f t="shared" si="192"/>
        <v>0.82884033706487037</v>
      </c>
      <c r="N390" s="26">
        <f t="shared" si="193"/>
        <v>0.69610966937457341</v>
      </c>
      <c r="O390" s="26">
        <f t="shared" si="194"/>
        <v>-0.52614823536913458</v>
      </c>
      <c r="P390" s="26">
        <f t="shared" si="195"/>
        <v>0.37141569814098607</v>
      </c>
      <c r="Q390" s="26">
        <f t="shared" si="196"/>
        <v>6.8974810412778045E-2</v>
      </c>
      <c r="R390" s="26">
        <f t="shared" si="197"/>
        <v>-7.5521217970764107</v>
      </c>
      <c r="S390" s="26">
        <f t="shared" si="198"/>
        <v>5.2471953649006308E-4</v>
      </c>
      <c r="T390" s="26">
        <f t="shared" si="199"/>
        <v>1.3146730413365115</v>
      </c>
      <c r="U390" s="26">
        <f t="shared" si="200"/>
        <v>0.78829407415565123</v>
      </c>
      <c r="V390" s="26">
        <f t="shared" si="201"/>
        <v>-0.64892675464393346</v>
      </c>
      <c r="W390" s="26">
        <f t="shared" si="202"/>
        <v>0.34323143145324952</v>
      </c>
      <c r="X390" s="26">
        <f t="shared" si="203"/>
        <v>0.21567247631547384</v>
      </c>
      <c r="Y390" s="26">
        <f t="shared" si="204"/>
        <v>0.70914876661275761</v>
      </c>
      <c r="Z390" s="26">
        <f t="shared" si="205"/>
        <v>0.6702130410718683</v>
      </c>
      <c r="AA390" s="26">
        <f t="shared" si="206"/>
        <v>0.4955801540955222</v>
      </c>
      <c r="AB390" s="26">
        <f t="shared" si="207"/>
        <v>0.62142009020812849</v>
      </c>
      <c r="AC390" s="26">
        <f t="shared" si="208"/>
        <v>1.8159894990731598</v>
      </c>
      <c r="AD390" s="26">
        <f t="shared" si="209"/>
        <v>0.86008420249687356</v>
      </c>
      <c r="AE390" s="26">
        <f t="shared" si="210"/>
        <v>9.7882151954679416E-3</v>
      </c>
      <c r="AF390" s="26">
        <f t="shared" si="211"/>
        <v>-3.6910959038141837</v>
      </c>
      <c r="AG390" s="26">
        <f t="shared" si="212"/>
        <v>2.4337558245060904E-2</v>
      </c>
      <c r="AH390" s="26">
        <f t="shared" si="213"/>
        <v>0.9814128583671633</v>
      </c>
      <c r="AI390" s="26">
        <f t="shared" si="214"/>
        <v>0.7273884683519618</v>
      </c>
      <c r="AJ390" s="26">
        <f t="shared" si="215"/>
        <v>-0.57886486425680628</v>
      </c>
      <c r="AK390" s="26">
        <f t="shared" si="216"/>
        <v>0.35919383018871215</v>
      </c>
      <c r="AL390" s="26">
        <f t="shared" si="217"/>
        <v>6.4510103822818687E-2</v>
      </c>
      <c r="AM390" s="27">
        <f t="shared" si="218"/>
        <v>0.35894560574653855</v>
      </c>
    </row>
    <row r="391" spans="1:39" ht="15" customHeight="1" x14ac:dyDescent="0.2">
      <c r="A391" s="24">
        <v>380</v>
      </c>
      <c r="B391" s="29">
        <f t="shared" si="219"/>
        <v>3.8676379661671758</v>
      </c>
      <c r="C391" s="29">
        <f t="shared" si="220"/>
        <v>-4.4073350649958725</v>
      </c>
      <c r="D391" s="29">
        <f t="shared" si="221"/>
        <v>-3.1577992621674409</v>
      </c>
      <c r="E391" s="29">
        <f t="shared" si="222"/>
        <v>-0.33723765822442886</v>
      </c>
      <c r="F391" s="29">
        <f t="shared" si="223"/>
        <v>0.48849219652337067</v>
      </c>
      <c r="G391" s="29">
        <f t="shared" si="224"/>
        <v>0.82689886871169238</v>
      </c>
      <c r="H391" s="29">
        <f t="shared" si="225"/>
        <v>3.7661997730650127</v>
      </c>
      <c r="I391" s="29">
        <f t="shared" si="226"/>
        <v>0.32657678409128471</v>
      </c>
      <c r="J391" s="29">
        <f t="shared" si="227"/>
        <v>-0.90758118528684573</v>
      </c>
      <c r="K391" s="26">
        <f t="shared" si="190"/>
        <v>-3.1577992621674409</v>
      </c>
      <c r="L391" s="26">
        <f t="shared" si="191"/>
        <v>4.0785063091532077E-2</v>
      </c>
      <c r="M391" s="26">
        <f t="shared" si="192"/>
        <v>0.82689886871169238</v>
      </c>
      <c r="N391" s="26">
        <f t="shared" si="193"/>
        <v>0.69569881292164959</v>
      </c>
      <c r="O391" s="26">
        <f t="shared" si="194"/>
        <v>-0.52677740890699876</v>
      </c>
      <c r="P391" s="26">
        <f t="shared" si="195"/>
        <v>0.37126881935076</v>
      </c>
      <c r="Q391" s="26">
        <f t="shared" si="196"/>
        <v>6.8920268111053631E-2</v>
      </c>
      <c r="R391" s="26">
        <f t="shared" si="197"/>
        <v>-7.5651343271633138</v>
      </c>
      <c r="S391" s="26">
        <f t="shared" si="198"/>
        <v>5.1793935352617961E-4</v>
      </c>
      <c r="T391" s="26">
        <f t="shared" si="199"/>
        <v>1.3153910652350631</v>
      </c>
      <c r="U391" s="26">
        <f t="shared" si="200"/>
        <v>0.78841387786548578</v>
      </c>
      <c r="V391" s="26">
        <f t="shared" si="201"/>
        <v>-0.64815285344488471</v>
      </c>
      <c r="W391" s="26">
        <f t="shared" si="202"/>
        <v>0.343405908219304</v>
      </c>
      <c r="X391" s="26">
        <f t="shared" si="203"/>
        <v>0.21555790068065855</v>
      </c>
      <c r="Y391" s="26">
        <f t="shared" si="204"/>
        <v>0.70983870399973492</v>
      </c>
      <c r="Z391" s="26">
        <f t="shared" si="205"/>
        <v>0.67036551830949764</v>
      </c>
      <c r="AA391" s="26">
        <f t="shared" si="206"/>
        <v>0.48966121048726352</v>
      </c>
      <c r="AB391" s="26">
        <f t="shared" si="207"/>
        <v>0.6200266189447784</v>
      </c>
      <c r="AC391" s="26">
        <f t="shared" si="208"/>
        <v>1.8196355769069719</v>
      </c>
      <c r="AD391" s="26">
        <f t="shared" si="209"/>
        <v>0.86052239341172443</v>
      </c>
      <c r="AE391" s="26">
        <f t="shared" si="210"/>
        <v>9.7270013697968866E-3</v>
      </c>
      <c r="AF391" s="26">
        <f t="shared" si="211"/>
        <v>-3.6974963609961375</v>
      </c>
      <c r="AG391" s="26">
        <f t="shared" si="212"/>
        <v>2.4186039652651294E-2</v>
      </c>
      <c r="AH391" s="26">
        <f t="shared" si="213"/>
        <v>0.97815340701063413</v>
      </c>
      <c r="AI391" s="26">
        <f t="shared" si="214"/>
        <v>0.72674165830743731</v>
      </c>
      <c r="AJ391" s="26">
        <f t="shared" si="215"/>
        <v>-0.57915477460047882</v>
      </c>
      <c r="AK391" s="26">
        <f t="shared" si="216"/>
        <v>0.35912710319903712</v>
      </c>
      <c r="AL391" s="26">
        <f t="shared" si="217"/>
        <v>6.4486138126065934E-2</v>
      </c>
      <c r="AM391" s="27">
        <f t="shared" si="218"/>
        <v>0.35869130828757501</v>
      </c>
    </row>
    <row r="392" spans="1:39" ht="15" customHeight="1" x14ac:dyDescent="0.2">
      <c r="A392" s="24">
        <v>381</v>
      </c>
      <c r="B392" s="29">
        <f t="shared" si="219"/>
        <v>3.8742232495815223</v>
      </c>
      <c r="C392" s="29">
        <f t="shared" si="220"/>
        <v>-4.4143933112151474</v>
      </c>
      <c r="D392" s="29">
        <f t="shared" si="221"/>
        <v>-3.163694498541155</v>
      </c>
      <c r="E392" s="29">
        <f t="shared" si="222"/>
        <v>-0.34131016780264367</v>
      </c>
      <c r="F392" s="29">
        <f t="shared" si="223"/>
        <v>0.49119712195516535</v>
      </c>
      <c r="G392" s="29">
        <f t="shared" si="224"/>
        <v>0.8249000772101166</v>
      </c>
      <c r="H392" s="29">
        <f t="shared" si="225"/>
        <v>3.7719650610650537</v>
      </c>
      <c r="I392" s="29">
        <f t="shared" si="226"/>
        <v>0.33331807446619766</v>
      </c>
      <c r="J392" s="29">
        <f t="shared" si="227"/>
        <v>-0.91211234634272376</v>
      </c>
      <c r="K392" s="26">
        <f t="shared" si="190"/>
        <v>-3.163694498541155</v>
      </c>
      <c r="L392" s="26">
        <f t="shared" si="191"/>
        <v>4.0555055105558832E-2</v>
      </c>
      <c r="M392" s="26">
        <f t="shared" si="192"/>
        <v>0.8249000772101166</v>
      </c>
      <c r="N392" s="26">
        <f t="shared" si="193"/>
        <v>0.69527549937103983</v>
      </c>
      <c r="O392" s="26">
        <f t="shared" si="194"/>
        <v>-0.52739220476110893</v>
      </c>
      <c r="P392" s="26">
        <f t="shared" si="195"/>
        <v>0.37112531997160852</v>
      </c>
      <c r="Q392" s="26">
        <f t="shared" si="196"/>
        <v>6.8867001562014404E-2</v>
      </c>
      <c r="R392" s="26">
        <f t="shared" si="197"/>
        <v>-7.5780878097563029</v>
      </c>
      <c r="S392" s="26">
        <f t="shared" si="198"/>
        <v>5.1127690942906359E-4</v>
      </c>
      <c r="T392" s="26">
        <f t="shared" si="199"/>
        <v>1.3160971991652819</v>
      </c>
      <c r="U392" s="26">
        <f t="shared" si="200"/>
        <v>0.78853164932643893</v>
      </c>
      <c r="V392" s="26">
        <f t="shared" si="201"/>
        <v>-0.64735197669468436</v>
      </c>
      <c r="W392" s="26">
        <f t="shared" si="202"/>
        <v>0.3435865111800035</v>
      </c>
      <c r="X392" s="26">
        <f t="shared" si="203"/>
        <v>0.21543933415241984</v>
      </c>
      <c r="Y392" s="26">
        <f t="shared" si="204"/>
        <v>0.71052875104036728</v>
      </c>
      <c r="Z392" s="26">
        <f t="shared" si="205"/>
        <v>0.670517983931605</v>
      </c>
      <c r="AA392" s="26">
        <f t="shared" si="206"/>
        <v>0.48358990940747293</v>
      </c>
      <c r="AB392" s="26">
        <f t="shared" si="207"/>
        <v>0.61859522051289961</v>
      </c>
      <c r="AC392" s="26">
        <f t="shared" si="208"/>
        <v>1.8232470296384222</v>
      </c>
      <c r="AD392" s="26">
        <f t="shared" si="209"/>
        <v>0.86095528887912898</v>
      </c>
      <c r="AE392" s="26">
        <f t="shared" si="210"/>
        <v>9.6667158453432375E-3</v>
      </c>
      <c r="AF392" s="26">
        <f t="shared" si="211"/>
        <v>-3.7038645601747802</v>
      </c>
      <c r="AG392" s="26">
        <f t="shared" si="212"/>
        <v>2.4036197844106575E-2</v>
      </c>
      <c r="AH392" s="26">
        <f t="shared" si="213"/>
        <v>0.97478703136263833</v>
      </c>
      <c r="AI392" s="26">
        <f t="shared" si="214"/>
        <v>0.72607262571919418</v>
      </c>
      <c r="AJ392" s="26">
        <f t="shared" si="215"/>
        <v>-0.57943551834656859</v>
      </c>
      <c r="AK392" s="26">
        <f t="shared" si="216"/>
        <v>0.35906249122651462</v>
      </c>
      <c r="AL392" s="26">
        <f t="shared" si="217"/>
        <v>6.4462936302895443E-2</v>
      </c>
      <c r="AM392" s="27">
        <f t="shared" si="218"/>
        <v>0.35843598786267294</v>
      </c>
    </row>
    <row r="393" spans="1:39" ht="15" customHeight="1" x14ac:dyDescent="0.2">
      <c r="A393" s="24">
        <v>382</v>
      </c>
      <c r="B393" s="29">
        <f t="shared" si="219"/>
        <v>3.8807822041777236</v>
      </c>
      <c r="C393" s="29">
        <f t="shared" si="220"/>
        <v>-4.4214197279075016</v>
      </c>
      <c r="D393" s="29">
        <f t="shared" si="221"/>
        <v>-3.1695628898854413</v>
      </c>
      <c r="E393" s="29">
        <f t="shared" si="222"/>
        <v>-0.34547926560995512</v>
      </c>
      <c r="F393" s="29">
        <f t="shared" si="223"/>
        <v>0.49394740224593864</v>
      </c>
      <c r="G393" s="29">
        <f t="shared" si="224"/>
        <v>0.82284250325753128</v>
      </c>
      <c r="H393" s="29">
        <f t="shared" si="225"/>
        <v>3.77770270418383</v>
      </c>
      <c r="I393" s="29">
        <f t="shared" si="226"/>
        <v>0.34013134057522787</v>
      </c>
      <c r="J393" s="29">
        <f t="shared" si="227"/>
        <v>-0.91667388243975456</v>
      </c>
      <c r="K393" s="26">
        <f t="shared" si="190"/>
        <v>-3.1695628898854413</v>
      </c>
      <c r="L393" s="26">
        <f t="shared" si="191"/>
        <v>4.03273286380397E-2</v>
      </c>
      <c r="M393" s="26">
        <f t="shared" si="192"/>
        <v>0.82284250325753128</v>
      </c>
      <c r="N393" s="26">
        <f t="shared" si="193"/>
        <v>0.69483939129248429</v>
      </c>
      <c r="O393" s="26">
        <f t="shared" si="194"/>
        <v>-0.52799257034653402</v>
      </c>
      <c r="P393" s="26">
        <f t="shared" si="195"/>
        <v>0.37098521070176821</v>
      </c>
      <c r="Q393" s="26">
        <f t="shared" si="196"/>
        <v>6.8815013279717674E-2</v>
      </c>
      <c r="R393" s="26">
        <f t="shared" si="197"/>
        <v>-7.5909826177929425</v>
      </c>
      <c r="S393" s="26">
        <f t="shared" si="198"/>
        <v>5.0472972249852573E-4</v>
      </c>
      <c r="T393" s="26">
        <f t="shared" si="199"/>
        <v>1.31678990550347</v>
      </c>
      <c r="U393" s="26">
        <f t="shared" si="200"/>
        <v>0.78864713466679914</v>
      </c>
      <c r="V393" s="26">
        <f t="shared" si="201"/>
        <v>-0.6465235564471592</v>
      </c>
      <c r="W393" s="26">
        <f t="shared" si="202"/>
        <v>0.34377337299397887</v>
      </c>
      <c r="X393" s="26">
        <f t="shared" si="203"/>
        <v>0.21531669299584977</v>
      </c>
      <c r="Y393" s="26">
        <f t="shared" si="204"/>
        <v>0.71121931429228225</v>
      </c>
      <c r="Z393" s="26">
        <f t="shared" si="205"/>
        <v>0.6706705276944761</v>
      </c>
      <c r="AA393" s="26">
        <f t="shared" si="206"/>
        <v>0.47736323764757616</v>
      </c>
      <c r="AB393" s="26">
        <f t="shared" si="207"/>
        <v>0.61712504872636986</v>
      </c>
      <c r="AC393" s="26">
        <f t="shared" si="208"/>
        <v>1.826823553773917</v>
      </c>
      <c r="AD393" s="26">
        <f t="shared" si="209"/>
        <v>0.86138288668956309</v>
      </c>
      <c r="AE393" s="26">
        <f t="shared" si="210"/>
        <v>9.6073520512592533E-3</v>
      </c>
      <c r="AF393" s="26">
        <f t="shared" si="211"/>
        <v>-3.7102004136152194</v>
      </c>
      <c r="AG393" s="26">
        <f t="shared" si="212"/>
        <v>2.388801584451854E-2</v>
      </c>
      <c r="AH393" s="26">
        <f t="shared" si="213"/>
        <v>0.97131063989351474</v>
      </c>
      <c r="AI393" s="26">
        <f t="shared" si="214"/>
        <v>0.7253806590283568</v>
      </c>
      <c r="AJ393" s="26">
        <f t="shared" si="215"/>
        <v>-0.57970736440367343</v>
      </c>
      <c r="AK393" s="26">
        <f t="shared" si="216"/>
        <v>0.35899993189138735</v>
      </c>
      <c r="AL393" s="26">
        <f t="shared" si="217"/>
        <v>6.4440475549010376E-2</v>
      </c>
      <c r="AM393" s="27">
        <f t="shared" si="218"/>
        <v>0.35817953387583706</v>
      </c>
    </row>
    <row r="394" spans="1:39" ht="15" customHeight="1" x14ac:dyDescent="0.2">
      <c r="A394" s="24">
        <v>383</v>
      </c>
      <c r="B394" s="29">
        <f t="shared" si="219"/>
        <v>3.8873152944871547</v>
      </c>
      <c r="C394" s="29">
        <f t="shared" si="220"/>
        <v>-4.4284146315616564</v>
      </c>
      <c r="D394" s="29">
        <f t="shared" si="221"/>
        <v>-3.1754044851670233</v>
      </c>
      <c r="E394" s="29">
        <f t="shared" si="222"/>
        <v>-0.34974655115382763</v>
      </c>
      <c r="F394" s="29">
        <f t="shared" si="223"/>
        <v>0.49674295244774858</v>
      </c>
      <c r="G394" s="29">
        <f t="shared" si="224"/>
        <v>0.82072464323891847</v>
      </c>
      <c r="H394" s="29">
        <f t="shared" si="225"/>
        <v>3.7834131945424403</v>
      </c>
      <c r="I394" s="29">
        <f t="shared" si="226"/>
        <v>0.3470182447322484</v>
      </c>
      <c r="J394" s="29">
        <f t="shared" si="227"/>
        <v>-0.92126639411598421</v>
      </c>
      <c r="K394" s="26">
        <f t="shared" si="190"/>
        <v>-3.1754044851670233</v>
      </c>
      <c r="L394" s="26">
        <f t="shared" si="191"/>
        <v>4.0101858930723114E-2</v>
      </c>
      <c r="M394" s="26">
        <f t="shared" si="192"/>
        <v>0.82072464323891847</v>
      </c>
      <c r="N394" s="26">
        <f t="shared" si="193"/>
        <v>0.69439014010019218</v>
      </c>
      <c r="O394" s="26">
        <f t="shared" si="194"/>
        <v>-0.52857844433485801</v>
      </c>
      <c r="P394" s="26">
        <f t="shared" si="195"/>
        <v>0.37084850430639454</v>
      </c>
      <c r="Q394" s="26">
        <f t="shared" si="196"/>
        <v>6.8764306573144973E-2</v>
      </c>
      <c r="R394" s="26">
        <f t="shared" si="197"/>
        <v>-7.6038191167286797</v>
      </c>
      <c r="S394" s="26">
        <f t="shared" si="198"/>
        <v>4.9829537399554195E-4</v>
      </c>
      <c r="T394" s="26">
        <f t="shared" si="199"/>
        <v>1.317467595686667</v>
      </c>
      <c r="U394" s="26">
        <f t="shared" si="200"/>
        <v>0.78876007188916664</v>
      </c>
      <c r="V394" s="26">
        <f t="shared" si="201"/>
        <v>-0.64566700116136944</v>
      </c>
      <c r="W394" s="26">
        <f t="shared" si="202"/>
        <v>0.34396663192647314</v>
      </c>
      <c r="X394" s="26">
        <f t="shared" si="203"/>
        <v>0.21518989001294778</v>
      </c>
      <c r="Y394" s="26">
        <f t="shared" si="204"/>
        <v>0.7119108093201314</v>
      </c>
      <c r="Z394" s="26">
        <f t="shared" si="205"/>
        <v>0.67082324125859227</v>
      </c>
      <c r="AA394" s="26">
        <f t="shared" si="206"/>
        <v>0.47097809208509084</v>
      </c>
      <c r="AB394" s="26">
        <f t="shared" si="207"/>
        <v>0.61561523152849895</v>
      </c>
      <c r="AC394" s="26">
        <f t="shared" si="208"/>
        <v>1.8303648251429567</v>
      </c>
      <c r="AD394" s="26">
        <f t="shared" si="209"/>
        <v>0.86180518214669766</v>
      </c>
      <c r="AE394" s="26">
        <f t="shared" si="210"/>
        <v>9.5489038407537054E-3</v>
      </c>
      <c r="AF394" s="26">
        <f t="shared" si="211"/>
        <v>-3.716503822241525</v>
      </c>
      <c r="AG394" s="26">
        <f t="shared" si="212"/>
        <v>2.3741477146113178E-2</v>
      </c>
      <c r="AH394" s="26">
        <f t="shared" si="213"/>
        <v>0.96772104453283947</v>
      </c>
      <c r="AI394" s="26">
        <f t="shared" si="214"/>
        <v>0.72466502065763816</v>
      </c>
      <c r="AJ394" s="26">
        <f t="shared" si="215"/>
        <v>-0.57997059273597973</v>
      </c>
      <c r="AK394" s="26">
        <f t="shared" si="216"/>
        <v>0.35893936030431811</v>
      </c>
      <c r="AL394" s="26">
        <f t="shared" si="217"/>
        <v>6.4418732187836544E-2</v>
      </c>
      <c r="AM394" s="27">
        <f t="shared" si="218"/>
        <v>0.35792183261468302</v>
      </c>
    </row>
    <row r="395" spans="1:39" ht="15" customHeight="1" x14ac:dyDescent="0.2">
      <c r="A395" s="24">
        <v>384</v>
      </c>
      <c r="B395" s="29">
        <f t="shared" si="219"/>
        <v>3.8938229892312015</v>
      </c>
      <c r="C395" s="29">
        <f t="shared" si="220"/>
        <v>-4.4353783363455266</v>
      </c>
      <c r="D395" s="29">
        <f t="shared" si="221"/>
        <v>-3.1812193280006182</v>
      </c>
      <c r="E395" s="29">
        <f t="shared" si="222"/>
        <v>-0.35411367113479997</v>
      </c>
      <c r="F395" s="29">
        <f t="shared" si="223"/>
        <v>0.49958368109147017</v>
      </c>
      <c r="G395" s="29">
        <f t="shared" si="224"/>
        <v>0.81854494799931599</v>
      </c>
      <c r="H395" s="29">
        <f t="shared" si="225"/>
        <v>3.789097027017772</v>
      </c>
      <c r="I395" s="29">
        <f t="shared" si="226"/>
        <v>0.35398049247208596</v>
      </c>
      <c r="J395" s="29">
        <f t="shared" si="227"/>
        <v>-0.92589048109475058</v>
      </c>
      <c r="K395" s="26">
        <f t="shared" si="190"/>
        <v>-3.1812193280006182</v>
      </c>
      <c r="L395" s="26">
        <f t="shared" si="191"/>
        <v>3.9878621733895565E-2</v>
      </c>
      <c r="M395" s="26">
        <f t="shared" si="192"/>
        <v>0.81854494799931599</v>
      </c>
      <c r="N395" s="26">
        <f t="shared" si="193"/>
        <v>0.6939273856910283</v>
      </c>
      <c r="O395" s="26">
        <f t="shared" si="194"/>
        <v>-0.52914975631450323</v>
      </c>
      <c r="P395" s="26">
        <f t="shared" si="195"/>
        <v>0.37071521569591698</v>
      </c>
      <c r="Q395" s="26">
        <f t="shared" si="196"/>
        <v>6.8714885574235121E-2</v>
      </c>
      <c r="R395" s="26">
        <f t="shared" si="197"/>
        <v>-7.6165976643461448</v>
      </c>
      <c r="S395" s="26">
        <f t="shared" si="198"/>
        <v>4.9197150642947508E-4</v>
      </c>
      <c r="T395" s="26">
        <f t="shared" si="199"/>
        <v>1.3181286290907861</v>
      </c>
      <c r="U395" s="26">
        <f t="shared" si="200"/>
        <v>0.78887019067879449</v>
      </c>
      <c r="V395" s="26">
        <f t="shared" si="201"/>
        <v>-0.64478169472933322</v>
      </c>
      <c r="W395" s="26">
        <f t="shared" si="202"/>
        <v>0.34416643208619746</v>
      </c>
      <c r="X395" s="26">
        <f t="shared" si="203"/>
        <v>0.21505883440127413</v>
      </c>
      <c r="Y395" s="26">
        <f t="shared" si="204"/>
        <v>0.71260366123058327</v>
      </c>
      <c r="Z395" s="26">
        <f t="shared" si="205"/>
        <v>0.67097621830402465</v>
      </c>
      <c r="AA395" s="26">
        <f t="shared" si="206"/>
        <v>0.46443127686451602</v>
      </c>
      <c r="AB395" s="26">
        <f t="shared" si="207"/>
        <v>0.61406487027944623</v>
      </c>
      <c r="AC395" s="26">
        <f t="shared" si="208"/>
        <v>1.8338704980719829</v>
      </c>
      <c r="AD395" s="26">
        <f t="shared" si="209"/>
        <v>0.86222216799153117</v>
      </c>
      <c r="AE395" s="26">
        <f t="shared" si="210"/>
        <v>9.4913654964769289E-3</v>
      </c>
      <c r="AF395" s="26">
        <f t="shared" si="211"/>
        <v>-3.7227746751149433</v>
      </c>
      <c r="AG395" s="26">
        <f t="shared" si="212"/>
        <v>2.3596565710374062E-2</v>
      </c>
      <c r="AH395" s="26">
        <f t="shared" si="213"/>
        <v>0.96401495795598624</v>
      </c>
      <c r="AI395" s="26">
        <f t="shared" si="214"/>
        <v>0.72392494604436608</v>
      </c>
      <c r="AJ395" s="26">
        <f t="shared" si="215"/>
        <v>-0.58022549520012978</v>
      </c>
      <c r="AK395" s="26">
        <f t="shared" si="216"/>
        <v>0.35888070887327012</v>
      </c>
      <c r="AL395" s="26">
        <f t="shared" si="217"/>
        <v>6.4397681600690426E-2</v>
      </c>
      <c r="AM395" s="27">
        <f t="shared" si="218"/>
        <v>0.35766276707267664</v>
      </c>
    </row>
    <row r="396" spans="1:39" ht="15" customHeight="1" x14ac:dyDescent="0.2">
      <c r="A396" s="24">
        <v>385</v>
      </c>
      <c r="B396" s="29">
        <f t="shared" si="219"/>
        <v>3.9003057616667789</v>
      </c>
      <c r="C396" s="29">
        <f t="shared" si="220"/>
        <v>-4.4423111541185083</v>
      </c>
      <c r="D396" s="29">
        <f t="shared" si="221"/>
        <v>-3.1870074564363664</v>
      </c>
      <c r="E396" s="29">
        <f t="shared" si="222"/>
        <v>-0.35858232109129373</v>
      </c>
      <c r="F396" s="29">
        <f t="shared" si="223"/>
        <v>0.50246949031707078</v>
      </c>
      <c r="G396" s="29">
        <f t="shared" si="224"/>
        <v>0.81630182158176845</v>
      </c>
      <c r="H396" s="29">
        <f t="shared" si="225"/>
        <v>3.7947546995351078</v>
      </c>
      <c r="I396" s="29">
        <f t="shared" si="226"/>
        <v>0.36101983425864353</v>
      </c>
      <c r="J396" s="29">
        <f t="shared" si="227"/>
        <v>-0.9305467420248037</v>
      </c>
      <c r="K396" s="26">
        <f t="shared" ref="K396:K459" si="228">0*B396+0*C396+D396</f>
        <v>-3.1870074564363664</v>
      </c>
      <c r="L396" s="26">
        <f t="shared" ref="L396:L459" si="229">1/(1+EXP(-K396))</f>
        <v>3.9657593305187179E-2</v>
      </c>
      <c r="M396" s="26">
        <f t="shared" ref="M396:M459" si="230">0*E396+0*F396+G396</f>
        <v>0.81630182158176845</v>
      </c>
      <c r="N396" s="26">
        <f t="shared" ref="N396:N459" si="231">1/(1+EXP(-M396))</f>
        <v>0.69345075606991724</v>
      </c>
      <c r="O396" s="26">
        <f t="shared" ref="O396:O459" si="232">L396*H396+N396*I396+J396</f>
        <v>-0.52970642643480004</v>
      </c>
      <c r="P396" s="26">
        <f t="shared" ref="P396:P459" si="233">1/(1+EXP(-O396))</f>
        <v>0.37058536200822756</v>
      </c>
      <c r="Q396" s="26">
        <f t="shared" ref="Q396:Q459" si="234">0.5*(0-P396)^2</f>
        <v>6.8666755267384541E-2</v>
      </c>
      <c r="R396" s="26">
        <f t="shared" ref="R396:R459" si="235">0*B396+1*C396+D396</f>
        <v>-7.6293186105548747</v>
      </c>
      <c r="S396" s="26">
        <f t="shared" ref="S396:S459" si="236">1/(1+EXP(-R396))</f>
        <v>4.857558219003724E-4</v>
      </c>
      <c r="T396" s="26">
        <f t="shared" ref="T396:T459" si="237">0*E396+1*F396+G396</f>
        <v>1.3187713118988391</v>
      </c>
      <c r="U396" s="26">
        <f t="shared" ref="U396:U459" si="238">1/(1+EXP(-T396))</f>
        <v>0.78897721220708716</v>
      </c>
      <c r="V396" s="26">
        <f t="shared" ref="V396:V459" si="239">S396*H396+U396*I396+J396</f>
        <v>-0.64386699545197146</v>
      </c>
      <c r="W396" s="26">
        <f t="shared" ref="W396:W459" si="240">1/(1+EXP(-V396))</f>
        <v>0.34437292367509342</v>
      </c>
      <c r="X396" s="26">
        <f t="shared" ref="X396:X459" si="241">0.5*(1-W396)^2</f>
        <v>0.21492343160517244</v>
      </c>
      <c r="Y396" s="26">
        <f t="shared" ref="Y396:Y459" si="242">1*B396+0*C396+D396</f>
        <v>0.71329830523041249</v>
      </c>
      <c r="Z396" s="26">
        <f t="shared" ref="Z396:Z459" si="243">1/(1+EXP(-Y396))</f>
        <v>0.67112955465060953</v>
      </c>
      <c r="AA396" s="26">
        <f t="shared" ref="AA396:AA459" si="244">1*E396+0*F396+G396</f>
        <v>0.45771950049047472</v>
      </c>
      <c r="AB396" s="26">
        <f t="shared" ref="AB396:AB459" si="245">1/(1+EXP(-AA396))</f>
        <v>0.61247303903485228</v>
      </c>
      <c r="AC396" s="26">
        <f t="shared" ref="AC396:AC459" si="246">Z396*H396+AB396*I396+J396</f>
        <v>1.8373402045227512</v>
      </c>
      <c r="AD396" s="26">
        <f t="shared" ref="AD396:AD459" si="247">1/(1+EXP(-AC396))</f>
        <v>0.86263383432270924</v>
      </c>
      <c r="AE396" s="26">
        <f t="shared" ref="AE396:AE459" si="248">0.5*(1-AD396)^2</f>
        <v>9.4347317364404468E-3</v>
      </c>
      <c r="AF396" s="26">
        <f t="shared" ref="AF396:AF459" si="249">1*B396+1*C396+D396</f>
        <v>-3.7290128488880958</v>
      </c>
      <c r="AG396" s="26">
        <f t="shared" ref="AG396:AG459" si="250">1/(1+EXP(-AF396))</f>
        <v>2.3453265970562041E-2</v>
      </c>
      <c r="AH396" s="26">
        <f t="shared" ref="AH396:AH459" si="251">1*E396+1*F396+G396</f>
        <v>0.96018899080754549</v>
      </c>
      <c r="AI396" s="26">
        <f t="shared" ref="AI396:AI459" si="252">1/(1+EXP(-AH396))</f>
        <v>0.72315964263701837</v>
      </c>
      <c r="AJ396" s="26">
        <f t="shared" ref="AJ396:AJ459" si="253">AG396*H396+AI396*I396+J396</f>
        <v>-0.5804723764362103</v>
      </c>
      <c r="AK396" s="26">
        <f t="shared" ref="AK396:AK459" si="254">1/(1+EXP(-AJ396))</f>
        <v>0.35882390709797224</v>
      </c>
      <c r="AL396" s="26">
        <f t="shared" ref="AL396:AL459" si="255">0.5*(0-AK396)^2</f>
        <v>6.4377298152527102E-2</v>
      </c>
      <c r="AM396" s="27">
        <f t="shared" ref="AM396:AM459" si="256">Q396+X396+AE396+AL396</f>
        <v>0.3574022167615245</v>
      </c>
    </row>
    <row r="397" spans="1:39" ht="15" customHeight="1" x14ac:dyDescent="0.2">
      <c r="A397" s="24">
        <v>386</v>
      </c>
      <c r="B397" s="29">
        <f t="shared" ref="B397:B460" si="257">B396-$C$6*(((((P396)-0)*(P396)*(1-(P396)))*H396*(L396)*(1-(L396))*0)+((((W396)-1)*(W396)*(1-(W396)))*H396*(S396)*(1-(S396))*0)+((((AD396)-1)*(AD396)*(1-(AD396)))*H396*(Z396)*(1-(Z396))*1)+((((AK396)-0)*(AK396)*(1-(AK396)))*H396*(AG396)*(1-(AG396))*1))</f>
        <v>3.9067640899469858</v>
      </c>
      <c r="C397" s="29">
        <f t="shared" ref="C397:C460" si="258">C396-$C$6*(((((P396)-0)*(P396)*(1-(P396)))*H396*(L396)*(1-(L396))*0)+((((W396)-1)*(W396)*(1-(W396)))*H396*(S396)*(1-(S396))*1)+((((AD396)-1)*(AD396)*(1-(AD396)))*H396*(Z396)*(1-(Z396))*0)+((((AK396)-0)*(AK396)*(1-(AK396)))*H396*(AG396)*(1-(AG396))*1))</f>
        <v>-4.4492133944426806</v>
      </c>
      <c r="D397" s="29">
        <f t="shared" ref="D397:D460" si="259">D396-$C$6*(((((P396)-0)*(P396)*(1-(P396)))*H396*(L396)*(1-(L396)))+((((W396)-1)*(W396)*(1-(W396)))*H396*(S396)*(1-(S396)))+((((AD396)-1)*(AD396)*(1-(AD396)))*H396*(Z396)*(1-(Z396)))+((((AK396)-0)*(AK396)*(1-(AK396)))*H396*(AG396)*(1-(AG396))))</f>
        <v>-3.1927689027380541</v>
      </c>
      <c r="E397" s="29">
        <f t="shared" ref="E397:E460" si="260">E396-$C$6*(((((P396)-0)*(P396)*(1-(P396)))*I396*(N396)*(1-(N396))*0)+((((W396)-1)*(W396)*(1-(W396)))*I396*(U396)*(1-(U396))*0)+((((AD396)-1)*(AD396)*(1-(AD396)))*I396*(AB396)*(1-(AB396))*1)+((((AK396)-0)*(AK396)*(1-(AK396)))*I396*(AI396)*(1-(AI396))*1))</f>
        <v>-0.36315424709870675</v>
      </c>
      <c r="F397" s="29">
        <f t="shared" ref="F397:F460" si="261">F396-$C$6*(((((P396)-0)*(P396)*(1-(P396)))*I396*(N396)*(1-(N396))*0)+((((W396)-1)*(W396)*(1-(W396)))*I396*(U396)*(1-(U396))*1)+((((AD396)-1)*(AD396)*(1-(AD396)))*I396*(AB396)*(1-(AB396))*0)+((((AK396)-0)*(AK396)*(1-(AK396)))*I396*(AI396)*(1-(AI396))*1))</f>
        <v>0.50540027603136628</v>
      </c>
      <c r="G397" s="29">
        <f t="shared" ref="G397:G460" si="262">G396-$C$6*(((((P396)-0)*(P396)*(1-(P396)))*I396*(N396)*(1-(N396)))+((((W396)-1)*(W396)*(1-(W396)))*I396*(U396)*(1-(U396)))+((((AD396)-1)*(AD396)*(1-(AD396)))*I396*(AB396)*(1-(AB396)))+((((AK396)-0)*(AK396)*(1-(AK396)))*I396*(AI396)*(1-(AI396))))</f>
        <v>0.81399361993049979</v>
      </c>
      <c r="H397" s="29">
        <f t="shared" ref="H397:H460" si="263">H396-$C$6*((((P396)-0)*(P396)*(1-(P396))*L396)+(((W396)-1)*(W396)*(1-(W396))*S396)+(((AD396)-1)*(AD396)*(1-(AD396))*Z396)+(((AK396)-0)*(AK396)*(1-(AK396))*AG396))</f>
        <v>3.8003867133729461</v>
      </c>
      <c r="I397" s="29">
        <f t="shared" ref="I397:I460" si="264">I396-$C$6*((((P396)-0)*(P396)*(1-(P396))*N396)+(((W396)-1)*(W396)*(1-(W396))*U396)+(((AD396)-1)*(AD396)*(1-(AD396))*AB396)+(((AK396)-0)*(AK396)*(1-(AK396))*AI396))</f>
        <v>0.36813806727460341</v>
      </c>
      <c r="J397" s="29">
        <f t="shared" ref="J397:J460" si="265">J396-$C$6*((((P396)-0)*(P396)*(1-(P396)))+(((W396)-1)*(W396)*(1-(W396)))+(((AD396)-1)*(AD396)*(1-(AD396)))+(((AK396)-0)*(AK396)*(1-(AK396))))</f>
        <v>-0.93523577420069914</v>
      </c>
      <c r="K397" s="26">
        <f t="shared" si="228"/>
        <v>-3.1927689027380541</v>
      </c>
      <c r="L397" s="26">
        <f t="shared" si="229"/>
        <v>3.9438750408669447E-2</v>
      </c>
      <c r="M397" s="26">
        <f t="shared" si="230"/>
        <v>0.81399361993049979</v>
      </c>
      <c r="N397" s="26">
        <f t="shared" si="231"/>
        <v>0.69295986696214551</v>
      </c>
      <c r="O397" s="26">
        <f t="shared" si="232"/>
        <v>-0.53024836503324935</v>
      </c>
      <c r="P397" s="26">
        <f t="shared" si="233"/>
        <v>0.37045896269483686</v>
      </c>
      <c r="Q397" s="26">
        <f t="shared" si="234"/>
        <v>6.8619921520467267E-2</v>
      </c>
      <c r="R397" s="26">
        <f t="shared" si="235"/>
        <v>-7.6419822971807347</v>
      </c>
      <c r="S397" s="26">
        <f t="shared" si="236"/>
        <v>4.7964608049469752E-4</v>
      </c>
      <c r="T397" s="26">
        <f t="shared" si="237"/>
        <v>1.3193938959618661</v>
      </c>
      <c r="U397" s="26">
        <f t="shared" si="238"/>
        <v>0.78908084893036101</v>
      </c>
      <c r="V397" s="26">
        <f t="shared" si="239"/>
        <v>-0.64292223496063927</v>
      </c>
      <c r="W397" s="26">
        <f t="shared" si="240"/>
        <v>0.34458626325168495</v>
      </c>
      <c r="X397" s="26">
        <f t="shared" si="241"/>
        <v>0.2147835831591948</v>
      </c>
      <c r="Y397" s="26">
        <f t="shared" si="242"/>
        <v>0.71399518720893163</v>
      </c>
      <c r="Z397" s="26">
        <f t="shared" si="243"/>
        <v>0.67128334838315873</v>
      </c>
      <c r="AA397" s="26">
        <f t="shared" si="244"/>
        <v>0.45083937283179304</v>
      </c>
      <c r="AB397" s="26">
        <f t="shared" si="245"/>
        <v>0.61083878381725998</v>
      </c>
      <c r="AC397" s="26">
        <f t="shared" si="246"/>
        <v>1.840773553194015</v>
      </c>
      <c r="AD397" s="26">
        <f t="shared" si="247"/>
        <v>0.86304016851288967</v>
      </c>
      <c r="AE397" s="26">
        <f t="shared" si="248"/>
        <v>9.3789977204888283E-3</v>
      </c>
      <c r="AF397" s="26">
        <f t="shared" si="249"/>
        <v>-3.735218207233749</v>
      </c>
      <c r="AG397" s="26">
        <f t="shared" si="250"/>
        <v>2.3311562834651661E-2</v>
      </c>
      <c r="AH397" s="26">
        <f t="shared" si="251"/>
        <v>0.95623964886315926</v>
      </c>
      <c r="AI397" s="26">
        <f t="shared" si="252"/>
        <v>0.72236828885450111</v>
      </c>
      <c r="AJ397" s="26">
        <f t="shared" si="253"/>
        <v>-0.58071155481657188</v>
      </c>
      <c r="AK397" s="26">
        <f t="shared" si="254"/>
        <v>0.35876888135112234</v>
      </c>
      <c r="AL397" s="26">
        <f t="shared" si="255"/>
        <v>6.4357555112967854E-2</v>
      </c>
      <c r="AM397" s="27">
        <f t="shared" si="256"/>
        <v>0.35714005751311878</v>
      </c>
    </row>
    <row r="398" spans="1:39" ht="15" customHeight="1" x14ac:dyDescent="0.2">
      <c r="A398" s="24">
        <v>387</v>
      </c>
      <c r="B398" s="29">
        <f t="shared" si="257"/>
        <v>3.9131984574976473</v>
      </c>
      <c r="C398" s="29">
        <f t="shared" si="258"/>
        <v>-4.4560853645927532</v>
      </c>
      <c r="D398" s="29">
        <f t="shared" si="259"/>
        <v>-3.1985036931515647</v>
      </c>
      <c r="E398" s="29">
        <f t="shared" si="260"/>
        <v>-0.36783124752371982</v>
      </c>
      <c r="F398" s="29">
        <f t="shared" si="261"/>
        <v>0.5083759280964274</v>
      </c>
      <c r="G398" s="29">
        <f t="shared" si="262"/>
        <v>0.81161864955916718</v>
      </c>
      <c r="H398" s="29">
        <f t="shared" si="263"/>
        <v>3.805993573480607</v>
      </c>
      <c r="I398" s="29">
        <f t="shared" si="264"/>
        <v>0.37533703729608436</v>
      </c>
      <c r="J398" s="29">
        <f t="shared" si="265"/>
        <v>-0.93995817326186293</v>
      </c>
      <c r="K398" s="26">
        <f t="shared" si="228"/>
        <v>-3.1985036931515647</v>
      </c>
      <c r="L398" s="26">
        <f t="shared" si="229"/>
        <v>3.9222070314258291E-2</v>
      </c>
      <c r="M398" s="26">
        <f t="shared" si="230"/>
        <v>0.81161864955916718</v>
      </c>
      <c r="N398" s="26">
        <f t="shared" si="231"/>
        <v>0.69245432141225816</v>
      </c>
      <c r="O398" s="26">
        <f t="shared" si="232"/>
        <v>-0.53077547224544386</v>
      </c>
      <c r="P398" s="26">
        <f t="shared" si="233"/>
        <v>0.3703360396111276</v>
      </c>
      <c r="Q398" s="26">
        <f t="shared" si="234"/>
        <v>6.857439111742733E-2</v>
      </c>
      <c r="R398" s="26">
        <f t="shared" si="235"/>
        <v>-7.6545890577443174</v>
      </c>
      <c r="S398" s="26">
        <f t="shared" si="236"/>
        <v>4.7364009873290439E-4</v>
      </c>
      <c r="T398" s="26">
        <f t="shared" si="237"/>
        <v>1.3199945776555946</v>
      </c>
      <c r="U398" s="26">
        <f t="shared" si="238"/>
        <v>0.78918080438403226</v>
      </c>
      <c r="V398" s="26">
        <f t="shared" si="239"/>
        <v>-0.64194671708149942</v>
      </c>
      <c r="W398" s="26">
        <f t="shared" si="240"/>
        <v>0.34480661400873852</v>
      </c>
      <c r="X398" s="26">
        <f t="shared" si="241"/>
        <v>0.21463918652334713</v>
      </c>
      <c r="Y398" s="26">
        <f t="shared" si="242"/>
        <v>0.71469476434608259</v>
      </c>
      <c r="Z398" s="26">
        <f t="shared" si="243"/>
        <v>0.67143769998197056</v>
      </c>
      <c r="AA398" s="26">
        <f t="shared" si="244"/>
        <v>0.44378740203544736</v>
      </c>
      <c r="AB398" s="26">
        <f t="shared" si="245"/>
        <v>0.60916112188217419</v>
      </c>
      <c r="AC398" s="26">
        <f t="shared" si="246"/>
        <v>1.8441701285853314</v>
      </c>
      <c r="AD398" s="26">
        <f t="shared" si="247"/>
        <v>0.86344115512100561</v>
      </c>
      <c r="AE398" s="26">
        <f t="shared" si="248"/>
        <v>9.3241590573426257E-3</v>
      </c>
      <c r="AF398" s="26">
        <f t="shared" si="249"/>
        <v>-3.7413906002466706</v>
      </c>
      <c r="AG398" s="26">
        <f t="shared" si="250"/>
        <v>2.3171441688705434E-2</v>
      </c>
      <c r="AH398" s="26">
        <f t="shared" si="251"/>
        <v>0.95216333013187482</v>
      </c>
      <c r="AI398" s="26">
        <f t="shared" si="252"/>
        <v>0.72155003300751142</v>
      </c>
      <c r="AJ398" s="26">
        <f t="shared" si="253"/>
        <v>-0.58094336345643816</v>
      </c>
      <c r="AK398" s="26">
        <f t="shared" si="254"/>
        <v>0.35871555464542193</v>
      </c>
      <c r="AL398" s="26">
        <f t="shared" si="255"/>
        <v>6.4338424572286348E-2</v>
      </c>
      <c r="AM398" s="27">
        <f t="shared" si="256"/>
        <v>0.35687616127040345</v>
      </c>
    </row>
    <row r="399" spans="1:39" ht="15" customHeight="1" x14ac:dyDescent="0.2">
      <c r="A399" s="24">
        <v>388</v>
      </c>
      <c r="B399" s="29">
        <f t="shared" si="257"/>
        <v>3.919609353410519</v>
      </c>
      <c r="C399" s="29">
        <f t="shared" si="258"/>
        <v>-4.4629273695645857</v>
      </c>
      <c r="D399" s="29">
        <f t="shared" si="259"/>
        <v>-3.2042118476629722</v>
      </c>
      <c r="E399" s="29">
        <f t="shared" si="260"/>
        <v>-0.37261517483459711</v>
      </c>
      <c r="F399" s="29">
        <f t="shared" si="261"/>
        <v>0.51139633055212408</v>
      </c>
      <c r="G399" s="29">
        <f t="shared" si="262"/>
        <v>0.80917516618420371</v>
      </c>
      <c r="H399" s="29">
        <f t="shared" si="263"/>
        <v>3.8115757888092352</v>
      </c>
      <c r="I399" s="29">
        <f t="shared" si="264"/>
        <v>0.3826186406557161</v>
      </c>
      <c r="J399" s="29">
        <f t="shared" si="265"/>
        <v>-0.94471453286860596</v>
      </c>
      <c r="K399" s="26">
        <f t="shared" si="228"/>
        <v>-3.2042118476629722</v>
      </c>
      <c r="L399" s="26">
        <f t="shared" si="229"/>
        <v>3.900753079743545E-2</v>
      </c>
      <c r="M399" s="26">
        <f t="shared" si="230"/>
        <v>0.80917516618420371</v>
      </c>
      <c r="N399" s="26">
        <f t="shared" si="231"/>
        <v>0.69193370936927057</v>
      </c>
      <c r="O399" s="26">
        <f t="shared" si="232"/>
        <v>-0.53128763759713271</v>
      </c>
      <c r="P399" s="26">
        <f t="shared" si="233"/>
        <v>0.37021661711082982</v>
      </c>
      <c r="Q399" s="26">
        <f t="shared" si="234"/>
        <v>6.8530171792493377E-2</v>
      </c>
      <c r="R399" s="26">
        <f t="shared" si="235"/>
        <v>-7.6671392172275574</v>
      </c>
      <c r="S399" s="26">
        <f t="shared" si="236"/>
        <v>4.6773574806732233E-4</v>
      </c>
      <c r="T399" s="26">
        <f t="shared" si="237"/>
        <v>1.3205714967363278</v>
      </c>
      <c r="U399" s="26">
        <f t="shared" si="238"/>
        <v>0.78927677297244558</v>
      </c>
      <c r="V399" s="26">
        <f t="shared" si="239"/>
        <v>-0.6409397166398646</v>
      </c>
      <c r="W399" s="26">
        <f t="shared" si="240"/>
        <v>0.34503414606598448</v>
      </c>
      <c r="X399" s="26">
        <f t="shared" si="241"/>
        <v>0.21449013490975707</v>
      </c>
      <c r="Y399" s="26">
        <f t="shared" si="242"/>
        <v>0.71539750574754679</v>
      </c>
      <c r="Z399" s="26">
        <f t="shared" si="243"/>
        <v>0.67159271245891916</v>
      </c>
      <c r="AA399" s="26">
        <f t="shared" si="244"/>
        <v>0.4365599913496066</v>
      </c>
      <c r="AB399" s="26">
        <f t="shared" si="245"/>
        <v>0.60743904098091084</v>
      </c>
      <c r="AC399" s="26">
        <f t="shared" si="246"/>
        <v>1.8475294900218606</v>
      </c>
      <c r="AD399" s="26">
        <f t="shared" si="247"/>
        <v>0.86383677580028462</v>
      </c>
      <c r="AE399" s="26">
        <f t="shared" si="248"/>
        <v>9.2702118122309791E-3</v>
      </c>
      <c r="AF399" s="26">
        <f t="shared" si="249"/>
        <v>-3.7475298638170389</v>
      </c>
      <c r="AG399" s="26">
        <f t="shared" si="250"/>
        <v>2.3032888400707701E-2</v>
      </c>
      <c r="AH399" s="26">
        <f t="shared" si="251"/>
        <v>0.94795632190173063</v>
      </c>
      <c r="AI399" s="26">
        <f t="shared" si="252"/>
        <v>0.72070399218143644</v>
      </c>
      <c r="AJ399" s="26">
        <f t="shared" si="253"/>
        <v>-0.58116815129051436</v>
      </c>
      <c r="AK399" s="26">
        <f t="shared" si="254"/>
        <v>0.35866384638548032</v>
      </c>
      <c r="AL399" s="26">
        <f t="shared" si="255"/>
        <v>6.4319877352013707E-2</v>
      </c>
      <c r="AM399" s="27">
        <f t="shared" si="256"/>
        <v>0.35661039586649512</v>
      </c>
    </row>
    <row r="400" spans="1:39" ht="15" customHeight="1" x14ac:dyDescent="0.2">
      <c r="A400" s="24">
        <v>389</v>
      </c>
      <c r="B400" s="29">
        <f t="shared" si="257"/>
        <v>3.9259972728539774</v>
      </c>
      <c r="C400" s="29">
        <f t="shared" si="258"/>
        <v>-4.4697397120820819</v>
      </c>
      <c r="D400" s="29">
        <f t="shared" si="259"/>
        <v>-3.2098933797456679</v>
      </c>
      <c r="E400" s="29">
        <f t="shared" si="260"/>
        <v>-0.37750793746808486</v>
      </c>
      <c r="F400" s="29">
        <f t="shared" si="261"/>
        <v>0.51446136187665348</v>
      </c>
      <c r="G400" s="29">
        <f t="shared" si="262"/>
        <v>0.80666137332342935</v>
      </c>
      <c r="H400" s="29">
        <f t="shared" si="263"/>
        <v>3.8171338726568278</v>
      </c>
      <c r="I400" s="29">
        <f t="shared" si="264"/>
        <v>0.38998482629767367</v>
      </c>
      <c r="J400" s="29">
        <f t="shared" si="265"/>
        <v>-0.9495054443532488</v>
      </c>
      <c r="K400" s="26">
        <f t="shared" si="228"/>
        <v>-3.2098933797456679</v>
      </c>
      <c r="L400" s="26">
        <f t="shared" si="229"/>
        <v>3.8795110139302154E-2</v>
      </c>
      <c r="M400" s="26">
        <f t="shared" si="230"/>
        <v>0.80666137332342935</v>
      </c>
      <c r="N400" s="26">
        <f t="shared" si="231"/>
        <v>0.6913976072579433</v>
      </c>
      <c r="O400" s="26">
        <f t="shared" si="232"/>
        <v>-0.53178473957795003</v>
      </c>
      <c r="P400" s="26">
        <f t="shared" si="233"/>
        <v>0.37010072214483725</v>
      </c>
      <c r="Q400" s="26">
        <f t="shared" si="234"/>
        <v>6.8487272266065005E-2</v>
      </c>
      <c r="R400" s="26">
        <f t="shared" si="235"/>
        <v>-7.6796330918277498</v>
      </c>
      <c r="S400" s="26">
        <f t="shared" si="236"/>
        <v>4.619309534288839E-4</v>
      </c>
      <c r="T400" s="26">
        <f t="shared" si="237"/>
        <v>1.3211227352000829</v>
      </c>
      <c r="U400" s="26">
        <f t="shared" si="238"/>
        <v>0.78936843975462478</v>
      </c>
      <c r="V400" s="26">
        <f t="shared" si="239"/>
        <v>-0.63990047820151363</v>
      </c>
      <c r="W400" s="26">
        <f t="shared" si="240"/>
        <v>0.34526903677868964</v>
      </c>
      <c r="X400" s="26">
        <f t="shared" si="241"/>
        <v>0.21433631710035239</v>
      </c>
      <c r="Y400" s="26">
        <f t="shared" si="242"/>
        <v>0.71610389310830946</v>
      </c>
      <c r="Z400" s="26">
        <f t="shared" si="243"/>
        <v>0.67174849149940574</v>
      </c>
      <c r="AA400" s="26">
        <f t="shared" si="244"/>
        <v>0.42915343585534449</v>
      </c>
      <c r="AB400" s="26">
        <f t="shared" si="245"/>
        <v>0.60567149862273473</v>
      </c>
      <c r="AC400" s="26">
        <f t="shared" si="246"/>
        <v>1.8508511706390989</v>
      </c>
      <c r="AD400" s="26">
        <f t="shared" si="247"/>
        <v>0.86422700920188722</v>
      </c>
      <c r="AE400" s="26">
        <f t="shared" si="248"/>
        <v>9.2171525151322087E-3</v>
      </c>
      <c r="AF400" s="26">
        <f t="shared" si="249"/>
        <v>-3.7536358189737724</v>
      </c>
      <c r="AG400" s="26">
        <f t="shared" si="250"/>
        <v>2.2895889324881173E-2</v>
      </c>
      <c r="AH400" s="26">
        <f t="shared" si="251"/>
        <v>0.94361479773199797</v>
      </c>
      <c r="AI400" s="26">
        <f t="shared" si="252"/>
        <v>0.71982925108040063</v>
      </c>
      <c r="AJ400" s="26">
        <f t="shared" si="253"/>
        <v>-0.58138628422006844</v>
      </c>
      <c r="AK400" s="26">
        <f t="shared" si="254"/>
        <v>0.35861367210356931</v>
      </c>
      <c r="AL400" s="26">
        <f t="shared" si="255"/>
        <v>6.4301882909803168E-2</v>
      </c>
      <c r="AM400" s="27">
        <f t="shared" si="256"/>
        <v>0.35634262479135276</v>
      </c>
    </row>
    <row r="401" spans="1:39" ht="15" customHeight="1" x14ac:dyDescent="0.2">
      <c r="A401" s="24">
        <v>390</v>
      </c>
      <c r="B401" s="29">
        <f t="shared" si="257"/>
        <v>3.932362717502047</v>
      </c>
      <c r="C401" s="29">
        <f t="shared" si="258"/>
        <v>-4.4765226926022681</v>
      </c>
      <c r="D401" s="29">
        <f t="shared" si="259"/>
        <v>-3.2155482960958817</v>
      </c>
      <c r="E401" s="29">
        <f t="shared" si="260"/>
        <v>-0.38251150175330401</v>
      </c>
      <c r="F401" s="29">
        <f t="shared" si="261"/>
        <v>0.51757089528928313</v>
      </c>
      <c r="G401" s="29">
        <f t="shared" si="262"/>
        <v>0.80407542086031303</v>
      </c>
      <c r="H401" s="29">
        <f t="shared" si="263"/>
        <v>3.82266834302796</v>
      </c>
      <c r="I401" s="29">
        <f t="shared" si="264"/>
        <v>0.39743759792828592</v>
      </c>
      <c r="J401" s="29">
        <f t="shared" si="265"/>
        <v>-0.95433149634438552</v>
      </c>
      <c r="K401" s="26">
        <f t="shared" si="228"/>
        <v>-3.2155482960958817</v>
      </c>
      <c r="L401" s="26">
        <f t="shared" si="229"/>
        <v>3.8584787126978971E-2</v>
      </c>
      <c r="M401" s="26">
        <f t="shared" si="230"/>
        <v>0.80407542086031303</v>
      </c>
      <c r="N401" s="26">
        <f t="shared" si="231"/>
        <v>0.69084557753590492</v>
      </c>
      <c r="O401" s="26">
        <f t="shared" si="232"/>
        <v>-0.5322666451963608</v>
      </c>
      <c r="P401" s="26">
        <f t="shared" si="233"/>
        <v>0.3699883843644754</v>
      </c>
      <c r="Q401" s="26">
        <f t="shared" si="234"/>
        <v>6.8445702282317389E-2</v>
      </c>
      <c r="R401" s="26">
        <f t="shared" si="235"/>
        <v>-7.6920709886981502</v>
      </c>
      <c r="S401" s="26">
        <f t="shared" si="236"/>
        <v>4.5622369182127568E-4</v>
      </c>
      <c r="T401" s="26">
        <f t="shared" si="237"/>
        <v>1.3216463161495962</v>
      </c>
      <c r="U401" s="26">
        <f t="shared" si="238"/>
        <v>0.78945548022629963</v>
      </c>
      <c r="V401" s="26">
        <f t="shared" si="239"/>
        <v>-0.638828214747859</v>
      </c>
      <c r="W401" s="26">
        <f t="shared" si="240"/>
        <v>0.34551147106290792</v>
      </c>
      <c r="X401" s="26">
        <f t="shared" si="241"/>
        <v>0.21417761725511941</v>
      </c>
      <c r="Y401" s="26">
        <f t="shared" si="242"/>
        <v>0.71681442140616536</v>
      </c>
      <c r="Z401" s="26">
        <f t="shared" si="243"/>
        <v>0.67190514561047365</v>
      </c>
      <c r="AA401" s="26">
        <f t="shared" si="244"/>
        <v>0.42156391910700902</v>
      </c>
      <c r="AB401" s="26">
        <f t="shared" si="245"/>
        <v>0.60385742133916553</v>
      </c>
      <c r="AC401" s="26">
        <f t="shared" si="246"/>
        <v>1.8541346763265709</v>
      </c>
      <c r="AD401" s="26">
        <f t="shared" si="247"/>
        <v>0.86461183087403226</v>
      </c>
      <c r="AE401" s="26">
        <f t="shared" si="248"/>
        <v>9.1649781696408212E-3</v>
      </c>
      <c r="AF401" s="26">
        <f t="shared" si="249"/>
        <v>-3.7597082711961027</v>
      </c>
      <c r="AG401" s="26">
        <f t="shared" si="250"/>
        <v>2.2760431306509798E-2</v>
      </c>
      <c r="AH401" s="26">
        <f t="shared" si="251"/>
        <v>0.93913481439629209</v>
      </c>
      <c r="AI401" s="26">
        <f t="shared" si="252"/>
        <v>0.71892486083223228</v>
      </c>
      <c r="AJ401" s="26">
        <f t="shared" si="253"/>
        <v>-0.58159814633523843</v>
      </c>
      <c r="AK401" s="26">
        <f t="shared" si="254"/>
        <v>0.35856494317814225</v>
      </c>
      <c r="AL401" s="26">
        <f t="shared" si="255"/>
        <v>6.4284409238172191E-2</v>
      </c>
      <c r="AM401" s="27">
        <f t="shared" si="256"/>
        <v>0.35607270694524984</v>
      </c>
    </row>
    <row r="402" spans="1:39" ht="15" customHeight="1" x14ac:dyDescent="0.2">
      <c r="A402" s="24">
        <v>391</v>
      </c>
      <c r="B402" s="29">
        <f t="shared" si="257"/>
        <v>3.9387061959826584</v>
      </c>
      <c r="C402" s="29">
        <f t="shared" si="258"/>
        <v>-4.4832766093183309</v>
      </c>
      <c r="D402" s="29">
        <f t="shared" si="259"/>
        <v>-3.2211765963559378</v>
      </c>
      <c r="E402" s="29">
        <f t="shared" si="260"/>
        <v>-0.38762789389278651</v>
      </c>
      <c r="F402" s="29">
        <f t="shared" si="261"/>
        <v>0.5207247990999726</v>
      </c>
      <c r="G402" s="29">
        <f t="shared" si="262"/>
        <v>0.80141540357449659</v>
      </c>
      <c r="H402" s="29">
        <f t="shared" si="263"/>
        <v>3.8281797230089047</v>
      </c>
      <c r="I402" s="29">
        <f t="shared" si="264"/>
        <v>0.4049790162658895</v>
      </c>
      <c r="J402" s="29">
        <f t="shared" si="265"/>
        <v>-0.95919327436218349</v>
      </c>
      <c r="K402" s="26">
        <f t="shared" si="228"/>
        <v>-3.2211765963559378</v>
      </c>
      <c r="L402" s="26">
        <f t="shared" si="229"/>
        <v>3.8376541054366414E-2</v>
      </c>
      <c r="M402" s="26">
        <f t="shared" si="230"/>
        <v>0.80141540357449659</v>
      </c>
      <c r="N402" s="26">
        <f t="shared" si="231"/>
        <v>0.69027716823644791</v>
      </c>
      <c r="O402" s="26">
        <f t="shared" si="232"/>
        <v>-0.53273320951543868</v>
      </c>
      <c r="P402" s="26">
        <f t="shared" si="233"/>
        <v>0.36987963622931797</v>
      </c>
      <c r="Q402" s="26">
        <f t="shared" si="234"/>
        <v>6.8405472648566293E-2</v>
      </c>
      <c r="R402" s="26">
        <f t="shared" si="235"/>
        <v>-7.7044532056742687</v>
      </c>
      <c r="S402" s="26">
        <f t="shared" si="236"/>
        <v>4.5061199096115375E-4</v>
      </c>
      <c r="T402" s="26">
        <f t="shared" si="237"/>
        <v>1.3221402026744693</v>
      </c>
      <c r="U402" s="26">
        <f t="shared" si="238"/>
        <v>0.78953756009864962</v>
      </c>
      <c r="V402" s="26">
        <f t="shared" si="239"/>
        <v>-0.63772210628171955</v>
      </c>
      <c r="W402" s="26">
        <f t="shared" si="240"/>
        <v>0.34576164173827562</v>
      </c>
      <c r="X402" s="26">
        <f t="shared" si="241"/>
        <v>0.21401391471049822</v>
      </c>
      <c r="Y402" s="26">
        <f t="shared" si="242"/>
        <v>0.71752959962672058</v>
      </c>
      <c r="Z402" s="26">
        <f t="shared" si="243"/>
        <v>0.6720627862753954</v>
      </c>
      <c r="AA402" s="26">
        <f t="shared" si="244"/>
        <v>0.41378750968171008</v>
      </c>
      <c r="AB402" s="26">
        <f t="shared" si="245"/>
        <v>0.60199570395376001</v>
      </c>
      <c r="AC402" s="26">
        <f t="shared" si="246"/>
        <v>1.8573794846296376</v>
      </c>
      <c r="AD402" s="26">
        <f t="shared" si="247"/>
        <v>0.86499121315648553</v>
      </c>
      <c r="AE402" s="26">
        <f t="shared" si="248"/>
        <v>9.1136862624787637E-3</v>
      </c>
      <c r="AF402" s="26">
        <f t="shared" si="249"/>
        <v>-3.7657470096916104</v>
      </c>
      <c r="AG402" s="26">
        <f t="shared" si="250"/>
        <v>2.2626501687292834E-2</v>
      </c>
      <c r="AH402" s="26">
        <f t="shared" si="251"/>
        <v>0.93451230878168268</v>
      </c>
      <c r="AI402" s="26">
        <f t="shared" si="252"/>
        <v>0.71798983775435143</v>
      </c>
      <c r="AJ402" s="26">
        <f t="shared" si="253"/>
        <v>-0.58180414121759938</v>
      </c>
      <c r="AK402" s="26">
        <f t="shared" si="254"/>
        <v>0.3585175665339721</v>
      </c>
      <c r="AL402" s="26">
        <f t="shared" si="255"/>
        <v>6.4267422756720552E-2</v>
      </c>
      <c r="AM402" s="27">
        <f t="shared" si="256"/>
        <v>0.35580049637826383</v>
      </c>
    </row>
    <row r="403" spans="1:39" ht="15" customHeight="1" x14ac:dyDescent="0.2">
      <c r="A403" s="24">
        <v>392</v>
      </c>
      <c r="B403" s="29">
        <f t="shared" si="257"/>
        <v>3.9450282243460575</v>
      </c>
      <c r="C403" s="29">
        <f t="shared" si="258"/>
        <v>-4.4900017581603962</v>
      </c>
      <c r="D403" s="29">
        <f t="shared" si="259"/>
        <v>-3.2267782728245602</v>
      </c>
      <c r="E403" s="29">
        <f t="shared" si="260"/>
        <v>-0.39285920200051722</v>
      </c>
      <c r="F403" s="29">
        <f t="shared" si="261"/>
        <v>0.52392293711101001</v>
      </c>
      <c r="G403" s="29">
        <f t="shared" si="262"/>
        <v>0.79867935963946057</v>
      </c>
      <c r="H403" s="29">
        <f t="shared" si="263"/>
        <v>3.8336685411588762</v>
      </c>
      <c r="I403" s="29">
        <f t="shared" si="264"/>
        <v>0.41261120139364432</v>
      </c>
      <c r="J403" s="29">
        <f t="shared" si="265"/>
        <v>-0.96409136038247323</v>
      </c>
      <c r="K403" s="26">
        <f t="shared" si="228"/>
        <v>-3.2267782728245602</v>
      </c>
      <c r="L403" s="26">
        <f t="shared" si="229"/>
        <v>3.8170351723281197E-2</v>
      </c>
      <c r="M403" s="26">
        <f t="shared" si="230"/>
        <v>0.79867935963946057</v>
      </c>
      <c r="N403" s="26">
        <f t="shared" si="231"/>
        <v>0.68969191249687634</v>
      </c>
      <c r="O403" s="26">
        <f t="shared" si="232"/>
        <v>-0.53318427516914424</v>
      </c>
      <c r="P403" s="26">
        <f t="shared" si="233"/>
        <v>0.36977451311963921</v>
      </c>
      <c r="Q403" s="26">
        <f t="shared" si="234"/>
        <v>6.8366595276433115E-2</v>
      </c>
      <c r="R403" s="26">
        <f t="shared" si="235"/>
        <v>-7.7167800309849568</v>
      </c>
      <c r="S403" s="26">
        <f t="shared" si="236"/>
        <v>4.4509392796311149E-4</v>
      </c>
      <c r="T403" s="26">
        <f t="shared" si="237"/>
        <v>1.3226022967504707</v>
      </c>
      <c r="U403" s="26">
        <f t="shared" si="238"/>
        <v>0.78961433507430179</v>
      </c>
      <c r="V403" s="26">
        <f t="shared" si="239"/>
        <v>-0.63658129836032895</v>
      </c>
      <c r="W403" s="26">
        <f t="shared" si="240"/>
        <v>0.34601974988925216</v>
      </c>
      <c r="X403" s="26">
        <f t="shared" si="241"/>
        <v>0.2138450837674582</v>
      </c>
      <c r="Y403" s="26">
        <f t="shared" si="242"/>
        <v>0.71824995152149729</v>
      </c>
      <c r="Z403" s="26">
        <f t="shared" si="243"/>
        <v>0.67222152811504832</v>
      </c>
      <c r="AA403" s="26">
        <f t="shared" si="244"/>
        <v>0.40582015763894336</v>
      </c>
      <c r="AB403" s="26">
        <f t="shared" si="245"/>
        <v>0.60008520886115524</v>
      </c>
      <c r="AC403" s="26">
        <f t="shared" si="246"/>
        <v>1.8605850436086915</v>
      </c>
      <c r="AD403" s="26">
        <f t="shared" si="247"/>
        <v>0.86536512507029917</v>
      </c>
      <c r="AE403" s="26">
        <f t="shared" si="248"/>
        <v>9.0632747736680928E-3</v>
      </c>
      <c r="AF403" s="26">
        <f t="shared" si="249"/>
        <v>-3.7717518066388989</v>
      </c>
      <c r="AG403" s="26">
        <f t="shared" si="250"/>
        <v>2.2494088311255774E-2</v>
      </c>
      <c r="AH403" s="26">
        <f t="shared" si="251"/>
        <v>0.92974309474995342</v>
      </c>
      <c r="AI403" s="26">
        <f t="shared" si="252"/>
        <v>0.71702316208081351</v>
      </c>
      <c r="AJ403" s="26">
        <f t="shared" si="253"/>
        <v>-0.58200469332832816</v>
      </c>
      <c r="AK403" s="26">
        <f t="shared" si="254"/>
        <v>0.35847144432269418</v>
      </c>
      <c r="AL403" s="26">
        <f t="shared" si="255"/>
        <v>6.4250888197399214E-2</v>
      </c>
      <c r="AM403" s="27">
        <f t="shared" si="256"/>
        <v>0.35552584201495863</v>
      </c>
    </row>
    <row r="404" spans="1:39" ht="15" customHeight="1" x14ac:dyDescent="0.2">
      <c r="A404" s="24">
        <v>393</v>
      </c>
      <c r="B404" s="29">
        <f t="shared" si="257"/>
        <v>3.9513293265543377</v>
      </c>
      <c r="C404" s="29">
        <f t="shared" si="258"/>
        <v>-4.4966984327937984</v>
      </c>
      <c r="D404" s="29">
        <f t="shared" si="259"/>
        <v>-3.2323533101535151</v>
      </c>
      <c r="E404" s="29">
        <f t="shared" si="260"/>
        <v>-0.39820757819650765</v>
      </c>
      <c r="F404" s="29">
        <f t="shared" si="261"/>
        <v>0.52716516907631927</v>
      </c>
      <c r="G404" s="29">
        <f t="shared" si="262"/>
        <v>0.79586526908851785</v>
      </c>
      <c r="H404" s="29">
        <f t="shared" si="263"/>
        <v>3.8391353319181567</v>
      </c>
      <c r="I404" s="29">
        <f t="shared" si="264"/>
        <v>0.42033633521904995</v>
      </c>
      <c r="J404" s="29">
        <f t="shared" si="265"/>
        <v>-0.9690263323672339</v>
      </c>
      <c r="K404" s="26">
        <f t="shared" si="228"/>
        <v>-3.2323533101535151</v>
      </c>
      <c r="L404" s="26">
        <f t="shared" si="229"/>
        <v>3.7966199444983292E-2</v>
      </c>
      <c r="M404" s="26">
        <f t="shared" si="230"/>
        <v>0.79586526908851785</v>
      </c>
      <c r="N404" s="26">
        <f t="shared" si="231"/>
        <v>0.6890893280723448</v>
      </c>
      <c r="O404" s="26">
        <f t="shared" si="232"/>
        <v>-0.53361967185885995</v>
      </c>
      <c r="P404" s="26">
        <f t="shared" si="233"/>
        <v>0.36967305345356671</v>
      </c>
      <c r="Q404" s="26">
        <f t="shared" si="234"/>
        <v>6.8329083224841797E-2</v>
      </c>
      <c r="R404" s="26">
        <f t="shared" si="235"/>
        <v>-7.7290517429473136</v>
      </c>
      <c r="S404" s="26">
        <f t="shared" si="236"/>
        <v>4.3966762806814792E-4</v>
      </c>
      <c r="T404" s="26">
        <f t="shared" si="237"/>
        <v>1.323030438164837</v>
      </c>
      <c r="U404" s="26">
        <f t="shared" si="238"/>
        <v>0.78968545062123607</v>
      </c>
      <c r="V404" s="26">
        <f t="shared" si="239"/>
        <v>-0.63540490055208243</v>
      </c>
      <c r="W404" s="26">
        <f t="shared" si="240"/>
        <v>0.34628600524575154</v>
      </c>
      <c r="X404" s="26">
        <f t="shared" si="241"/>
        <v>0.21367099346877882</v>
      </c>
      <c r="Y404" s="26">
        <f t="shared" si="242"/>
        <v>0.71897601640082254</v>
      </c>
      <c r="Z404" s="26">
        <f t="shared" si="243"/>
        <v>0.67238148905641282</v>
      </c>
      <c r="AA404" s="26">
        <f t="shared" si="244"/>
        <v>0.3976576908920102</v>
      </c>
      <c r="AB404" s="26">
        <f t="shared" si="245"/>
        <v>0.59812476531969083</v>
      </c>
      <c r="AC404" s="26">
        <f t="shared" si="246"/>
        <v>1.863750770655215</v>
      </c>
      <c r="AD404" s="26">
        <f t="shared" si="247"/>
        <v>0.86573353220269988</v>
      </c>
      <c r="AE404" s="26">
        <f t="shared" si="248"/>
        <v>9.0137421873817142E-3</v>
      </c>
      <c r="AF404" s="26">
        <f t="shared" si="249"/>
        <v>-3.7777224163929759</v>
      </c>
      <c r="AG404" s="26">
        <f t="shared" si="250"/>
        <v>2.2363179531245031E-2</v>
      </c>
      <c r="AH404" s="26">
        <f t="shared" si="251"/>
        <v>0.92482285996832947</v>
      </c>
      <c r="AI404" s="26">
        <f t="shared" si="252"/>
        <v>0.71602377665104966</v>
      </c>
      <c r="AJ404" s="26">
        <f t="shared" si="253"/>
        <v>-0.58220024948759641</v>
      </c>
      <c r="AK404" s="26">
        <f t="shared" si="254"/>
        <v>0.35842647358247465</v>
      </c>
      <c r="AL404" s="26">
        <f t="shared" si="255"/>
        <v>6.42347684823842E-2</v>
      </c>
      <c r="AM404" s="27">
        <f t="shared" si="256"/>
        <v>0.35524858736338649</v>
      </c>
    </row>
    <row r="405" spans="1:39" ht="15" customHeight="1" x14ac:dyDescent="0.2">
      <c r="A405" s="24">
        <v>394</v>
      </c>
      <c r="B405" s="29">
        <f t="shared" si="257"/>
        <v>3.9576100349930807</v>
      </c>
      <c r="C405" s="29">
        <f t="shared" si="258"/>
        <v>-4.5033669246145944</v>
      </c>
      <c r="D405" s="29">
        <f t="shared" si="259"/>
        <v>-3.2379016850298563</v>
      </c>
      <c r="E405" s="29">
        <f t="shared" si="260"/>
        <v>-0.40367524075703981</v>
      </c>
      <c r="F405" s="29">
        <f t="shared" si="261"/>
        <v>0.53045135122466847</v>
      </c>
      <c r="G405" s="29">
        <f t="shared" si="262"/>
        <v>0.79297105225066844</v>
      </c>
      <c r="H405" s="29">
        <f t="shared" si="263"/>
        <v>3.844580636033903</v>
      </c>
      <c r="I405" s="29">
        <f t="shared" si="264"/>
        <v>0.42815666404390729</v>
      </c>
      <c r="J405" s="29">
        <f t="shared" si="265"/>
        <v>-0.97399876375892835</v>
      </c>
      <c r="K405" s="26">
        <f t="shared" si="228"/>
        <v>-3.2379016850298563</v>
      </c>
      <c r="L405" s="26">
        <f t="shared" si="229"/>
        <v>3.7764065042109538E-2</v>
      </c>
      <c r="M405" s="26">
        <f t="shared" si="230"/>
        <v>0.79297105225066844</v>
      </c>
      <c r="N405" s="26">
        <f t="shared" si="231"/>
        <v>0.68846891683519618</v>
      </c>
      <c r="O405" s="26">
        <f t="shared" si="232"/>
        <v>-0.53403921583002933</v>
      </c>
      <c r="P405" s="26">
        <f t="shared" si="233"/>
        <v>0.36957529880898254</v>
      </c>
      <c r="Q405" s="26">
        <f t="shared" si="234"/>
        <v>6.8292950744874362E-2</v>
      </c>
      <c r="R405" s="26">
        <f t="shared" si="235"/>
        <v>-7.7412686096444503</v>
      </c>
      <c r="S405" s="26">
        <f t="shared" si="236"/>
        <v>4.3433126341441283E-4</v>
      </c>
      <c r="T405" s="26">
        <f t="shared" si="237"/>
        <v>1.323422403475337</v>
      </c>
      <c r="U405" s="26">
        <f t="shared" si="238"/>
        <v>0.78975054174537218</v>
      </c>
      <c r="V405" s="26">
        <f t="shared" si="239"/>
        <v>-0.6341919848134141</v>
      </c>
      <c r="W405" s="26">
        <f t="shared" si="240"/>
        <v>0.34656062658414405</v>
      </c>
      <c r="X405" s="26">
        <f t="shared" si="241"/>
        <v>0.21349150736505318</v>
      </c>
      <c r="Y405" s="26">
        <f t="shared" si="242"/>
        <v>0.71970834996322441</v>
      </c>
      <c r="Z405" s="26">
        <f t="shared" si="243"/>
        <v>0.67254279050852805</v>
      </c>
      <c r="AA405" s="26">
        <f t="shared" si="244"/>
        <v>0.38929581149362863</v>
      </c>
      <c r="AB405" s="26">
        <f t="shared" si="245"/>
        <v>0.59611316876251497</v>
      </c>
      <c r="AC405" s="26">
        <f t="shared" si="246"/>
        <v>1.8668760512643656</v>
      </c>
      <c r="AD405" s="26">
        <f t="shared" si="247"/>
        <v>0.86609639658704674</v>
      </c>
      <c r="AE405" s="26">
        <f t="shared" si="248"/>
        <v>8.965087503486735E-3</v>
      </c>
      <c r="AF405" s="26">
        <f t="shared" si="249"/>
        <v>-3.78365857465137</v>
      </c>
      <c r="AG405" s="26">
        <f t="shared" si="250"/>
        <v>2.2233764216033822E-2</v>
      </c>
      <c r="AH405" s="26">
        <f t="shared" si="251"/>
        <v>0.91974716271829715</v>
      </c>
      <c r="AI405" s="26">
        <f t="shared" si="252"/>
        <v>0.71499058556118256</v>
      </c>
      <c r="AJ405" s="26">
        <f t="shared" si="253"/>
        <v>-0.58239128045114541</v>
      </c>
      <c r="AK405" s="26">
        <f t="shared" si="254"/>
        <v>0.35838254587545298</v>
      </c>
      <c r="AL405" s="26">
        <f t="shared" si="255"/>
        <v>6.4219024594085586E-2</v>
      </c>
      <c r="AM405" s="27">
        <f t="shared" si="256"/>
        <v>0.35496857020749983</v>
      </c>
    </row>
    <row r="406" spans="1:39" ht="15" customHeight="1" x14ac:dyDescent="0.2">
      <c r="A406" s="24">
        <v>395</v>
      </c>
      <c r="B406" s="29">
        <f t="shared" si="257"/>
        <v>3.9638708910061431</v>
      </c>
      <c r="C406" s="29">
        <f t="shared" si="258"/>
        <v>-4.5100075227420318</v>
      </c>
      <c r="D406" s="29">
        <f t="shared" si="259"/>
        <v>-3.2434233658430185</v>
      </c>
      <c r="E406" s="29">
        <f t="shared" si="260"/>
        <v>-0.40926447631926938</v>
      </c>
      <c r="F406" s="29">
        <f t="shared" si="261"/>
        <v>0.53378133685363993</v>
      </c>
      <c r="G406" s="29">
        <f t="shared" si="262"/>
        <v>0.78999456815825031</v>
      </c>
      <c r="H406" s="29">
        <f t="shared" si="263"/>
        <v>3.8500050010044506</v>
      </c>
      <c r="I406" s="29">
        <f t="shared" si="264"/>
        <v>0.43607450124844466</v>
      </c>
      <c r="J406" s="29">
        <f t="shared" si="265"/>
        <v>-0.97900922293597936</v>
      </c>
      <c r="K406" s="26">
        <f t="shared" si="228"/>
        <v>-3.2434233658430185</v>
      </c>
      <c r="L406" s="26">
        <f t="shared" si="229"/>
        <v>3.7563929851029458E-2</v>
      </c>
      <c r="M406" s="26">
        <f t="shared" si="230"/>
        <v>0.78999456815825031</v>
      </c>
      <c r="N406" s="26">
        <f t="shared" si="231"/>
        <v>0.68783016425989651</v>
      </c>
      <c r="O406" s="26">
        <f t="shared" si="232"/>
        <v>-0.53444270932886551</v>
      </c>
      <c r="P406" s="26">
        <f t="shared" si="233"/>
        <v>0.36948129405019114</v>
      </c>
      <c r="Q406" s="26">
        <f t="shared" si="234"/>
        <v>6.8258213326501907E-2</v>
      </c>
      <c r="R406" s="26">
        <f t="shared" si="235"/>
        <v>-7.7534308885850507</v>
      </c>
      <c r="S406" s="26">
        <f t="shared" si="236"/>
        <v>4.2908305184907752E-4</v>
      </c>
      <c r="T406" s="26">
        <f t="shared" si="237"/>
        <v>1.3237759050118902</v>
      </c>
      <c r="U406" s="26">
        <f t="shared" si="238"/>
        <v>0.78980923276276493</v>
      </c>
      <c r="V406" s="26">
        <f t="shared" si="239"/>
        <v>-0.63294158378207466</v>
      </c>
      <c r="W406" s="26">
        <f t="shared" si="240"/>
        <v>0.34684384214964842</v>
      </c>
      <c r="X406" s="26">
        <f t="shared" si="241"/>
        <v>0.21330648326891666</v>
      </c>
      <c r="Y406" s="26">
        <f t="shared" si="242"/>
        <v>0.7204475251631246</v>
      </c>
      <c r="Z406" s="26">
        <f t="shared" si="243"/>
        <v>0.67270555754625361</v>
      </c>
      <c r="AA406" s="26">
        <f t="shared" si="244"/>
        <v>0.38073009183898093</v>
      </c>
      <c r="AB406" s="26">
        <f t="shared" si="245"/>
        <v>0.59404918013274066</v>
      </c>
      <c r="AC406" s="26">
        <f t="shared" si="246"/>
        <v>1.8699602377640163</v>
      </c>
      <c r="AD406" s="26">
        <f t="shared" si="247"/>
        <v>0.86645367657779016</v>
      </c>
      <c r="AE406" s="26">
        <f t="shared" si="248"/>
        <v>8.9173102497947365E-3</v>
      </c>
      <c r="AF406" s="26">
        <f t="shared" si="249"/>
        <v>-3.7895599975789072</v>
      </c>
      <c r="AG406" s="26">
        <f t="shared" si="250"/>
        <v>2.2105831758068243E-2</v>
      </c>
      <c r="AH406" s="26">
        <f t="shared" si="251"/>
        <v>0.91451142869262081</v>
      </c>
      <c r="AI406" s="26">
        <f t="shared" si="252"/>
        <v>0.71392245277920408</v>
      </c>
      <c r="AJ406" s="26">
        <f t="shared" si="253"/>
        <v>-0.58257828259029598</v>
      </c>
      <c r="AK406" s="26">
        <f t="shared" si="254"/>
        <v>0.35833954690154363</v>
      </c>
      <c r="AL406" s="26">
        <f t="shared" si="255"/>
        <v>6.4203615436801795E-2</v>
      </c>
      <c r="AM406" s="27">
        <f t="shared" si="256"/>
        <v>0.35468562228201511</v>
      </c>
    </row>
    <row r="407" spans="1:39" ht="15" customHeight="1" x14ac:dyDescent="0.2">
      <c r="A407" s="24">
        <v>396</v>
      </c>
      <c r="B407" s="29">
        <f t="shared" si="257"/>
        <v>3.970112445454645</v>
      </c>
      <c r="C407" s="29">
        <f t="shared" si="258"/>
        <v>-4.5166205140076876</v>
      </c>
      <c r="D407" s="29">
        <f t="shared" si="259"/>
        <v>-3.2489183123359719</v>
      </c>
      <c r="E407" s="29">
        <f t="shared" si="260"/>
        <v>-0.41497764213836191</v>
      </c>
      <c r="F407" s="29">
        <f t="shared" si="261"/>
        <v>0.53715497700191472</v>
      </c>
      <c r="G407" s="29">
        <f t="shared" si="262"/>
        <v>0.78693361292877273</v>
      </c>
      <c r="H407" s="29">
        <f t="shared" si="263"/>
        <v>3.8554089815429724</v>
      </c>
      <c r="I407" s="29">
        <f t="shared" si="264"/>
        <v>0.44409223009327348</v>
      </c>
      <c r="J407" s="29">
        <f t="shared" si="265"/>
        <v>-0.98405827262651746</v>
      </c>
      <c r="K407" s="26">
        <f t="shared" si="228"/>
        <v>-3.2489183123359719</v>
      </c>
      <c r="L407" s="26">
        <f t="shared" si="229"/>
        <v>3.7365775724639852E-2</v>
      </c>
      <c r="M407" s="26">
        <f t="shared" si="230"/>
        <v>0.78693361292877273</v>
      </c>
      <c r="N407" s="26">
        <f t="shared" si="231"/>
        <v>0.6871725388937594</v>
      </c>
      <c r="O407" s="26">
        <f t="shared" si="232"/>
        <v>-0.53482994003923423</v>
      </c>
      <c r="P407" s="26">
        <f t="shared" si="233"/>
        <v>0.36939108745934301</v>
      </c>
      <c r="Q407" s="26">
        <f t="shared" si="234"/>
        <v>6.8224887747197996E-2</v>
      </c>
      <c r="R407" s="26">
        <f t="shared" si="235"/>
        <v>-7.7655388263436596</v>
      </c>
      <c r="S407" s="26">
        <f t="shared" si="236"/>
        <v>4.2392125578020741E-4</v>
      </c>
      <c r="T407" s="26">
        <f t="shared" si="237"/>
        <v>1.3240885899306876</v>
      </c>
      <c r="U407" s="26">
        <f t="shared" si="238"/>
        <v>0.78986113707249817</v>
      </c>
      <c r="V407" s="26">
        <f t="shared" si="239"/>
        <v>-0.63165268898298099</v>
      </c>
      <c r="W407" s="26">
        <f t="shared" si="240"/>
        <v>0.3471358901011718</v>
      </c>
      <c r="X407" s="26">
        <f t="shared" si="241"/>
        <v>0.21311577299699458</v>
      </c>
      <c r="Y407" s="26">
        <f t="shared" si="242"/>
        <v>0.72119413311867309</v>
      </c>
      <c r="Z407" s="26">
        <f t="shared" si="243"/>
        <v>0.67286991910219263</v>
      </c>
      <c r="AA407" s="26">
        <f t="shared" si="244"/>
        <v>0.37195597079041082</v>
      </c>
      <c r="AB407" s="26">
        <f t="shared" si="245"/>
        <v>0.59193152524893811</v>
      </c>
      <c r="AC407" s="26">
        <f t="shared" si="246"/>
        <v>1.8730026480004827</v>
      </c>
      <c r="AD407" s="26">
        <f t="shared" si="247"/>
        <v>0.86680532672039989</v>
      </c>
      <c r="AE407" s="26">
        <f t="shared" si="248"/>
        <v>8.8704104950297086E-3</v>
      </c>
      <c r="AF407" s="26">
        <f t="shared" si="249"/>
        <v>-3.7954263808890145</v>
      </c>
      <c r="AG407" s="26">
        <f t="shared" si="250"/>
        <v>2.1979372081883119E-2</v>
      </c>
      <c r="AH407" s="26">
        <f t="shared" si="251"/>
        <v>0.9091109477923256</v>
      </c>
      <c r="AI407" s="26">
        <f t="shared" si="252"/>
        <v>0.71281820072576541</v>
      </c>
      <c r="AJ407" s="26">
        <f t="shared" si="253"/>
        <v>-0.58276177968197063</v>
      </c>
      <c r="AK407" s="26">
        <f t="shared" si="254"/>
        <v>0.35829735608710883</v>
      </c>
      <c r="AL407" s="26">
        <f t="shared" si="255"/>
        <v>6.4188497689506227E-2</v>
      </c>
      <c r="AM407" s="27">
        <f t="shared" si="256"/>
        <v>0.35439956892872854</v>
      </c>
    </row>
    <row r="408" spans="1:39" ht="15" customHeight="1" x14ac:dyDescent="0.2">
      <c r="A408" s="24">
        <v>397</v>
      </c>
      <c r="B408" s="29">
        <f t="shared" si="257"/>
        <v>3.97633525930125</v>
      </c>
      <c r="C408" s="29">
        <f t="shared" si="258"/>
        <v>-4.5232061829409673</v>
      </c>
      <c r="D408" s="29">
        <f t="shared" si="259"/>
        <v>-3.2543864752396456</v>
      </c>
      <c r="E408" s="29">
        <f t="shared" si="260"/>
        <v>-0.42081716839474409</v>
      </c>
      <c r="F408" s="29">
        <f t="shared" si="261"/>
        <v>0.54057212120818621</v>
      </c>
      <c r="G408" s="29">
        <f t="shared" si="262"/>
        <v>0.78378591812383425</v>
      </c>
      <c r="H408" s="29">
        <f t="shared" si="263"/>
        <v>3.8607931400613715</v>
      </c>
      <c r="I408" s="29">
        <f t="shared" si="264"/>
        <v>0.4522123066427467</v>
      </c>
      <c r="J408" s="29">
        <f t="shared" si="265"/>
        <v>-0.98914646927736205</v>
      </c>
      <c r="K408" s="26">
        <f t="shared" si="228"/>
        <v>-3.2543864752396456</v>
      </c>
      <c r="L408" s="26">
        <f t="shared" si="229"/>
        <v>3.716958503561419E-2</v>
      </c>
      <c r="M408" s="26">
        <f t="shared" si="230"/>
        <v>0.78378591812383425</v>
      </c>
      <c r="N408" s="26">
        <f t="shared" si="231"/>
        <v>0.68649549181376524</v>
      </c>
      <c r="O408" s="26">
        <f t="shared" si="232"/>
        <v>-0.53520068049998537</v>
      </c>
      <c r="P408" s="26">
        <f t="shared" si="233"/>
        <v>0.36930473087256571</v>
      </c>
      <c r="Q408" s="26">
        <f t="shared" si="234"/>
        <v>6.8192992122429089E-2</v>
      </c>
      <c r="R408" s="26">
        <f t="shared" si="235"/>
        <v>-7.7775926581806125</v>
      </c>
      <c r="S408" s="26">
        <f t="shared" si="236"/>
        <v>4.1884418106754949E-4</v>
      </c>
      <c r="T408" s="26">
        <f t="shared" si="237"/>
        <v>1.3243580393320205</v>
      </c>
      <c r="U408" s="26">
        <f t="shared" si="238"/>
        <v>0.78990585693155069</v>
      </c>
      <c r="V408" s="26">
        <f t="shared" si="239"/>
        <v>-0.63032424894270989</v>
      </c>
      <c r="W408" s="26">
        <f t="shared" si="240"/>
        <v>0.34743701897969093</v>
      </c>
      <c r="X408" s="26">
        <f t="shared" si="241"/>
        <v>0.21291922209905614</v>
      </c>
      <c r="Y408" s="26">
        <f t="shared" si="242"/>
        <v>0.72194878406160434</v>
      </c>
      <c r="Z408" s="26">
        <f t="shared" si="243"/>
        <v>0.67303600816713594</v>
      </c>
      <c r="AA408" s="26">
        <f t="shared" si="244"/>
        <v>0.36296874972909016</v>
      </c>
      <c r="AB408" s="26">
        <f t="shared" si="245"/>
        <v>0.58975889420806327</v>
      </c>
      <c r="AC408" s="26">
        <f t="shared" si="246"/>
        <v>1.8760025639815092</v>
      </c>
      <c r="AD408" s="26">
        <f t="shared" si="247"/>
        <v>0.86715129761625065</v>
      </c>
      <c r="AE408" s="26">
        <f t="shared" si="248"/>
        <v>8.8243888625230051E-3</v>
      </c>
      <c r="AF408" s="26">
        <f t="shared" si="249"/>
        <v>-3.801257398879363</v>
      </c>
      <c r="AG408" s="26">
        <f t="shared" si="250"/>
        <v>2.1854375653218041E-2</v>
      </c>
      <c r="AH408" s="26">
        <f t="shared" si="251"/>
        <v>0.90354087093727631</v>
      </c>
      <c r="AI408" s="26">
        <f t="shared" si="252"/>
        <v>0.71167660882287087</v>
      </c>
      <c r="AJ408" s="26">
        <f t="shared" si="253"/>
        <v>-0.58294232481561536</v>
      </c>
      <c r="AK408" s="26">
        <f t="shared" si="254"/>
        <v>0.35825584614694872</v>
      </c>
      <c r="AL408" s="26">
        <f t="shared" si="255"/>
        <v>6.4173625649233096E-2</v>
      </c>
      <c r="AM408" s="27">
        <f t="shared" si="256"/>
        <v>0.35411022873324138</v>
      </c>
    </row>
    <row r="409" spans="1:39" ht="15" customHeight="1" x14ac:dyDescent="0.2">
      <c r="A409" s="24">
        <v>398</v>
      </c>
      <c r="B409" s="29">
        <f t="shared" si="257"/>
        <v>3.9825399042208467</v>
      </c>
      <c r="C409" s="29">
        <f t="shared" si="258"/>
        <v>-4.5297648117506197</v>
      </c>
      <c r="D409" s="29">
        <f t="shared" si="259"/>
        <v>-3.2598277958897981</v>
      </c>
      <c r="E409" s="29">
        <f t="shared" si="260"/>
        <v>-0.42678556054837724</v>
      </c>
      <c r="F409" s="29">
        <f t="shared" si="261"/>
        <v>0.54403261836585193</v>
      </c>
      <c r="G409" s="29">
        <f t="shared" si="262"/>
        <v>0.7805491490886084</v>
      </c>
      <c r="H409" s="29">
        <f t="shared" si="263"/>
        <v>3.866158047175313</v>
      </c>
      <c r="I409" s="29">
        <f t="shared" si="264"/>
        <v>0.460437262813157</v>
      </c>
      <c r="J409" s="29">
        <f t="shared" si="265"/>
        <v>-0.99427436237502598</v>
      </c>
      <c r="K409" s="26">
        <f t="shared" si="228"/>
        <v>-3.2598277958897981</v>
      </c>
      <c r="L409" s="26">
        <f t="shared" si="229"/>
        <v>3.6975340680123502E-2</v>
      </c>
      <c r="M409" s="26">
        <f t="shared" si="230"/>
        <v>0.7805491490886084</v>
      </c>
      <c r="N409" s="26">
        <f t="shared" si="231"/>
        <v>0.68579845606991985</v>
      </c>
      <c r="O409" s="26">
        <f t="shared" si="232"/>
        <v>-0.53555468750319479</v>
      </c>
      <c r="P409" s="26">
        <f t="shared" si="233"/>
        <v>0.36922227982070793</v>
      </c>
      <c r="Q409" s="26">
        <f t="shared" si="234"/>
        <v>6.8162545958000573E-2</v>
      </c>
      <c r="R409" s="26">
        <f t="shared" si="235"/>
        <v>-7.7895926076404178</v>
      </c>
      <c r="S409" s="26">
        <f t="shared" si="236"/>
        <v>4.1385017595121297E-4</v>
      </c>
      <c r="T409" s="26">
        <f t="shared" si="237"/>
        <v>1.3245817674544602</v>
      </c>
      <c r="U409" s="26">
        <f t="shared" si="238"/>
        <v>0.78994298323313239</v>
      </c>
      <c r="V409" s="26">
        <f t="shared" si="239"/>
        <v>-0.62895516720862421</v>
      </c>
      <c r="W409" s="26">
        <f t="shared" si="240"/>
        <v>0.34774748820130436</v>
      </c>
      <c r="X409" s="26">
        <f t="shared" si="241"/>
        <v>0.21271666957385385</v>
      </c>
      <c r="Y409" s="26">
        <f t="shared" si="242"/>
        <v>0.7227121083310486</v>
      </c>
      <c r="Z409" s="26">
        <f t="shared" si="243"/>
        <v>0.6732039619993917</v>
      </c>
      <c r="AA409" s="26">
        <f t="shared" si="244"/>
        <v>0.35376358854023116</v>
      </c>
      <c r="AB409" s="26">
        <f t="shared" si="245"/>
        <v>0.58752994083380417</v>
      </c>
      <c r="AC409" s="26">
        <f t="shared" si="246"/>
        <v>1.8789592304775189</v>
      </c>
      <c r="AD409" s="26">
        <f t="shared" si="247"/>
        <v>0.86749153578249216</v>
      </c>
      <c r="AE409" s="26">
        <f t="shared" si="248"/>
        <v>8.7792465446412775E-3</v>
      </c>
      <c r="AF409" s="26">
        <f t="shared" si="249"/>
        <v>-3.8070527034195711</v>
      </c>
      <c r="AG409" s="26">
        <f t="shared" si="250"/>
        <v>2.1730833488865304E-2</v>
      </c>
      <c r="AH409" s="26">
        <f t="shared" si="251"/>
        <v>0.89779620690608308</v>
      </c>
      <c r="AI409" s="26">
        <f t="shared" si="252"/>
        <v>0.71049641201339531</v>
      </c>
      <c r="AJ409" s="26">
        <f t="shared" si="253"/>
        <v>-0.58312050242420588</v>
      </c>
      <c r="AK409" s="26">
        <f t="shared" si="254"/>
        <v>0.35821488261799245</v>
      </c>
      <c r="AL409" s="26">
        <f t="shared" si="255"/>
        <v>6.4158951064511055E-2</v>
      </c>
      <c r="AM409" s="27">
        <f t="shared" si="256"/>
        <v>0.35381741314100679</v>
      </c>
    </row>
    <row r="410" spans="1:39" ht="15" customHeight="1" x14ac:dyDescent="0.2">
      <c r="A410" s="24">
        <v>399</v>
      </c>
      <c r="B410" s="29">
        <f t="shared" si="257"/>
        <v>3.9887269632387663</v>
      </c>
      <c r="C410" s="29">
        <f t="shared" si="258"/>
        <v>-4.5362966803019207</v>
      </c>
      <c r="D410" s="29">
        <f t="shared" si="259"/>
        <v>-3.2652422058255022</v>
      </c>
      <c r="E410" s="29">
        <f t="shared" si="260"/>
        <v>-0.43288540173618922</v>
      </c>
      <c r="F410" s="29">
        <f t="shared" si="261"/>
        <v>0.54753631768354949</v>
      </c>
      <c r="G410" s="29">
        <f t="shared" si="262"/>
        <v>0.77722090327603865</v>
      </c>
      <c r="H410" s="29">
        <f t="shared" si="263"/>
        <v>3.871504282231331</v>
      </c>
      <c r="I410" s="29">
        <f t="shared" si="264"/>
        <v>0.46876970954902758</v>
      </c>
      <c r="J410" s="29">
        <f t="shared" si="265"/>
        <v>-0.99944249371536409</v>
      </c>
      <c r="K410" s="26">
        <f t="shared" si="228"/>
        <v>-3.2652422058255022</v>
      </c>
      <c r="L410" s="26">
        <f t="shared" si="229"/>
        <v>3.678302608204545E-2</v>
      </c>
      <c r="M410" s="26">
        <f t="shared" si="230"/>
        <v>0.77722090327603865</v>
      </c>
      <c r="N410" s="26">
        <f t="shared" si="231"/>
        <v>0.68508084611574083</v>
      </c>
      <c r="O410" s="26">
        <f t="shared" si="232"/>
        <v>-0.53589170147402054</v>
      </c>
      <c r="P410" s="26">
        <f t="shared" si="233"/>
        <v>0.36914379367455291</v>
      </c>
      <c r="Q410" s="26">
        <f t="shared" si="234"/>
        <v>6.8133570204220451E-2</v>
      </c>
      <c r="R410" s="26">
        <f t="shared" si="235"/>
        <v>-7.8015388861274229</v>
      </c>
      <c r="S410" s="26">
        <f t="shared" si="236"/>
        <v>4.0893763001723375E-4</v>
      </c>
      <c r="T410" s="26">
        <f t="shared" si="237"/>
        <v>1.3247572209595881</v>
      </c>
      <c r="U410" s="26">
        <f t="shared" si="238"/>
        <v>0.78997209529021273</v>
      </c>
      <c r="V410" s="26">
        <f t="shared" si="239"/>
        <v>-0.62754430026855701</v>
      </c>
      <c r="W410" s="26">
        <f t="shared" si="240"/>
        <v>0.34806756857611293</v>
      </c>
      <c r="X410" s="26">
        <f t="shared" si="241"/>
        <v>0.21250794757113056</v>
      </c>
      <c r="Y410" s="26">
        <f t="shared" si="242"/>
        <v>0.72348475741326412</v>
      </c>
      <c r="Z410" s="26">
        <f t="shared" si="243"/>
        <v>0.67337392234336912</v>
      </c>
      <c r="AA410" s="26">
        <f t="shared" si="244"/>
        <v>0.34433550153984943</v>
      </c>
      <c r="AB410" s="26">
        <f t="shared" si="245"/>
        <v>0.58524328217931654</v>
      </c>
      <c r="AC410" s="26">
        <f t="shared" si="246"/>
        <v>1.8818718535826149</v>
      </c>
      <c r="AD410" s="26">
        <f t="shared" si="247"/>
        <v>0.86782598350697604</v>
      </c>
      <c r="AE410" s="26">
        <f t="shared" si="248"/>
        <v>8.7349853179490844E-3</v>
      </c>
      <c r="AF410" s="26">
        <f t="shared" si="249"/>
        <v>-3.8128119228886566</v>
      </c>
      <c r="AG410" s="26">
        <f t="shared" si="250"/>
        <v>2.1608737167281813E-2</v>
      </c>
      <c r="AH410" s="26">
        <f t="shared" si="251"/>
        <v>0.89187181922339898</v>
      </c>
      <c r="AI410" s="26">
        <f t="shared" si="252"/>
        <v>0.7092762992550562</v>
      </c>
      <c r="AJ410" s="26">
        <f t="shared" si="253"/>
        <v>-0.58329693044681941</v>
      </c>
      <c r="AK410" s="26">
        <f t="shared" si="254"/>
        <v>0.35817432336300953</v>
      </c>
      <c r="AL410" s="26">
        <f t="shared" si="255"/>
        <v>6.4144422958274855E-2</v>
      </c>
      <c r="AM410" s="27">
        <f t="shared" si="256"/>
        <v>0.35352092605157492</v>
      </c>
    </row>
    <row r="411" spans="1:39" ht="15" customHeight="1" x14ac:dyDescent="0.2">
      <c r="A411" s="24">
        <v>400</v>
      </c>
      <c r="B411" s="29">
        <f t="shared" si="257"/>
        <v>3.9948970313976777</v>
      </c>
      <c r="C411" s="29">
        <f t="shared" si="258"/>
        <v>-4.5428020660891475</v>
      </c>
      <c r="D411" s="29">
        <f t="shared" si="259"/>
        <v>-3.2706296263684056</v>
      </c>
      <c r="E411" s="29">
        <f t="shared" si="260"/>
        <v>-0.43911935520792644</v>
      </c>
      <c r="F411" s="29">
        <f t="shared" si="261"/>
        <v>0.55108306976260457</v>
      </c>
      <c r="G411" s="29">
        <f t="shared" si="262"/>
        <v>0.77379870856062261</v>
      </c>
      <c r="H411" s="29">
        <f t="shared" si="263"/>
        <v>3.8768324338569609</v>
      </c>
      <c r="I411" s="29">
        <f t="shared" si="264"/>
        <v>0.47721234013049985</v>
      </c>
      <c r="J411" s="29">
        <f t="shared" si="265"/>
        <v>-1.004651396618315</v>
      </c>
      <c r="K411" s="26">
        <f t="shared" si="228"/>
        <v>-3.2706296263684056</v>
      </c>
      <c r="L411" s="26">
        <f t="shared" si="229"/>
        <v>3.6592625197677878E-2</v>
      </c>
      <c r="M411" s="26">
        <f t="shared" si="230"/>
        <v>0.77379870856062261</v>
      </c>
      <c r="N411" s="26">
        <f t="shared" si="231"/>
        <v>0.68434205722664077</v>
      </c>
      <c r="O411" s="26">
        <f t="shared" si="232"/>
        <v>-0.53621144583314029</v>
      </c>
      <c r="P411" s="26">
        <f t="shared" si="233"/>
        <v>0.36906933579429224</v>
      </c>
      <c r="Q411" s="26">
        <f t="shared" si="234"/>
        <v>6.8106087311820024E-2</v>
      </c>
      <c r="R411" s="26">
        <f t="shared" si="235"/>
        <v>-7.8134316924575531</v>
      </c>
      <c r="S411" s="26">
        <f t="shared" si="236"/>
        <v>4.0410497319905657E-4</v>
      </c>
      <c r="T411" s="26">
        <f t="shared" si="237"/>
        <v>1.3248817783232272</v>
      </c>
      <c r="U411" s="26">
        <f t="shared" si="238"/>
        <v>0.78999276062625046</v>
      </c>
      <c r="V411" s="26">
        <f t="shared" si="239"/>
        <v>-0.62609045536692731</v>
      </c>
      <c r="W411" s="26">
        <f t="shared" si="240"/>
        <v>0.34839754285412161</v>
      </c>
      <c r="X411" s="26">
        <f t="shared" si="241"/>
        <v>0.21229288107927313</v>
      </c>
      <c r="Y411" s="26">
        <f t="shared" si="242"/>
        <v>0.72426740502927212</v>
      </c>
      <c r="Z411" s="26">
        <f t="shared" si="243"/>
        <v>0.67354603565778115</v>
      </c>
      <c r="AA411" s="26">
        <f t="shared" si="244"/>
        <v>0.33467935335269616</v>
      </c>
      <c r="AB411" s="26">
        <f t="shared" si="245"/>
        <v>0.58289749809439562</v>
      </c>
      <c r="AC411" s="26">
        <f t="shared" si="246"/>
        <v>1.8847395992373883</v>
      </c>
      <c r="AD411" s="26">
        <f t="shared" si="247"/>
        <v>0.86815457869835699</v>
      </c>
      <c r="AE411" s="26">
        <f t="shared" si="248"/>
        <v>8.6916075591038696E-3</v>
      </c>
      <c r="AF411" s="26">
        <f t="shared" si="249"/>
        <v>-3.8185346610598754</v>
      </c>
      <c r="AG411" s="26">
        <f t="shared" si="250"/>
        <v>2.1488078839997808E-2</v>
      </c>
      <c r="AH411" s="26">
        <f t="shared" si="251"/>
        <v>0.88576242311530073</v>
      </c>
      <c r="AI411" s="26">
        <f t="shared" si="252"/>
        <v>0.70801491199329847</v>
      </c>
      <c r="AJ411" s="26">
        <f t="shared" si="253"/>
        <v>-0.58347226263052421</v>
      </c>
      <c r="AK411" s="26">
        <f t="shared" si="254"/>
        <v>0.35813401804260658</v>
      </c>
      <c r="AL411" s="26">
        <f t="shared" si="255"/>
        <v>6.4129987439671035E-2</v>
      </c>
      <c r="AM411" s="27">
        <f t="shared" si="256"/>
        <v>0.35322056338986801</v>
      </c>
    </row>
    <row r="412" spans="1:39" ht="15" customHeight="1" x14ac:dyDescent="0.2">
      <c r="A412" s="24">
        <v>401</v>
      </c>
      <c r="B412" s="29">
        <f t="shared" si="257"/>
        <v>4.0010507164543165</v>
      </c>
      <c r="C412" s="29">
        <f t="shared" si="258"/>
        <v>-4.5492812442029358</v>
      </c>
      <c r="D412" s="29">
        <f t="shared" si="259"/>
        <v>-3.2759899681819156</v>
      </c>
      <c r="E412" s="29">
        <f t="shared" si="260"/>
        <v>-0.44549016679469589</v>
      </c>
      <c r="F412" s="29">
        <f t="shared" si="261"/>
        <v>0.55467272780355803</v>
      </c>
      <c r="G412" s="29">
        <f t="shared" si="262"/>
        <v>0.77028002154750053</v>
      </c>
      <c r="H412" s="29">
        <f t="shared" si="263"/>
        <v>3.8821431005348654</v>
      </c>
      <c r="I412" s="29">
        <f t="shared" si="264"/>
        <v>0.48576793361451093</v>
      </c>
      <c r="J412" s="29">
        <f t="shared" si="265"/>
        <v>-1.0099015950840191</v>
      </c>
      <c r="K412" s="26">
        <f t="shared" si="228"/>
        <v>-3.2759899681819156</v>
      </c>
      <c r="L412" s="26">
        <f t="shared" si="229"/>
        <v>3.640412252097322E-2</v>
      </c>
      <c r="M412" s="26">
        <f t="shared" si="230"/>
        <v>0.77028002154750053</v>
      </c>
      <c r="N412" s="26">
        <f t="shared" si="231"/>
        <v>0.68358146490717364</v>
      </c>
      <c r="O412" s="26">
        <f t="shared" si="232"/>
        <v>-0.53651362634305899</v>
      </c>
      <c r="P412" s="26">
        <f t="shared" si="233"/>
        <v>0.36899897368298235</v>
      </c>
      <c r="Q412" s="26">
        <f t="shared" si="234"/>
        <v>6.8080121289547144E-2</v>
      </c>
      <c r="R412" s="26">
        <f t="shared" si="235"/>
        <v>-7.8252712123848518</v>
      </c>
      <c r="S412" s="26">
        <f t="shared" si="236"/>
        <v>3.9935067481401096E-4</v>
      </c>
      <c r="T412" s="26">
        <f t="shared" si="237"/>
        <v>1.3249527493510587</v>
      </c>
      <c r="U412" s="26">
        <f t="shared" si="238"/>
        <v>0.79000453477542998</v>
      </c>
      <c r="V412" s="26">
        <f t="shared" si="239"/>
        <v>-0.62459238821314234</v>
      </c>
      <c r="W412" s="26">
        <f t="shared" si="240"/>
        <v>0.34873770629937162</v>
      </c>
      <c r="X412" s="26">
        <f t="shared" si="241"/>
        <v>0.21207128759810176</v>
      </c>
      <c r="Y412" s="26">
        <f t="shared" si="242"/>
        <v>0.72506074827240097</v>
      </c>
      <c r="Z412" s="26">
        <f t="shared" si="243"/>
        <v>0.67372045335382924</v>
      </c>
      <c r="AA412" s="26">
        <f t="shared" si="244"/>
        <v>0.32478985475280464</v>
      </c>
      <c r="AB412" s="26">
        <f t="shared" si="245"/>
        <v>0.5804911308683296</v>
      </c>
      <c r="AC412" s="26">
        <f t="shared" si="246"/>
        <v>1.8875615917162301</v>
      </c>
      <c r="AD412" s="26">
        <f t="shared" si="247"/>
        <v>0.86847725473154425</v>
      </c>
      <c r="AE412" s="26">
        <f t="shared" si="248"/>
        <v>8.6491162614755496E-3</v>
      </c>
      <c r="AF412" s="26">
        <f t="shared" si="249"/>
        <v>-3.8242204959305348</v>
      </c>
      <c r="AG412" s="26">
        <f t="shared" si="250"/>
        <v>2.1368851243856037E-2</v>
      </c>
      <c r="AH412" s="26">
        <f t="shared" si="251"/>
        <v>0.87946258255636267</v>
      </c>
      <c r="AI412" s="26">
        <f t="shared" si="252"/>
        <v>0.70671084261848871</v>
      </c>
      <c r="AJ412" s="26">
        <f t="shared" si="253"/>
        <v>-0.5836471909795744</v>
      </c>
      <c r="AK412" s="26">
        <f t="shared" si="254"/>
        <v>0.35809380755372799</v>
      </c>
      <c r="AL412" s="26">
        <f t="shared" si="255"/>
        <v>6.4115587504163185E-2</v>
      </c>
      <c r="AM412" s="27">
        <f t="shared" si="256"/>
        <v>0.35291611265328765</v>
      </c>
    </row>
    <row r="413" spans="1:39" ht="15" customHeight="1" x14ac:dyDescent="0.2">
      <c r="A413" s="24">
        <v>402</v>
      </c>
      <c r="B413" s="29">
        <f t="shared" si="257"/>
        <v>4.0071886396071976</v>
      </c>
      <c r="C413" s="29">
        <f t="shared" si="258"/>
        <v>-4.5557344872920966</v>
      </c>
      <c r="D413" s="29">
        <f t="shared" si="259"/>
        <v>-3.2813231308094606</v>
      </c>
      <c r="E413" s="29">
        <f t="shared" si="260"/>
        <v>-0.45200066740334471</v>
      </c>
      <c r="F413" s="29">
        <f t="shared" si="261"/>
        <v>0.55830514895513661</v>
      </c>
      <c r="G413" s="29">
        <f t="shared" si="262"/>
        <v>0.76666222588349309</v>
      </c>
      <c r="H413" s="29">
        <f t="shared" si="263"/>
        <v>3.8874368912019395</v>
      </c>
      <c r="I413" s="29">
        <f t="shared" si="264"/>
        <v>0.49443935841205922</v>
      </c>
      <c r="J413" s="29">
        <f t="shared" si="265"/>
        <v>-1.0151936028864348</v>
      </c>
      <c r="K413" s="26">
        <f t="shared" si="228"/>
        <v>-3.2813231308094606</v>
      </c>
      <c r="L413" s="26">
        <f t="shared" si="229"/>
        <v>3.6217503089309808E-2</v>
      </c>
      <c r="M413" s="26">
        <f t="shared" si="230"/>
        <v>0.76666222588349309</v>
      </c>
      <c r="N413" s="26">
        <f t="shared" si="231"/>
        <v>0.6827984242883417</v>
      </c>
      <c r="O413" s="26">
        <f t="shared" si="232"/>
        <v>-0.53679793043993895</v>
      </c>
      <c r="P413" s="26">
        <f t="shared" si="233"/>
        <v>0.36893277914362099</v>
      </c>
      <c r="Q413" s="26">
        <f t="shared" si="234"/>
        <v>6.8055697763317907E-2</v>
      </c>
      <c r="R413" s="26">
        <f t="shared" si="235"/>
        <v>-7.8370576181015572</v>
      </c>
      <c r="S413" s="26">
        <f t="shared" si="236"/>
        <v>3.9467324263387296E-4</v>
      </c>
      <c r="T413" s="26">
        <f t="shared" si="237"/>
        <v>1.3249673748386297</v>
      </c>
      <c r="U413" s="26">
        <f t="shared" si="238"/>
        <v>0.79000696109505908</v>
      </c>
      <c r="V413" s="26">
        <f t="shared" si="239"/>
        <v>-0.62304880057814804</v>
      </c>
      <c r="W413" s="26">
        <f t="shared" si="240"/>
        <v>0.34908836729353832</v>
      </c>
      <c r="X413" s="26">
        <f t="shared" si="241"/>
        <v>0.21184297679629585</v>
      </c>
      <c r="Y413" s="26">
        <f t="shared" si="242"/>
        <v>0.72586550879773704</v>
      </c>
      <c r="Z413" s="26">
        <f t="shared" si="243"/>
        <v>0.67389733204372804</v>
      </c>
      <c r="AA413" s="26">
        <f t="shared" si="244"/>
        <v>0.31466155848014837</v>
      </c>
      <c r="AB413" s="26">
        <f t="shared" si="245"/>
        <v>0.57802268496098019</v>
      </c>
      <c r="AC413" s="26">
        <f t="shared" si="246"/>
        <v>1.8903369120826394</v>
      </c>
      <c r="AD413" s="26">
        <f t="shared" si="247"/>
        <v>0.86879394028875234</v>
      </c>
      <c r="AE413" s="26">
        <f t="shared" si="248"/>
        <v>8.6075150524757421E-3</v>
      </c>
      <c r="AF413" s="26">
        <f t="shared" si="249"/>
        <v>-3.8298689784943596</v>
      </c>
      <c r="AG413" s="26">
        <f t="shared" si="250"/>
        <v>2.1251047714114981E-2</v>
      </c>
      <c r="AH413" s="26">
        <f t="shared" si="251"/>
        <v>0.87296670743528493</v>
      </c>
      <c r="AI413" s="26">
        <f t="shared" si="252"/>
        <v>0.70536263291388557</v>
      </c>
      <c r="AJ413" s="26">
        <f t="shared" si="253"/>
        <v>-0.5838224483601091</v>
      </c>
      <c r="AK413" s="26">
        <f t="shared" si="254"/>
        <v>0.35805352343283881</v>
      </c>
      <c r="AL413" s="26">
        <f t="shared" si="255"/>
        <v>6.4101162821335225E-2</v>
      </c>
      <c r="AM413" s="27">
        <f t="shared" si="256"/>
        <v>0.35260735243342473</v>
      </c>
    </row>
    <row r="414" spans="1:39" ht="15" customHeight="1" x14ac:dyDescent="0.2">
      <c r="A414" s="24">
        <v>403</v>
      </c>
      <c r="B414" s="29">
        <f t="shared" si="257"/>
        <v>4.0133114362564477</v>
      </c>
      <c r="C414" s="29">
        <f t="shared" si="258"/>
        <v>-4.5621620655194359</v>
      </c>
      <c r="D414" s="29">
        <f t="shared" si="259"/>
        <v>-3.2866290021909861</v>
      </c>
      <c r="E414" s="29">
        <f t="shared" si="260"/>
        <v>-0.45865377552855979</v>
      </c>
      <c r="F414" s="29">
        <f t="shared" si="261"/>
        <v>0.56198019582034264</v>
      </c>
      <c r="G414" s="29">
        <f t="shared" si="262"/>
        <v>0.762942630577781</v>
      </c>
      <c r="H414" s="29">
        <f t="shared" si="263"/>
        <v>3.8927144258743791</v>
      </c>
      <c r="I414" s="29">
        <f t="shared" si="264"/>
        <v>0.50322957600337082</v>
      </c>
      <c r="J414" s="29">
        <f t="shared" si="265"/>
        <v>-1.0205279226004265</v>
      </c>
      <c r="K414" s="26">
        <f t="shared" si="228"/>
        <v>-3.2866290021909861</v>
      </c>
      <c r="L414" s="26">
        <f t="shared" si="229"/>
        <v>3.6032752489815294E-2</v>
      </c>
      <c r="M414" s="26">
        <f t="shared" si="230"/>
        <v>0.762942630577781</v>
      </c>
      <c r="N414" s="26">
        <f t="shared" si="231"/>
        <v>0.68199226951641256</v>
      </c>
      <c r="O414" s="26">
        <f t="shared" si="232"/>
        <v>-0.53706402655304064</v>
      </c>
      <c r="P414" s="26">
        <f t="shared" si="233"/>
        <v>0.3688708284393814</v>
      </c>
      <c r="Q414" s="26">
        <f t="shared" si="234"/>
        <v>6.803284403677777E-2</v>
      </c>
      <c r="R414" s="26">
        <f t="shared" si="235"/>
        <v>-7.8487910677104225</v>
      </c>
      <c r="S414" s="26">
        <f t="shared" si="236"/>
        <v>3.9007122198864022E-4</v>
      </c>
      <c r="T414" s="26">
        <f t="shared" si="237"/>
        <v>1.3249228263981236</v>
      </c>
      <c r="U414" s="26">
        <f t="shared" si="238"/>
        <v>0.78999957059316339</v>
      </c>
      <c r="V414" s="26">
        <f t="shared" si="239"/>
        <v>-0.62145833777503023</v>
      </c>
      <c r="W414" s="26">
        <f t="shared" si="240"/>
        <v>0.34944984797023571</v>
      </c>
      <c r="X414" s="26">
        <f t="shared" si="241"/>
        <v>0.21160775015297473</v>
      </c>
      <c r="Y414" s="26">
        <f t="shared" si="242"/>
        <v>0.72668243406546162</v>
      </c>
      <c r="Z414" s="26">
        <f t="shared" si="243"/>
        <v>0.67407683379991101</v>
      </c>
      <c r="AA414" s="26">
        <f t="shared" si="244"/>
        <v>0.30428885504922121</v>
      </c>
      <c r="AB414" s="26">
        <f t="shared" si="245"/>
        <v>0.57549062683607244</v>
      </c>
      <c r="AC414" s="26">
        <f t="shared" si="246"/>
        <v>1.8930645966168445</v>
      </c>
      <c r="AD414" s="26">
        <f t="shared" si="247"/>
        <v>0.86910455919647134</v>
      </c>
      <c r="AE414" s="26">
        <f t="shared" si="248"/>
        <v>8.5668082115750374E-3</v>
      </c>
      <c r="AF414" s="26">
        <f t="shared" si="249"/>
        <v>-3.8354796314539743</v>
      </c>
      <c r="AG414" s="26">
        <f t="shared" si="250"/>
        <v>2.1134662198450321E-2</v>
      </c>
      <c r="AH414" s="26">
        <f t="shared" si="251"/>
        <v>0.86626905086956385</v>
      </c>
      <c r="AI414" s="26">
        <f t="shared" si="252"/>
        <v>0.70396877250207712</v>
      </c>
      <c r="AJ414" s="26">
        <f t="shared" si="253"/>
        <v>-0.58399881126870334</v>
      </c>
      <c r="AK414" s="26">
        <f t="shared" si="254"/>
        <v>0.35801298722194497</v>
      </c>
      <c r="AL414" s="26">
        <f t="shared" si="255"/>
        <v>6.4086649509790261E-2</v>
      </c>
      <c r="AM414" s="27">
        <f t="shared" si="256"/>
        <v>0.35229405191111779</v>
      </c>
    </row>
    <row r="415" spans="1:39" ht="15" customHeight="1" x14ac:dyDescent="0.2">
      <c r="A415" s="24">
        <v>404</v>
      </c>
      <c r="B415" s="29">
        <f t="shared" si="257"/>
        <v>4.0194197567968795</v>
      </c>
      <c r="C415" s="29">
        <f t="shared" si="258"/>
        <v>-4.5685642465110972</v>
      </c>
      <c r="D415" s="29">
        <f t="shared" si="259"/>
        <v>-3.2919074581568633</v>
      </c>
      <c r="E415" s="29">
        <f t="shared" si="260"/>
        <v>-0.46545249977314485</v>
      </c>
      <c r="F415" s="29">
        <f t="shared" si="261"/>
        <v>0.5656977381357623</v>
      </c>
      <c r="G415" s="29">
        <f t="shared" si="262"/>
        <v>0.75911846834108299</v>
      </c>
      <c r="H415" s="29">
        <f t="shared" si="263"/>
        <v>3.8979763362997053</v>
      </c>
      <c r="I415" s="29">
        <f t="shared" si="264"/>
        <v>0.51214164479219171</v>
      </c>
      <c r="J415" s="29">
        <f t="shared" si="265"/>
        <v>-1.0259050445581595</v>
      </c>
      <c r="K415" s="26">
        <f t="shared" si="228"/>
        <v>-3.2919074581568633</v>
      </c>
      <c r="L415" s="26">
        <f t="shared" si="229"/>
        <v>3.5849856866256781E-2</v>
      </c>
      <c r="M415" s="26">
        <f t="shared" si="230"/>
        <v>0.75911846834108299</v>
      </c>
      <c r="N415" s="26">
        <f t="shared" si="231"/>
        <v>0.68116231313500175</v>
      </c>
      <c r="O415" s="26">
        <f t="shared" si="232"/>
        <v>-0.53731156341434527</v>
      </c>
      <c r="P415" s="26">
        <f t="shared" si="233"/>
        <v>0.36881320245643318</v>
      </c>
      <c r="Q415" s="26">
        <f t="shared" si="234"/>
        <v>6.8011589153084986E-2</v>
      </c>
      <c r="R415" s="26">
        <f t="shared" si="235"/>
        <v>-7.86047170466796</v>
      </c>
      <c r="S415" s="26">
        <f t="shared" si="236"/>
        <v>3.8554319490267079E-4</v>
      </c>
      <c r="T415" s="26">
        <f t="shared" si="237"/>
        <v>1.3248162064768452</v>
      </c>
      <c r="U415" s="26">
        <f t="shared" si="238"/>
        <v>0.78998188177475226</v>
      </c>
      <c r="V415" s="26">
        <f t="shared" si="239"/>
        <v>-0.61981958601965514</v>
      </c>
      <c r="W415" s="26">
        <f t="shared" si="240"/>
        <v>0.34982248488127671</v>
      </c>
      <c r="X415" s="26">
        <f t="shared" si="241"/>
        <v>0.21136540058297879</v>
      </c>
      <c r="Y415" s="26">
        <f t="shared" si="242"/>
        <v>0.72751229864001621</v>
      </c>
      <c r="Z415" s="26">
        <f t="shared" si="243"/>
        <v>0.67425912642524732</v>
      </c>
      <c r="AA415" s="26">
        <f t="shared" si="244"/>
        <v>0.29366596856793814</v>
      </c>
      <c r="AB415" s="26">
        <f t="shared" si="245"/>
        <v>0.57289338491223962</v>
      </c>
      <c r="AC415" s="26">
        <f t="shared" si="246"/>
        <v>1.8957436352210866</v>
      </c>
      <c r="AD415" s="26">
        <f t="shared" si="247"/>
        <v>0.86940903025877181</v>
      </c>
      <c r="AE415" s="26">
        <f t="shared" si="248"/>
        <v>8.5270006889771877E-3</v>
      </c>
      <c r="AF415" s="26">
        <f t="shared" si="249"/>
        <v>-3.841051947871081</v>
      </c>
      <c r="AG415" s="26">
        <f t="shared" si="250"/>
        <v>2.1019689271888353E-2</v>
      </c>
      <c r="AH415" s="26">
        <f t="shared" si="251"/>
        <v>0.85936370670370044</v>
      </c>
      <c r="AI415" s="26">
        <f t="shared" si="252"/>
        <v>0.70252769729894993</v>
      </c>
      <c r="AJ415" s="26">
        <f t="shared" si="253"/>
        <v>-0.58417710277321067</v>
      </c>
      <c r="AK415" s="26">
        <f t="shared" si="254"/>
        <v>0.35797200979559518</v>
      </c>
      <c r="AL415" s="26">
        <f t="shared" si="255"/>
        <v>6.4071979898548848E-2</v>
      </c>
      <c r="AM415" s="27">
        <f t="shared" si="256"/>
        <v>0.35197597032358985</v>
      </c>
    </row>
    <row r="416" spans="1:39" ht="15" customHeight="1" x14ac:dyDescent="0.2">
      <c r="A416" s="24">
        <v>405</v>
      </c>
      <c r="B416" s="29">
        <f t="shared" si="257"/>
        <v>4.0255142674453763</v>
      </c>
      <c r="C416" s="29">
        <f t="shared" si="258"/>
        <v>-4.5749412952989177</v>
      </c>
      <c r="D416" s="29">
        <f t="shared" si="259"/>
        <v>-3.2971583618984073</v>
      </c>
      <c r="E416" s="29">
        <f t="shared" si="260"/>
        <v>-0.47239994136533314</v>
      </c>
      <c r="F416" s="29">
        <f t="shared" si="261"/>
        <v>0.56945765464174192</v>
      </c>
      <c r="G416" s="29">
        <f t="shared" si="262"/>
        <v>0.75518689395348992</v>
      </c>
      <c r="H416" s="29">
        <f t="shared" si="263"/>
        <v>3.9032232666367177</v>
      </c>
      <c r="I416" s="29">
        <f t="shared" si="264"/>
        <v>0.52117872409971866</v>
      </c>
      <c r="J416" s="29">
        <f t="shared" si="265"/>
        <v>-1.0313254457305259</v>
      </c>
      <c r="K416" s="26">
        <f t="shared" si="228"/>
        <v>-3.2971583618984073</v>
      </c>
      <c r="L416" s="26">
        <f t="shared" si="229"/>
        <v>3.5668802926511145E-2</v>
      </c>
      <c r="M416" s="26">
        <f t="shared" si="230"/>
        <v>0.75518689395348992</v>
      </c>
      <c r="N416" s="26">
        <f t="shared" si="231"/>
        <v>0.68030784546249401</v>
      </c>
      <c r="O416" s="26">
        <f t="shared" si="232"/>
        <v>-0.5375401693615165</v>
      </c>
      <c r="P416" s="26">
        <f t="shared" si="233"/>
        <v>0.36875998686864192</v>
      </c>
      <c r="Q416" s="26">
        <f t="shared" si="234"/>
        <v>6.7991963957680479E-2</v>
      </c>
      <c r="R416" s="26">
        <f t="shared" si="235"/>
        <v>-7.8720996571973245</v>
      </c>
      <c r="S416" s="26">
        <f t="shared" si="236"/>
        <v>3.8108777926234764E-4</v>
      </c>
      <c r="T416" s="26">
        <f t="shared" si="237"/>
        <v>1.3246445485952318</v>
      </c>
      <c r="U416" s="26">
        <f t="shared" si="238"/>
        <v>0.78995340051070884</v>
      </c>
      <c r="V416" s="26">
        <f t="shared" si="239"/>
        <v>-0.61813106966747289</v>
      </c>
      <c r="W416" s="26">
        <f t="shared" si="240"/>
        <v>0.35020662969612959</v>
      </c>
      <c r="X416" s="26">
        <f t="shared" si="241"/>
        <v>0.21111571204543142</v>
      </c>
      <c r="Y416" s="26">
        <f t="shared" si="242"/>
        <v>0.72835590554696905</v>
      </c>
      <c r="Z416" s="26">
        <f t="shared" si="243"/>
        <v>0.67444438373457183</v>
      </c>
      <c r="AA416" s="26">
        <f t="shared" si="244"/>
        <v>0.28278695258815678</v>
      </c>
      <c r="AB416" s="26">
        <f t="shared" si="245"/>
        <v>0.57022934964907857</v>
      </c>
      <c r="AC416" s="26">
        <f t="shared" si="246"/>
        <v>1.8983729698090366</v>
      </c>
      <c r="AD416" s="26">
        <f t="shared" si="247"/>
        <v>0.86970726708746726</v>
      </c>
      <c r="AE416" s="26">
        <f t="shared" si="248"/>
        <v>8.4880981249082967E-3</v>
      </c>
      <c r="AF416" s="26">
        <f t="shared" si="249"/>
        <v>-3.8465853897519486</v>
      </c>
      <c r="AG416" s="26">
        <f t="shared" si="250"/>
        <v>2.0906124152704902E-2</v>
      </c>
      <c r="AH416" s="26">
        <f t="shared" si="251"/>
        <v>0.8522446072298987</v>
      </c>
      <c r="AI416" s="26">
        <f t="shared" si="252"/>
        <v>0.70103778798582939</v>
      </c>
      <c r="AJ416" s="26">
        <f t="shared" si="253"/>
        <v>-0.58435819563434865</v>
      </c>
      <c r="AK416" s="26">
        <f t="shared" si="254"/>
        <v>0.35793039064702004</v>
      </c>
      <c r="AL416" s="26">
        <f t="shared" si="255"/>
        <v>6.4057082274364185E-2</v>
      </c>
      <c r="AM416" s="27">
        <f t="shared" si="256"/>
        <v>0.35165285640238442</v>
      </c>
    </row>
    <row r="417" spans="1:39" ht="15" customHeight="1" x14ac:dyDescent="0.2">
      <c r="A417" s="24">
        <v>406</v>
      </c>
      <c r="B417" s="29">
        <f t="shared" si="257"/>
        <v>4.0315956511036211</v>
      </c>
      <c r="C417" s="29">
        <f t="shared" si="258"/>
        <v>-4.5812934742552605</v>
      </c>
      <c r="D417" s="29">
        <f t="shared" si="259"/>
        <v>-3.302381563414245</v>
      </c>
      <c r="E417" s="29">
        <f t="shared" si="260"/>
        <v>-0.47949929666020069</v>
      </c>
      <c r="F417" s="29">
        <f t="shared" si="261"/>
        <v>0.57325983516276668</v>
      </c>
      <c r="G417" s="29">
        <f t="shared" si="262"/>
        <v>0.75114498267255636</v>
      </c>
      <c r="H417" s="29">
        <f t="shared" si="263"/>
        <v>3.9084558741643427</v>
      </c>
      <c r="I417" s="29">
        <f t="shared" si="264"/>
        <v>0.53034407829783692</v>
      </c>
      <c r="J417" s="29">
        <f t="shared" si="265"/>
        <v>-1.0367895885292306</v>
      </c>
      <c r="K417" s="26">
        <f t="shared" si="228"/>
        <v>-3.302381563414245</v>
      </c>
      <c r="L417" s="26">
        <f t="shared" si="229"/>
        <v>3.5489577950627682E-2</v>
      </c>
      <c r="M417" s="26">
        <f t="shared" si="230"/>
        <v>0.75114498267255636</v>
      </c>
      <c r="N417" s="26">
        <f t="shared" si="231"/>
        <v>0.67942813396726631</v>
      </c>
      <c r="O417" s="26">
        <f t="shared" si="232"/>
        <v>-0.53774945163799748</v>
      </c>
      <c r="P417" s="26">
        <f t="shared" si="233"/>
        <v>0.36871127230329614</v>
      </c>
      <c r="Q417" s="26">
        <f t="shared" si="234"/>
        <v>6.7974001161757697E-2</v>
      </c>
      <c r="R417" s="26">
        <f t="shared" si="235"/>
        <v>-7.8836750376695051</v>
      </c>
      <c r="S417" s="26">
        <f t="shared" si="236"/>
        <v>3.7670362801446388E-4</v>
      </c>
      <c r="T417" s="26">
        <f t="shared" si="237"/>
        <v>1.3244048178353229</v>
      </c>
      <c r="U417" s="26">
        <f t="shared" si="238"/>
        <v>0.78991361993380138</v>
      </c>
      <c r="V417" s="26">
        <f t="shared" si="239"/>
        <v>-0.61639124832279868</v>
      </c>
      <c r="W417" s="26">
        <f t="shared" si="240"/>
        <v>0.35060264993579232</v>
      </c>
      <c r="X417" s="26">
        <f t="shared" si="241"/>
        <v>0.21085845913520751</v>
      </c>
      <c r="Y417" s="26">
        <f t="shared" si="242"/>
        <v>0.72921408768937601</v>
      </c>
      <c r="Z417" s="26">
        <f t="shared" si="243"/>
        <v>0.67463278584780695</v>
      </c>
      <c r="AA417" s="26">
        <f t="shared" si="244"/>
        <v>0.27164568601235567</v>
      </c>
      <c r="AB417" s="26">
        <f t="shared" si="245"/>
        <v>0.56749687378732061</v>
      </c>
      <c r="AC417" s="26">
        <f t="shared" si="246"/>
        <v>1.900951492687126</v>
      </c>
      <c r="AD417" s="26">
        <f t="shared" si="247"/>
        <v>0.86999917792976944</v>
      </c>
      <c r="AE417" s="26">
        <f t="shared" si="248"/>
        <v>8.4501068694678733E-3</v>
      </c>
      <c r="AF417" s="26">
        <f t="shared" si="249"/>
        <v>-3.8520793865658844</v>
      </c>
      <c r="AG417" s="26">
        <f t="shared" si="250"/>
        <v>2.0793962719322531E-2</v>
      </c>
      <c r="AH417" s="26">
        <f t="shared" si="251"/>
        <v>0.84490552117512241</v>
      </c>
      <c r="AI417" s="26">
        <f t="shared" si="252"/>
        <v>0.6994973685121848</v>
      </c>
      <c r="AJ417" s="26">
        <f t="shared" si="253"/>
        <v>-0.58454301561638311</v>
      </c>
      <c r="AK417" s="26">
        <f t="shared" si="254"/>
        <v>0.35788791713160217</v>
      </c>
      <c r="AL417" s="26">
        <f t="shared" si="255"/>
        <v>6.4041880614398278E-2</v>
      </c>
      <c r="AM417" s="27">
        <f t="shared" si="256"/>
        <v>0.35132444778083138</v>
      </c>
    </row>
    <row r="418" spans="1:39" ht="15" customHeight="1" x14ac:dyDescent="0.2">
      <c r="A418" s="24">
        <v>407</v>
      </c>
      <c r="B418" s="29">
        <f t="shared" si="257"/>
        <v>4.0376646082570993</v>
      </c>
      <c r="C418" s="29">
        <f t="shared" si="258"/>
        <v>-4.5876210430197553</v>
      </c>
      <c r="D418" s="29">
        <f t="shared" si="259"/>
        <v>-3.3075768989318246</v>
      </c>
      <c r="E418" s="29">
        <f t="shared" si="260"/>
        <v>-0.48675385961024237</v>
      </c>
      <c r="F418" s="29">
        <f t="shared" si="261"/>
        <v>0.57710418291919341</v>
      </c>
      <c r="G418" s="29">
        <f t="shared" si="262"/>
        <v>0.74698972869485258</v>
      </c>
      <c r="H418" s="29">
        <f t="shared" si="263"/>
        <v>3.9136748300202986</v>
      </c>
      <c r="I418" s="29">
        <f t="shared" si="264"/>
        <v>0.53964108108032882</v>
      </c>
      <c r="J418" s="29">
        <f t="shared" si="265"/>
        <v>-1.0422979195251174</v>
      </c>
      <c r="K418" s="26">
        <f t="shared" si="228"/>
        <v>-3.3075768989318246</v>
      </c>
      <c r="L418" s="26">
        <f t="shared" si="229"/>
        <v>3.5312169799493275E-2</v>
      </c>
      <c r="M418" s="26">
        <f t="shared" si="230"/>
        <v>0.74698972869485258</v>
      </c>
      <c r="N418" s="26">
        <f t="shared" si="231"/>
        <v>0.67852242264358342</v>
      </c>
      <c r="O418" s="26">
        <f t="shared" si="232"/>
        <v>-0.53793899569481052</v>
      </c>
      <c r="P418" s="26">
        <f t="shared" si="233"/>
        <v>0.36866715450683052</v>
      </c>
      <c r="Q418" s="26">
        <f t="shared" si="234"/>
        <v>6.7957735406081618E-2</v>
      </c>
      <c r="R418" s="26">
        <f t="shared" si="235"/>
        <v>-7.8951979419515794</v>
      </c>
      <c r="S418" s="26">
        <f t="shared" si="236"/>
        <v>3.7238942839451419E-4</v>
      </c>
      <c r="T418" s="26">
        <f t="shared" si="237"/>
        <v>1.324093911614046</v>
      </c>
      <c r="U418" s="26">
        <f t="shared" si="238"/>
        <v>0.789862020366913</v>
      </c>
      <c r="V418" s="26">
        <f t="shared" si="239"/>
        <v>-0.61459851381715058</v>
      </c>
      <c r="W418" s="26">
        <f t="shared" si="240"/>
        <v>0.35101092974227505</v>
      </c>
      <c r="X418" s="26">
        <f t="shared" si="241"/>
        <v>0.21059340665699317</v>
      </c>
      <c r="Y418" s="26">
        <f t="shared" si="242"/>
        <v>0.73008770932527467</v>
      </c>
      <c r="Z418" s="26">
        <f t="shared" si="243"/>
        <v>0.67482451949490641</v>
      </c>
      <c r="AA418" s="26">
        <f t="shared" si="244"/>
        <v>0.26023586908461022</v>
      </c>
      <c r="AB418" s="26">
        <f t="shared" si="245"/>
        <v>0.56469427276424589</v>
      </c>
      <c r="AC418" s="26">
        <f t="shared" si="246"/>
        <v>1.9034780449370081</v>
      </c>
      <c r="AD418" s="26">
        <f t="shared" si="247"/>
        <v>0.87028466549421646</v>
      </c>
      <c r="AE418" s="26">
        <f t="shared" si="248"/>
        <v>8.4130340029736593E-3</v>
      </c>
      <c r="AF418" s="26">
        <f t="shared" si="249"/>
        <v>-3.8575333336944806</v>
      </c>
      <c r="AG418" s="26">
        <f t="shared" si="250"/>
        <v>2.0683201528237331E-2</v>
      </c>
      <c r="AH418" s="26">
        <f t="shared" si="251"/>
        <v>0.83734005200380368</v>
      </c>
      <c r="AI418" s="26">
        <f t="shared" si="252"/>
        <v>0.69790470464328924</v>
      </c>
      <c r="AJ418" s="26">
        <f t="shared" si="253"/>
        <v>-0.58473254499506544</v>
      </c>
      <c r="AK418" s="26">
        <f t="shared" si="254"/>
        <v>0.35784436366593275</v>
      </c>
      <c r="AL418" s="26">
        <f t="shared" si="255"/>
        <v>6.4026294303738171E-2</v>
      </c>
      <c r="AM418" s="27">
        <f t="shared" si="256"/>
        <v>0.35099047036978664</v>
      </c>
    </row>
    <row r="419" spans="1:39" ht="15" customHeight="1" x14ac:dyDescent="0.2">
      <c r="A419" s="24">
        <v>408</v>
      </c>
      <c r="B419" s="29">
        <f t="shared" si="257"/>
        <v>4.0437218579112439</v>
      </c>
      <c r="C419" s="29">
        <f t="shared" si="258"/>
        <v>-4.5939242584173572</v>
      </c>
      <c r="D419" s="29">
        <f t="shared" si="259"/>
        <v>-3.3127441903034223</v>
      </c>
      <c r="E419" s="29">
        <f t="shared" si="260"/>
        <v>-0.49416702418793873</v>
      </c>
      <c r="F419" s="29">
        <f t="shared" si="261"/>
        <v>0.58099061709345912</v>
      </c>
      <c r="G419" s="29">
        <f t="shared" si="262"/>
        <v>0.74271804368595096</v>
      </c>
      <c r="H419" s="29">
        <f t="shared" si="263"/>
        <v>3.9188808199704632</v>
      </c>
      <c r="I419" s="29">
        <f t="shared" si="264"/>
        <v>0.54907321986953983</v>
      </c>
      <c r="J419" s="29">
        <f t="shared" si="265"/>
        <v>-1.0478508680782956</v>
      </c>
      <c r="K419" s="26">
        <f t="shared" si="228"/>
        <v>-3.3127441903034223</v>
      </c>
      <c r="L419" s="26">
        <f t="shared" si="229"/>
        <v>3.5136566924108291E-2</v>
      </c>
      <c r="M419" s="26">
        <f t="shared" si="230"/>
        <v>0.74271804368595096</v>
      </c>
      <c r="N419" s="26">
        <f t="shared" si="231"/>
        <v>0.67758993139152013</v>
      </c>
      <c r="O419" s="26">
        <f t="shared" si="232"/>
        <v>-0.53810836449947652</v>
      </c>
      <c r="P419" s="26">
        <f t="shared" si="233"/>
        <v>0.3686277345093194</v>
      </c>
      <c r="Q419" s="26">
        <f t="shared" si="234"/>
        <v>6.7943203324736634E-2</v>
      </c>
      <c r="R419" s="26">
        <f t="shared" si="235"/>
        <v>-7.9066684487207795</v>
      </c>
      <c r="S419" s="26">
        <f t="shared" si="236"/>
        <v>3.6814390118410095E-4</v>
      </c>
      <c r="T419" s="26">
        <f t="shared" si="237"/>
        <v>1.3237086607794102</v>
      </c>
      <c r="U419" s="26">
        <f t="shared" si="238"/>
        <v>0.78979806928925633</v>
      </c>
      <c r="V419" s="26">
        <f t="shared" si="239"/>
        <v>-0.61275118705355824</v>
      </c>
      <c r="W419" s="26">
        <f t="shared" si="240"/>
        <v>0.35143187068483056</v>
      </c>
      <c r="X419" s="26">
        <f t="shared" si="241"/>
        <v>0.2103203091816892</v>
      </c>
      <c r="Y419" s="26">
        <f t="shared" si="242"/>
        <v>0.73097766760782168</v>
      </c>
      <c r="Z419" s="26">
        <f t="shared" si="243"/>
        <v>0.67501977833281812</v>
      </c>
      <c r="AA419" s="26">
        <f t="shared" si="244"/>
        <v>0.24855101949801223</v>
      </c>
      <c r="AB419" s="26">
        <f t="shared" si="245"/>
        <v>0.5618198253276353</v>
      </c>
      <c r="AC419" s="26">
        <f t="shared" si="246"/>
        <v>1.905951414810086</v>
      </c>
      <c r="AD419" s="26">
        <f t="shared" si="247"/>
        <v>0.87056362677580656</v>
      </c>
      <c r="AE419" s="26">
        <f t="shared" si="248"/>
        <v>8.3768873567163504E-3</v>
      </c>
      <c r="AF419" s="26">
        <f t="shared" si="249"/>
        <v>-3.8629465908095355</v>
      </c>
      <c r="AG419" s="26">
        <f t="shared" si="250"/>
        <v>2.0573837833005197E-2</v>
      </c>
      <c r="AH419" s="26">
        <f t="shared" si="251"/>
        <v>0.8295416365914714</v>
      </c>
      <c r="AI419" s="26">
        <f t="shared" si="252"/>
        <v>0.6962580025694477</v>
      </c>
      <c r="AJ419" s="26">
        <f t="shared" si="253"/>
        <v>-0.58492782627060791</v>
      </c>
      <c r="AK419" s="26">
        <f t="shared" si="254"/>
        <v>0.35779949088081631</v>
      </c>
      <c r="AL419" s="26">
        <f t="shared" si="255"/>
        <v>6.4010237837285669E-2</v>
      </c>
      <c r="AM419" s="27">
        <f t="shared" si="256"/>
        <v>0.35065063770042781</v>
      </c>
    </row>
    <row r="420" spans="1:39" ht="15" customHeight="1" x14ac:dyDescent="0.2">
      <c r="A420" s="24">
        <v>409</v>
      </c>
      <c r="B420" s="29">
        <f t="shared" si="257"/>
        <v>4.0497681385654314</v>
      </c>
      <c r="C420" s="29">
        <f t="shared" si="258"/>
        <v>-4.6002033743671014</v>
      </c>
      <c r="D420" s="29">
        <f t="shared" si="259"/>
        <v>-3.3178832443760964</v>
      </c>
      <c r="E420" s="29">
        <f t="shared" si="260"/>
        <v>-0.50174228674065569</v>
      </c>
      <c r="F420" s="29">
        <f t="shared" si="261"/>
        <v>0.58491907567600177</v>
      </c>
      <c r="G420" s="29">
        <f t="shared" si="262"/>
        <v>0.7383267553957753</v>
      </c>
      <c r="H420" s="29">
        <f t="shared" si="263"/>
        <v>3.9240745452097681</v>
      </c>
      <c r="I420" s="29">
        <f t="shared" si="264"/>
        <v>0.55864410035460688</v>
      </c>
      <c r="J420" s="29">
        <f t="shared" si="265"/>
        <v>-1.0534488448756745</v>
      </c>
      <c r="K420" s="26">
        <f t="shared" si="228"/>
        <v>-3.3178832443760964</v>
      </c>
      <c r="L420" s="26">
        <f t="shared" si="229"/>
        <v>3.4962758375478624E-2</v>
      </c>
      <c r="M420" s="26">
        <f t="shared" si="230"/>
        <v>0.7383267553957753</v>
      </c>
      <c r="N420" s="26">
        <f t="shared" si="231"/>
        <v>0.67662985540478415</v>
      </c>
      <c r="O420" s="26">
        <f t="shared" si="232"/>
        <v>-0.53825709785846576</v>
      </c>
      <c r="P420" s="26">
        <f t="shared" si="233"/>
        <v>0.36859311878628687</v>
      </c>
      <c r="Q420" s="26">
        <f t="shared" si="234"/>
        <v>6.7930443608300889E-2</v>
      </c>
      <c r="R420" s="26">
        <f t="shared" si="235"/>
        <v>-7.9180866187431977</v>
      </c>
      <c r="S420" s="26">
        <f t="shared" si="236"/>
        <v>3.6396579999665622E-4</v>
      </c>
      <c r="T420" s="26">
        <f t="shared" si="237"/>
        <v>1.3232458310717772</v>
      </c>
      <c r="U420" s="26">
        <f t="shared" si="238"/>
        <v>0.78972122134707978</v>
      </c>
      <c r="V420" s="26">
        <f t="shared" si="239"/>
        <v>-0.61084751471419996</v>
      </c>
      <c r="W420" s="26">
        <f t="shared" si="240"/>
        <v>0.3518658926040007</v>
      </c>
      <c r="X420" s="26">
        <f t="shared" si="241"/>
        <v>0.21003891058500437</v>
      </c>
      <c r="Y420" s="26">
        <f t="shared" si="242"/>
        <v>0.731884894189335</v>
      </c>
      <c r="Z420" s="26">
        <f t="shared" si="243"/>
        <v>0.67521876327458896</v>
      </c>
      <c r="AA420" s="26">
        <f t="shared" si="244"/>
        <v>0.23658446865511962</v>
      </c>
      <c r="AB420" s="26">
        <f t="shared" si="245"/>
        <v>0.55887177437390279</v>
      </c>
      <c r="AC420" s="26">
        <f t="shared" si="246"/>
        <v>1.908370336146852</v>
      </c>
      <c r="AD420" s="26">
        <f t="shared" si="247"/>
        <v>0.87083595288145166</v>
      </c>
      <c r="AE420" s="26">
        <f t="shared" si="248"/>
        <v>8.3416755340212888E-3</v>
      </c>
      <c r="AF420" s="26">
        <f t="shared" si="249"/>
        <v>-3.8683184801777664</v>
      </c>
      <c r="AG420" s="26">
        <f t="shared" si="250"/>
        <v>2.0465869604314919E-2</v>
      </c>
      <c r="AH420" s="26">
        <f t="shared" si="251"/>
        <v>0.82150354433112138</v>
      </c>
      <c r="AI420" s="26">
        <f t="shared" si="252"/>
        <v>0.69455540759590584</v>
      </c>
      <c r="AJ420" s="26">
        <f t="shared" si="253"/>
        <v>-0.58512996609295786</v>
      </c>
      <c r="AK420" s="26">
        <f t="shared" si="254"/>
        <v>0.35775304472672709</v>
      </c>
      <c r="AL420" s="26">
        <f t="shared" si="255"/>
        <v>6.3993620505621795E-2</v>
      </c>
      <c r="AM420" s="27">
        <f t="shared" si="256"/>
        <v>0.35030465023294832</v>
      </c>
    </row>
    <row r="421" spans="1:39" ht="15" customHeight="1" x14ac:dyDescent="0.2">
      <c r="A421" s="24">
        <v>410</v>
      </c>
      <c r="B421" s="29">
        <f t="shared" si="257"/>
        <v>4.0558042092254025</v>
      </c>
      <c r="C421" s="29">
        <f t="shared" si="258"/>
        <v>-4.6064586417808986</v>
      </c>
      <c r="D421" s="29">
        <f t="shared" si="259"/>
        <v>-3.3229938523351459</v>
      </c>
      <c r="E421" s="29">
        <f t="shared" si="260"/>
        <v>-0.50948324825546476</v>
      </c>
      <c r="F421" s="29">
        <f t="shared" si="261"/>
        <v>0.58888951861840189</v>
      </c>
      <c r="G421" s="29">
        <f t="shared" si="262"/>
        <v>0.73381260637838874</v>
      </c>
      <c r="H421" s="29">
        <f t="shared" si="263"/>
        <v>3.9292567231953552</v>
      </c>
      <c r="I421" s="29">
        <f t="shared" si="264"/>
        <v>0.56835745115575331</v>
      </c>
      <c r="J421" s="29">
        <f t="shared" si="265"/>
        <v>-1.0590922403716112</v>
      </c>
      <c r="K421" s="26">
        <f t="shared" si="228"/>
        <v>-3.3229938523351459</v>
      </c>
      <c r="L421" s="26">
        <f t="shared" si="229"/>
        <v>3.4790733815125881E-2</v>
      </c>
      <c r="M421" s="26">
        <f t="shared" si="230"/>
        <v>0.73381260637838874</v>
      </c>
      <c r="N421" s="26">
        <f t="shared" si="231"/>
        <v>0.67564136457090984</v>
      </c>
      <c r="O421" s="26">
        <f t="shared" si="232"/>
        <v>-0.53838471176071045</v>
      </c>
      <c r="P421" s="26">
        <f t="shared" si="233"/>
        <v>0.36856341941611742</v>
      </c>
      <c r="Q421" s="26">
        <f t="shared" si="234"/>
        <v>6.7919497065850445E-2</v>
      </c>
      <c r="R421" s="26">
        <f t="shared" si="235"/>
        <v>-7.9294524941160445</v>
      </c>
      <c r="S421" s="26">
        <f t="shared" si="236"/>
        <v>3.5985391059067864E-4</v>
      </c>
      <c r="T421" s="26">
        <f t="shared" si="237"/>
        <v>1.3227021249967907</v>
      </c>
      <c r="U421" s="26">
        <f t="shared" si="238"/>
        <v>0.78963091841619859</v>
      </c>
      <c r="V421" s="26">
        <f t="shared" si="239"/>
        <v>-0.60888566582924741</v>
      </c>
      <c r="W421" s="26">
        <f t="shared" si="240"/>
        <v>0.35231343449445834</v>
      </c>
      <c r="X421" s="26">
        <f t="shared" si="241"/>
        <v>0.20974894356818219</v>
      </c>
      <c r="Y421" s="26">
        <f t="shared" si="242"/>
        <v>0.73281035689025664</v>
      </c>
      <c r="Z421" s="26">
        <f t="shared" si="243"/>
        <v>0.67542168283067594</v>
      </c>
      <c r="AA421" s="26">
        <f t="shared" si="244"/>
        <v>0.22432935812292398</v>
      </c>
      <c r="AB421" s="26">
        <f t="shared" si="245"/>
        <v>0.55584832803855855</v>
      </c>
      <c r="AC421" s="26">
        <f t="shared" si="246"/>
        <v>1.9107334868359254</v>
      </c>
      <c r="AD421" s="26">
        <f t="shared" si="247"/>
        <v>0.87110152885705971</v>
      </c>
      <c r="AE421" s="26">
        <f t="shared" si="248"/>
        <v>8.3074079314937044E-3</v>
      </c>
      <c r="AF421" s="26">
        <f t="shared" si="249"/>
        <v>-3.8736482848906419</v>
      </c>
      <c r="AG421" s="26">
        <f t="shared" si="250"/>
        <v>2.0359295551172336E-2</v>
      </c>
      <c r="AH421" s="26">
        <f t="shared" si="251"/>
        <v>0.81321887674132587</v>
      </c>
      <c r="AI421" s="26">
        <f t="shared" si="252"/>
        <v>0.69279500293534058</v>
      </c>
      <c r="AJ421" s="26">
        <f t="shared" si="253"/>
        <v>-0.58534013940587326</v>
      </c>
      <c r="AK421" s="26">
        <f t="shared" si="254"/>
        <v>0.35770475553042191</v>
      </c>
      <c r="AL421" s="26">
        <f t="shared" si="255"/>
        <v>6.3976346064539447E-2</v>
      </c>
      <c r="AM421" s="27">
        <f t="shared" si="256"/>
        <v>0.34995219463006577</v>
      </c>
    </row>
    <row r="422" spans="1:39" ht="15" customHeight="1" x14ac:dyDescent="0.2">
      <c r="A422" s="24">
        <v>411</v>
      </c>
      <c r="B422" s="29">
        <f t="shared" si="257"/>
        <v>4.0618308504544807</v>
      </c>
      <c r="C422" s="29">
        <f t="shared" si="258"/>
        <v>-4.6126903084517101</v>
      </c>
      <c r="D422" s="29">
        <f t="shared" si="259"/>
        <v>-3.3280757890207644</v>
      </c>
      <c r="E422" s="29">
        <f t="shared" si="260"/>
        <v>-0.51739361650841864</v>
      </c>
      <c r="F422" s="29">
        <f t="shared" si="261"/>
        <v>0.59290193132367963</v>
      </c>
      <c r="G422" s="29">
        <f t="shared" si="262"/>
        <v>0.72917225283764975</v>
      </c>
      <c r="H422" s="29">
        <f t="shared" si="263"/>
        <v>3.9344280885126373</v>
      </c>
      <c r="I422" s="29">
        <f t="shared" si="264"/>
        <v>0.57821712860729535</v>
      </c>
      <c r="J422" s="29">
        <f t="shared" si="265"/>
        <v>-1.0647814231275659</v>
      </c>
      <c r="K422" s="26">
        <f t="shared" si="228"/>
        <v>-3.3280757890207644</v>
      </c>
      <c r="L422" s="26">
        <f t="shared" si="229"/>
        <v>3.4620483526214031E-2</v>
      </c>
      <c r="M422" s="26">
        <f t="shared" si="230"/>
        <v>0.72917225283764975</v>
      </c>
      <c r="N422" s="26">
        <f t="shared" si="231"/>
        <v>0.67462360288894141</v>
      </c>
      <c r="O422" s="26">
        <f t="shared" si="232"/>
        <v>-0.53849069775098835</v>
      </c>
      <c r="P422" s="26">
        <f t="shared" si="233"/>
        <v>0.36853875423106164</v>
      </c>
      <c r="Q422" s="26">
        <f t="shared" si="234"/>
        <v>6.7910406685091421E-2</v>
      </c>
      <c r="R422" s="26">
        <f t="shared" si="235"/>
        <v>-7.9407660974724745</v>
      </c>
      <c r="S422" s="26">
        <f t="shared" si="236"/>
        <v>3.5580705020967098E-4</v>
      </c>
      <c r="T422" s="26">
        <f t="shared" si="237"/>
        <v>1.3220741841613295</v>
      </c>
      <c r="U422" s="26">
        <f t="shared" si="238"/>
        <v>0.7895265897245799</v>
      </c>
      <c r="V422" s="26">
        <f t="shared" si="239"/>
        <v>-0.60686372820547341</v>
      </c>
      <c r="W422" s="26">
        <f t="shared" si="240"/>
        <v>0.35277495542749976</v>
      </c>
      <c r="X422" s="26">
        <f t="shared" si="241"/>
        <v>0.2094501291609375</v>
      </c>
      <c r="Y422" s="26">
        <f t="shared" si="242"/>
        <v>0.73375506143371627</v>
      </c>
      <c r="Z422" s="26">
        <f t="shared" si="243"/>
        <v>0.67562875346243401</v>
      </c>
      <c r="AA422" s="26">
        <f t="shared" si="244"/>
        <v>0.21177863632923111</v>
      </c>
      <c r="AB422" s="26">
        <f t="shared" si="245"/>
        <v>0.55274766106983675</v>
      </c>
      <c r="AC422" s="26">
        <f t="shared" si="246"/>
        <v>1.9130394873300141</v>
      </c>
      <c r="AD422" s="26">
        <f t="shared" si="247"/>
        <v>0.87136023351779157</v>
      </c>
      <c r="AE422" s="26">
        <f t="shared" si="248"/>
        <v>8.2740947602985577E-3</v>
      </c>
      <c r="AF422" s="26">
        <f t="shared" si="249"/>
        <v>-3.8789352470179939</v>
      </c>
      <c r="AG422" s="26">
        <f t="shared" si="250"/>
        <v>2.0254115143215946E-2</v>
      </c>
      <c r="AH422" s="26">
        <f t="shared" si="251"/>
        <v>0.80468056765291074</v>
      </c>
      <c r="AI422" s="26">
        <f t="shared" si="252"/>
        <v>0.69097480862792848</v>
      </c>
      <c r="AJ422" s="26">
        <f t="shared" si="253"/>
        <v>-0.58555959381531164</v>
      </c>
      <c r="AK422" s="26">
        <f t="shared" si="254"/>
        <v>0.35765433700166871</v>
      </c>
      <c r="AL422" s="26">
        <f t="shared" si="255"/>
        <v>6.3958312388051608E-2</v>
      </c>
      <c r="AM422" s="27">
        <f t="shared" si="256"/>
        <v>0.3495929429943791</v>
      </c>
    </row>
    <row r="423" spans="1:39" ht="15" customHeight="1" x14ac:dyDescent="0.2">
      <c r="A423" s="24">
        <v>412</v>
      </c>
      <c r="B423" s="29">
        <f t="shared" si="257"/>
        <v>4.0678488654637297</v>
      </c>
      <c r="C423" s="29">
        <f t="shared" si="258"/>
        <v>-4.6188986189304018</v>
      </c>
      <c r="D423" s="29">
        <f t="shared" si="259"/>
        <v>-3.3331288122177476</v>
      </c>
      <c r="E423" s="29">
        <f t="shared" si="260"/>
        <v>-0.5254772080694573</v>
      </c>
      <c r="F423" s="29">
        <f t="shared" si="261"/>
        <v>0.59695632850626545</v>
      </c>
      <c r="G423" s="29">
        <f t="shared" si="262"/>
        <v>0.72440226362274107</v>
      </c>
      <c r="H423" s="29">
        <f t="shared" si="263"/>
        <v>3.9395893937747726</v>
      </c>
      <c r="I423" s="29">
        <f t="shared" si="264"/>
        <v>0.58822712164986612</v>
      </c>
      <c r="J423" s="29">
        <f t="shared" si="265"/>
        <v>-1.0705167380469349</v>
      </c>
      <c r="K423" s="26">
        <f t="shared" si="228"/>
        <v>-3.3331288122177476</v>
      </c>
      <c r="L423" s="26">
        <f t="shared" si="229"/>
        <v>3.445199842528604E-2</v>
      </c>
      <c r="M423" s="26">
        <f t="shared" si="230"/>
        <v>0.72440226362274107</v>
      </c>
      <c r="N423" s="26">
        <f t="shared" si="231"/>
        <v>0.67357568791045441</v>
      </c>
      <c r="O423" s="26">
        <f t="shared" si="232"/>
        <v>-0.53857452234343772</v>
      </c>
      <c r="P423" s="26">
        <f t="shared" si="233"/>
        <v>0.36851924695948873</v>
      </c>
      <c r="Q423" s="26">
        <f t="shared" si="234"/>
        <v>6.7903217689794321E-2</v>
      </c>
      <c r="R423" s="26">
        <f t="shared" si="235"/>
        <v>-7.9520274311481494</v>
      </c>
      <c r="S423" s="26">
        <f t="shared" si="236"/>
        <v>3.5182406694794619E-4</v>
      </c>
      <c r="T423" s="26">
        <f t="shared" si="237"/>
        <v>1.3213585921290065</v>
      </c>
      <c r="U423" s="26">
        <f t="shared" si="238"/>
        <v>0.78940765204421326</v>
      </c>
      <c r="V423" s="26">
        <f t="shared" si="239"/>
        <v>-0.60477970471396547</v>
      </c>
      <c r="W423" s="26">
        <f t="shared" si="240"/>
        <v>0.3532509355138933</v>
      </c>
      <c r="X423" s="26">
        <f t="shared" si="241"/>
        <v>0.2091421762068271</v>
      </c>
      <c r="Y423" s="26">
        <f t="shared" si="242"/>
        <v>0.73472005324598211</v>
      </c>
      <c r="Z423" s="26">
        <f t="shared" si="243"/>
        <v>0.67584019994765454</v>
      </c>
      <c r="AA423" s="26">
        <f t="shared" si="244"/>
        <v>0.19892505555328377</v>
      </c>
      <c r="AB423" s="26">
        <f t="shared" si="245"/>
        <v>0.54956791651916947</v>
      </c>
      <c r="AC423" s="26">
        <f t="shared" si="246"/>
        <v>1.9152868992386514</v>
      </c>
      <c r="AD423" s="26">
        <f t="shared" si="247"/>
        <v>0.87161193928328506</v>
      </c>
      <c r="AE423" s="26">
        <f t="shared" si="248"/>
        <v>8.241747067299441E-3</v>
      </c>
      <c r="AF423" s="26">
        <f t="shared" si="249"/>
        <v>-3.8841785656844197</v>
      </c>
      <c r="AG423" s="26">
        <f t="shared" si="250"/>
        <v>2.0150328634179423E-2</v>
      </c>
      <c r="AH423" s="26">
        <f t="shared" si="251"/>
        <v>0.79588138405954922</v>
      </c>
      <c r="AI423" s="26">
        <f t="shared" si="252"/>
        <v>0.68909278061743495</v>
      </c>
      <c r="AJ423" s="26">
        <f t="shared" si="253"/>
        <v>-0.58578965418634921</v>
      </c>
      <c r="AK423" s="26">
        <f t="shared" si="254"/>
        <v>0.35760148518938217</v>
      </c>
      <c r="AL423" s="26">
        <f t="shared" si="255"/>
        <v>6.3939411104825955E-2</v>
      </c>
      <c r="AM423" s="27">
        <f t="shared" si="256"/>
        <v>0.34922655206874686</v>
      </c>
    </row>
    <row r="424" spans="1:39" ht="15" customHeight="1" x14ac:dyDescent="0.2">
      <c r="A424" s="24">
        <v>413</v>
      </c>
      <c r="B424" s="29">
        <f t="shared" si="257"/>
        <v>4.0738590812409079</v>
      </c>
      <c r="C424" s="29">
        <f t="shared" si="258"/>
        <v>-4.6250838143905595</v>
      </c>
      <c r="D424" s="29">
        <f t="shared" si="259"/>
        <v>-3.3381526619183148</v>
      </c>
      <c r="E424" s="29">
        <f t="shared" si="260"/>
        <v>-0.53373795013041736</v>
      </c>
      <c r="F424" s="29">
        <f t="shared" si="261"/>
        <v>0.60105275845689277</v>
      </c>
      <c r="G424" s="29">
        <f t="shared" si="262"/>
        <v>0.71949911940037137</v>
      </c>
      <c r="H424" s="29">
        <f t="shared" si="263"/>
        <v>3.9447414105559062</v>
      </c>
      <c r="I424" s="29">
        <f t="shared" si="264"/>
        <v>0.59839155681990741</v>
      </c>
      <c r="J424" s="29">
        <f t="shared" si="265"/>
        <v>-1.0762985045016278</v>
      </c>
      <c r="K424" s="26">
        <f t="shared" si="228"/>
        <v>-3.3381526619183148</v>
      </c>
      <c r="L424" s="26">
        <f t="shared" si="229"/>
        <v>3.4285270074598431E-2</v>
      </c>
      <c r="M424" s="26">
        <f t="shared" si="230"/>
        <v>0.71949911940037137</v>
      </c>
      <c r="N424" s="26">
        <f t="shared" si="231"/>
        <v>0.67249671021056012</v>
      </c>
      <c r="O424" s="26">
        <f t="shared" si="232"/>
        <v>-0.53863562648710295</v>
      </c>
      <c r="P424" s="26">
        <f t="shared" si="233"/>
        <v>0.36850502735666218</v>
      </c>
      <c r="Q424" s="26">
        <f t="shared" si="234"/>
        <v>6.7897977593567166E-2</v>
      </c>
      <c r="R424" s="26">
        <f t="shared" si="235"/>
        <v>-7.9632364763088743</v>
      </c>
      <c r="S424" s="26">
        <f t="shared" si="236"/>
        <v>3.4790383914144198E-4</v>
      </c>
      <c r="T424" s="26">
        <f t="shared" si="237"/>
        <v>1.3205518778572642</v>
      </c>
      <c r="U424" s="26">
        <f t="shared" si="238"/>
        <v>0.78927350996258816</v>
      </c>
      <c r="V424" s="26">
        <f t="shared" si="239"/>
        <v>-0.6026315094372493</v>
      </c>
      <c r="W424" s="26">
        <f t="shared" si="240"/>
        <v>0.35374187690760373</v>
      </c>
      <c r="X424" s="26">
        <f t="shared" si="241"/>
        <v>0.20882478083145342</v>
      </c>
      <c r="Y424" s="26">
        <f t="shared" si="242"/>
        <v>0.73570641932259306</v>
      </c>
      <c r="Z424" s="26">
        <f t="shared" si="243"/>
        <v>0.67605625575790218</v>
      </c>
      <c r="AA424" s="26">
        <f t="shared" si="244"/>
        <v>0.18576116926995401</v>
      </c>
      <c r="AB424" s="26">
        <f t="shared" si="245"/>
        <v>0.54630720778518582</v>
      </c>
      <c r="AC424" s="26">
        <f t="shared" si="246"/>
        <v>1.9174742240204579</v>
      </c>
      <c r="AD424" s="26">
        <f t="shared" si="247"/>
        <v>0.87185651201993064</v>
      </c>
      <c r="AE424" s="26">
        <f t="shared" si="248"/>
        <v>8.21037675584909E-3</v>
      </c>
      <c r="AF424" s="26">
        <f t="shared" si="249"/>
        <v>-3.8893773950679664</v>
      </c>
      <c r="AG424" s="26">
        <f t="shared" si="250"/>
        <v>2.0047937086510488E-2</v>
      </c>
      <c r="AH424" s="26">
        <f t="shared" si="251"/>
        <v>0.78681392772684677</v>
      </c>
      <c r="AI424" s="26">
        <f t="shared" si="252"/>
        <v>0.68714681001555677</v>
      </c>
      <c r="AJ424" s="26">
        <f t="shared" si="253"/>
        <v>-0.58603172747120813</v>
      </c>
      <c r="AK424" s="26">
        <f t="shared" si="254"/>
        <v>0.35754587738686933</v>
      </c>
      <c r="AL424" s="26">
        <f t="shared" si="255"/>
        <v>6.3919527218173094E-2</v>
      </c>
      <c r="AM424" s="27">
        <f t="shared" si="256"/>
        <v>0.34885266239904278</v>
      </c>
    </row>
    <row r="425" spans="1:39" ht="15" customHeight="1" x14ac:dyDescent="0.2">
      <c r="A425" s="24">
        <v>414</v>
      </c>
      <c r="B425" s="29">
        <f t="shared" si="257"/>
        <v>4.0798623497177511</v>
      </c>
      <c r="C425" s="29">
        <f t="shared" si="258"/>
        <v>-4.6312461324805518</v>
      </c>
      <c r="D425" s="29">
        <f t="shared" si="259"/>
        <v>-3.3431470595583335</v>
      </c>
      <c r="E425" s="29">
        <f t="shared" si="260"/>
        <v>-0.54217988211956858</v>
      </c>
      <c r="F425" s="29">
        <f t="shared" si="261"/>
        <v>0.60519130775053553</v>
      </c>
      <c r="G425" s="29">
        <f t="shared" si="262"/>
        <v>0.71445921203348595</v>
      </c>
      <c r="H425" s="29">
        <f t="shared" si="263"/>
        <v>3.9498849303583401</v>
      </c>
      <c r="I425" s="29">
        <f t="shared" si="264"/>
        <v>0.60871470332167565</v>
      </c>
      <c r="J425" s="29">
        <f t="shared" si="265"/>
        <v>-1.0821270143474753</v>
      </c>
      <c r="K425" s="26">
        <f t="shared" si="228"/>
        <v>-3.3431470595583335</v>
      </c>
      <c r="L425" s="26">
        <f t="shared" si="229"/>
        <v>3.4120290695035346E-2</v>
      </c>
      <c r="M425" s="26">
        <f t="shared" si="230"/>
        <v>0.71445921203348595</v>
      </c>
      <c r="N425" s="26">
        <f t="shared" si="231"/>
        <v>0.67138573289642367</v>
      </c>
      <c r="O425" s="26">
        <f t="shared" si="232"/>
        <v>-0.53867342509725691</v>
      </c>
      <c r="P425" s="26">
        <f t="shared" si="233"/>
        <v>0.36849623132088416</v>
      </c>
      <c r="Q425" s="26">
        <f t="shared" si="234"/>
        <v>6.7894736248847287E-2</v>
      </c>
      <c r="R425" s="26">
        <f t="shared" si="235"/>
        <v>-7.9743931920388853</v>
      </c>
      <c r="S425" s="26">
        <f t="shared" si="236"/>
        <v>3.4404527478264636E-4</v>
      </c>
      <c r="T425" s="26">
        <f t="shared" si="237"/>
        <v>1.3196505197840214</v>
      </c>
      <c r="U425" s="26">
        <f t="shared" si="238"/>
        <v>0.78912355624528807</v>
      </c>
      <c r="V425" s="26">
        <f t="shared" si="239"/>
        <v>-0.60041696367725406</v>
      </c>
      <c r="W425" s="26">
        <f t="shared" si="240"/>
        <v>0.3542483048506806</v>
      </c>
      <c r="X425" s="26">
        <f t="shared" si="241"/>
        <v>0.20849762589410978</v>
      </c>
      <c r="Y425" s="26">
        <f t="shared" si="242"/>
        <v>0.73671529015941761</v>
      </c>
      <c r="Z425" s="26">
        <f t="shared" si="243"/>
        <v>0.67627716344726296</v>
      </c>
      <c r="AA425" s="26">
        <f t="shared" si="244"/>
        <v>0.17227932991391737</v>
      </c>
      <c r="AB425" s="26">
        <f t="shared" si="245"/>
        <v>0.54296362105107121</v>
      </c>
      <c r="AC425" s="26">
        <f t="shared" si="246"/>
        <v>1.9195999018009184</v>
      </c>
      <c r="AD425" s="26">
        <f t="shared" si="247"/>
        <v>0.87209381089259763</v>
      </c>
      <c r="AE425" s="26">
        <f t="shared" si="248"/>
        <v>8.1799966059892884E-3</v>
      </c>
      <c r="AF425" s="26">
        <f t="shared" si="249"/>
        <v>-3.8945308423211342</v>
      </c>
      <c r="AG425" s="26">
        <f t="shared" si="250"/>
        <v>1.9946942397148337E-2</v>
      </c>
      <c r="AH425" s="26">
        <f t="shared" si="251"/>
        <v>0.7774706376644529</v>
      </c>
      <c r="AI425" s="26">
        <f t="shared" si="252"/>
        <v>0.68513472259094077</v>
      </c>
      <c r="AJ425" s="26">
        <f t="shared" si="253"/>
        <v>-0.58628730776893012</v>
      </c>
      <c r="AK425" s="26">
        <f t="shared" si="254"/>
        <v>0.35748717098640054</v>
      </c>
      <c r="AL425" s="26">
        <f t="shared" si="255"/>
        <v>6.3898538709929981E-2</v>
      </c>
      <c r="AM425" s="27">
        <f t="shared" si="256"/>
        <v>0.34847089745887627</v>
      </c>
    </row>
    <row r="426" spans="1:39" ht="15" customHeight="1" x14ac:dyDescent="0.2">
      <c r="A426" s="24">
        <v>415</v>
      </c>
      <c r="B426" s="29">
        <f t="shared" si="257"/>
        <v>4.0858595489747112</v>
      </c>
      <c r="C426" s="29">
        <f t="shared" si="258"/>
        <v>-4.6373858071620964</v>
      </c>
      <c r="D426" s="29">
        <f t="shared" si="259"/>
        <v>-3.3481117072275257</v>
      </c>
      <c r="E426" s="29">
        <f t="shared" si="260"/>
        <v>-0.55080715706167627</v>
      </c>
      <c r="F426" s="29">
        <f t="shared" si="261"/>
        <v>0.60937210643851447</v>
      </c>
      <c r="G426" s="29">
        <f t="shared" si="262"/>
        <v>0.70927884419959186</v>
      </c>
      <c r="H426" s="29">
        <f t="shared" si="263"/>
        <v>3.9550207656135679</v>
      </c>
      <c r="I426" s="29">
        <f t="shared" si="264"/>
        <v>0.61920097816381237</v>
      </c>
      <c r="J426" s="29">
        <f t="shared" si="265"/>
        <v>-1.0880025298262519</v>
      </c>
      <c r="K426" s="26">
        <f t="shared" si="228"/>
        <v>-3.3481117072275257</v>
      </c>
      <c r="L426" s="26">
        <f t="shared" si="229"/>
        <v>3.3957053179576056E-2</v>
      </c>
      <c r="M426" s="26">
        <f t="shared" si="230"/>
        <v>0.70927884419959186</v>
      </c>
      <c r="N426" s="26">
        <f t="shared" si="231"/>
        <v>0.67024179116178473</v>
      </c>
      <c r="O426" s="26">
        <f t="shared" si="232"/>
        <v>-0.53868730666834153</v>
      </c>
      <c r="P426" s="26">
        <f t="shared" si="233"/>
        <v>0.36849300099136667</v>
      </c>
      <c r="Q426" s="26">
        <f t="shared" si="234"/>
        <v>6.7893545889811682E-2</v>
      </c>
      <c r="R426" s="26">
        <f t="shared" si="235"/>
        <v>-7.9854975143896221</v>
      </c>
      <c r="S426" s="26">
        <f t="shared" si="236"/>
        <v>3.4024731095868991E-4</v>
      </c>
      <c r="T426" s="26">
        <f t="shared" si="237"/>
        <v>1.3186509506381063</v>
      </c>
      <c r="U426" s="26">
        <f t="shared" si="238"/>
        <v>0.78895717230250761</v>
      </c>
      <c r="V426" s="26">
        <f t="shared" si="239"/>
        <v>-0.59813379182689796</v>
      </c>
      <c r="W426" s="26">
        <f t="shared" si="240"/>
        <v>0.35477076875932589</v>
      </c>
      <c r="X426" s="26">
        <f t="shared" si="241"/>
        <v>0.20816038042371565</v>
      </c>
      <c r="Y426" s="26">
        <f t="shared" si="242"/>
        <v>0.73774784174718544</v>
      </c>
      <c r="Z426" s="26">
        <f t="shared" si="243"/>
        <v>0.67650317505194313</v>
      </c>
      <c r="AA426" s="26">
        <f t="shared" si="244"/>
        <v>0.1584716871379156</v>
      </c>
      <c r="AB426" s="26">
        <f t="shared" si="245"/>
        <v>0.53953521815838046</v>
      </c>
      <c r="AC426" s="26">
        <f t="shared" si="246"/>
        <v>1.9216623103451889</v>
      </c>
      <c r="AD426" s="26">
        <f t="shared" si="247"/>
        <v>0.87232368822856965</v>
      </c>
      <c r="AE426" s="26">
        <f t="shared" si="248"/>
        <v>8.1506202937777425E-3</v>
      </c>
      <c r="AF426" s="26">
        <f t="shared" si="249"/>
        <v>-3.8996379654149109</v>
      </c>
      <c r="AG426" s="26">
        <f t="shared" si="250"/>
        <v>1.9847347324452976E-2</v>
      </c>
      <c r="AH426" s="26">
        <f t="shared" si="251"/>
        <v>0.76784379357643007</v>
      </c>
      <c r="AI426" s="26">
        <f t="shared" si="252"/>
        <v>0.6830542785238809</v>
      </c>
      <c r="AJ426" s="26">
        <f t="shared" si="253"/>
        <v>-0.58655798161473127</v>
      </c>
      <c r="AK426" s="26">
        <f t="shared" si="254"/>
        <v>0.35742500228393831</v>
      </c>
      <c r="AL426" s="26">
        <f t="shared" si="255"/>
        <v>6.3876316128836652E-2</v>
      </c>
      <c r="AM426" s="27">
        <f t="shared" si="256"/>
        <v>0.34808086273614169</v>
      </c>
    </row>
    <row r="427" spans="1:39" ht="15" customHeight="1" x14ac:dyDescent="0.2">
      <c r="A427" s="24">
        <v>416</v>
      </c>
      <c r="B427" s="29">
        <f t="shared" si="257"/>
        <v>4.0918515844818106</v>
      </c>
      <c r="C427" s="29">
        <f t="shared" si="258"/>
        <v>-4.6435030685345975</v>
      </c>
      <c r="D427" s="29">
        <f t="shared" si="259"/>
        <v>-3.3530462868545614</v>
      </c>
      <c r="E427" s="29">
        <f t="shared" si="260"/>
        <v>-0.55962404263778087</v>
      </c>
      <c r="F427" s="29">
        <f t="shared" si="261"/>
        <v>0.61359533376899911</v>
      </c>
      <c r="G427" s="29">
        <f t="shared" si="262"/>
        <v>0.70395422928531293</v>
      </c>
      <c r="H427" s="29">
        <f t="shared" si="263"/>
        <v>3.9601497507168371</v>
      </c>
      <c r="I427" s="29">
        <f t="shared" si="264"/>
        <v>0.62985495133891312</v>
      </c>
      <c r="J427" s="29">
        <f t="shared" si="265"/>
        <v>-1.0939252813529587</v>
      </c>
      <c r="K427" s="26">
        <f t="shared" si="228"/>
        <v>-3.3530462868545614</v>
      </c>
      <c r="L427" s="26">
        <f t="shared" si="229"/>
        <v>3.3795551107281128E-2</v>
      </c>
      <c r="M427" s="26">
        <f t="shared" si="230"/>
        <v>0.70395422928531293</v>
      </c>
      <c r="N427" s="26">
        <f t="shared" si="231"/>
        <v>0.66906389189702764</v>
      </c>
      <c r="O427" s="26">
        <f t="shared" si="232"/>
        <v>-0.5386766329866951</v>
      </c>
      <c r="P427" s="26">
        <f t="shared" si="233"/>
        <v>0.3684954848236453</v>
      </c>
      <c r="Q427" s="26">
        <f t="shared" si="234"/>
        <v>6.7894461167706699E-2</v>
      </c>
      <c r="R427" s="26">
        <f t="shared" si="235"/>
        <v>-7.9965493553891589</v>
      </c>
      <c r="S427" s="26">
        <f t="shared" si="236"/>
        <v>3.3650891331160414E-4</v>
      </c>
      <c r="T427" s="26">
        <f t="shared" si="237"/>
        <v>1.3175495630543121</v>
      </c>
      <c r="U427" s="26">
        <f t="shared" si="238"/>
        <v>0.78877372877370255</v>
      </c>
      <c r="V427" s="26">
        <f t="shared" si="239"/>
        <v>-0.59577961710962035</v>
      </c>
      <c r="W427" s="26">
        <f t="shared" si="240"/>
        <v>0.3553098433508266</v>
      </c>
      <c r="X427" s="26">
        <f t="shared" si="241"/>
        <v>0.20781269904016786</v>
      </c>
      <c r="Y427" s="26">
        <f t="shared" si="242"/>
        <v>0.73880529762724922</v>
      </c>
      <c r="Z427" s="26">
        <f t="shared" si="243"/>
        <v>0.67673455249997194</v>
      </c>
      <c r="AA427" s="26">
        <f t="shared" si="244"/>
        <v>0.14433018664753205</v>
      </c>
      <c r="AB427" s="26">
        <f t="shared" si="245"/>
        <v>0.5360200399637709</v>
      </c>
      <c r="AC427" s="26">
        <f t="shared" si="246"/>
        <v>1.9236597642193387</v>
      </c>
      <c r="AD427" s="26">
        <f t="shared" si="247"/>
        <v>0.87254598939683381</v>
      </c>
      <c r="AE427" s="26">
        <f t="shared" si="248"/>
        <v>8.1222624094159993E-3</v>
      </c>
      <c r="AF427" s="26">
        <f t="shared" si="249"/>
        <v>-3.9046977709073483</v>
      </c>
      <c r="AG427" s="26">
        <f t="shared" si="250"/>
        <v>1.9749155516269306E-2</v>
      </c>
      <c r="AH427" s="26">
        <f t="shared" si="251"/>
        <v>0.75792552041653116</v>
      </c>
      <c r="AI427" s="26">
        <f t="shared" si="252"/>
        <v>0.68090317247269005</v>
      </c>
      <c r="AJ427" s="26">
        <f t="shared" si="253"/>
        <v>-0.58684543349403906</v>
      </c>
      <c r="AK427" s="26">
        <f t="shared" si="254"/>
        <v>0.35735898523561016</v>
      </c>
      <c r="AL427" s="26">
        <f t="shared" si="255"/>
        <v>6.3852722164312523E-2</v>
      </c>
      <c r="AM427" s="27">
        <f t="shared" si="256"/>
        <v>0.34768214478160309</v>
      </c>
    </row>
    <row r="428" spans="1:39" ht="15" customHeight="1" x14ac:dyDescent="0.2">
      <c r="A428" s="24">
        <v>417</v>
      </c>
      <c r="B428" s="29">
        <f t="shared" si="257"/>
        <v>4.0978393903737498</v>
      </c>
      <c r="C428" s="29">
        <f t="shared" si="258"/>
        <v>-4.6495981426445399</v>
      </c>
      <c r="D428" s="29">
        <f t="shared" si="259"/>
        <v>-3.3579504593683276</v>
      </c>
      <c r="E428" s="29">
        <f t="shared" si="260"/>
        <v>-0.56863492189368403</v>
      </c>
      <c r="F428" s="29">
        <f t="shared" si="261"/>
        <v>0.61786122448331593</v>
      </c>
      <c r="G428" s="29">
        <f t="shared" si="262"/>
        <v>0.69848149159753203</v>
      </c>
      <c r="H428" s="29">
        <f t="shared" si="263"/>
        <v>3.965272743094586</v>
      </c>
      <c r="I428" s="29">
        <f t="shared" si="264"/>
        <v>0.64068135102044244</v>
      </c>
      <c r="J428" s="29">
        <f t="shared" si="265"/>
        <v>-1.0998954651881103</v>
      </c>
      <c r="K428" s="26">
        <f t="shared" si="228"/>
        <v>-3.3579504593683276</v>
      </c>
      <c r="L428" s="26">
        <f t="shared" si="229"/>
        <v>3.3635778757752269E-2</v>
      </c>
      <c r="M428" s="26">
        <f t="shared" si="230"/>
        <v>0.69848149159753203</v>
      </c>
      <c r="N428" s="26">
        <f t="shared" si="231"/>
        <v>0.66785101336548403</v>
      </c>
      <c r="O428" s="26">
        <f t="shared" si="232"/>
        <v>-0.53864073896386555</v>
      </c>
      <c r="P428" s="26">
        <f t="shared" si="233"/>
        <v>0.36850383763773809</v>
      </c>
      <c r="Q428" s="26">
        <f t="shared" si="234"/>
        <v>6.789753917687022E-2</v>
      </c>
      <c r="R428" s="26">
        <f t="shared" si="235"/>
        <v>-8.0075486020128679</v>
      </c>
      <c r="S428" s="26">
        <f t="shared" si="236"/>
        <v>3.3282907551966933E-4</v>
      </c>
      <c r="T428" s="26">
        <f t="shared" si="237"/>
        <v>1.3163427160808481</v>
      </c>
      <c r="U428" s="26">
        <f t="shared" si="238"/>
        <v>0.78857258624608961</v>
      </c>
      <c r="V428" s="26">
        <f t="shared" si="239"/>
        <v>-0.59335195719301381</v>
      </c>
      <c r="W428" s="26">
        <f t="shared" si="240"/>
        <v>0.35586612981064752</v>
      </c>
      <c r="X428" s="26">
        <f t="shared" si="241"/>
        <v>0.20745422136255676</v>
      </c>
      <c r="Y428" s="26">
        <f t="shared" si="242"/>
        <v>0.73988893100542219</v>
      </c>
      <c r="Z428" s="26">
        <f t="shared" si="243"/>
        <v>0.67697156803003444</v>
      </c>
      <c r="AA428" s="26">
        <f t="shared" si="244"/>
        <v>0.129846569703848</v>
      </c>
      <c r="AB428" s="26">
        <f t="shared" si="245"/>
        <v>0.53241611022852853</v>
      </c>
      <c r="AC428" s="26">
        <f t="shared" si="246"/>
        <v>1.9255905141776504</v>
      </c>
      <c r="AD428" s="26">
        <f t="shared" si="247"/>
        <v>0.87276055270630226</v>
      </c>
      <c r="AE428" s="26">
        <f t="shared" si="248"/>
        <v>8.0949384738028419E-3</v>
      </c>
      <c r="AF428" s="26">
        <f t="shared" si="249"/>
        <v>-3.9097092116391177</v>
      </c>
      <c r="AG428" s="26">
        <f t="shared" si="250"/>
        <v>1.965237153909663E-2</v>
      </c>
      <c r="AH428" s="26">
        <f t="shared" si="251"/>
        <v>0.74770779418716393</v>
      </c>
      <c r="AI428" s="26">
        <f t="shared" si="252"/>
        <v>0.67867903400317364</v>
      </c>
      <c r="AJ428" s="26">
        <f t="shared" si="253"/>
        <v>-0.58715145157256055</v>
      </c>
      <c r="AK428" s="26">
        <f t="shared" si="254"/>
        <v>0.35728871016840258</v>
      </c>
      <c r="AL428" s="26">
        <f t="shared" si="255"/>
        <v>6.3827611206900392E-2</v>
      </c>
      <c r="AM428" s="27">
        <f t="shared" si="256"/>
        <v>0.34727431022013022</v>
      </c>
    </row>
    <row r="429" spans="1:39" ht="15" customHeight="1" x14ac:dyDescent="0.2">
      <c r="A429" s="24">
        <v>418</v>
      </c>
      <c r="B429" s="29">
        <f t="shared" si="257"/>
        <v>4.1038239307567554</v>
      </c>
      <c r="C429" s="29">
        <f t="shared" si="258"/>
        <v>-4.6556712512792195</v>
      </c>
      <c r="D429" s="29">
        <f t="shared" si="259"/>
        <v>-3.3628238638371086</v>
      </c>
      <c r="E429" s="29">
        <f t="shared" si="260"/>
        <v>-0.57784429354053002</v>
      </c>
      <c r="F429" s="29">
        <f t="shared" si="261"/>
        <v>0.62217007573868555</v>
      </c>
      <c r="G429" s="29">
        <f t="shared" si="262"/>
        <v>0.69285666693544135</v>
      </c>
      <c r="H429" s="29">
        <f t="shared" si="263"/>
        <v>3.9703906243037226</v>
      </c>
      <c r="I429" s="29">
        <f t="shared" si="264"/>
        <v>0.65168506874674681</v>
      </c>
      <c r="J429" s="29">
        <f t="shared" si="265"/>
        <v>-1.1059132409961052</v>
      </c>
      <c r="K429" s="26">
        <f t="shared" si="228"/>
        <v>-3.3628238638371086</v>
      </c>
      <c r="L429" s="26">
        <f t="shared" si="229"/>
        <v>3.3477731126009554E-2</v>
      </c>
      <c r="M429" s="26">
        <f t="shared" si="230"/>
        <v>0.69285666693544135</v>
      </c>
      <c r="N429" s="26">
        <f t="shared" si="231"/>
        <v>0.6666021049578883</v>
      </c>
      <c r="O429" s="26">
        <f t="shared" si="232"/>
        <v>-0.5385789326142284</v>
      </c>
      <c r="P429" s="26">
        <f t="shared" si="233"/>
        <v>0.36851822063356837</v>
      </c>
      <c r="Q429" s="26">
        <f t="shared" si="234"/>
        <v>6.7902839469465695E-2</v>
      </c>
      <c r="R429" s="26">
        <f t="shared" si="235"/>
        <v>-8.0184951151163286</v>
      </c>
      <c r="S429" s="26">
        <f t="shared" si="236"/>
        <v>3.2920681879870274E-4</v>
      </c>
      <c r="T429" s="26">
        <f t="shared" si="237"/>
        <v>1.3150267426741269</v>
      </c>
      <c r="U429" s="26">
        <f t="shared" si="238"/>
        <v>0.78835309612432725</v>
      </c>
      <c r="V429" s="26">
        <f t="shared" si="239"/>
        <v>-0.59084821968479717</v>
      </c>
      <c r="W429" s="26">
        <f t="shared" si="240"/>
        <v>0.35644025699852455</v>
      </c>
      <c r="X429" s="26">
        <f t="shared" si="241"/>
        <v>0.20708457140606257</v>
      </c>
      <c r="Y429" s="26">
        <f t="shared" si="242"/>
        <v>0.74100006691964682</v>
      </c>
      <c r="Z429" s="26">
        <f t="shared" si="243"/>
        <v>0.67721450461821153</v>
      </c>
      <c r="AA429" s="26">
        <f t="shared" si="244"/>
        <v>0.11501237339491133</v>
      </c>
      <c r="AB429" s="26">
        <f t="shared" si="245"/>
        <v>0.52872144009418831</v>
      </c>
      <c r="AC429" s="26">
        <f t="shared" si="246"/>
        <v>1.9274527468181921</v>
      </c>
      <c r="AD429" s="26">
        <f t="shared" si="247"/>
        <v>0.87296720932701732</v>
      </c>
      <c r="AE429" s="26">
        <f t="shared" si="248"/>
        <v>8.0686649530829178E-3</v>
      </c>
      <c r="AF429" s="26">
        <f t="shared" si="249"/>
        <v>-3.9146711843595727</v>
      </c>
      <c r="AG429" s="26">
        <f t="shared" si="250"/>
        <v>1.9557000908320014E-2</v>
      </c>
      <c r="AH429" s="26">
        <f t="shared" si="251"/>
        <v>0.73718244913359687</v>
      </c>
      <c r="AI429" s="26">
        <f t="shared" si="252"/>
        <v>0.67637942843846421</v>
      </c>
      <c r="AJ429" s="26">
        <f t="shared" si="253"/>
        <v>-0.58747793362940615</v>
      </c>
      <c r="AK429" s="26">
        <f t="shared" si="254"/>
        <v>0.35721374244861231</v>
      </c>
      <c r="AL429" s="26">
        <f t="shared" si="255"/>
        <v>6.3800828897071768E-2</v>
      </c>
      <c r="AM429" s="27">
        <f t="shared" si="256"/>
        <v>0.34685690472568292</v>
      </c>
    </row>
    <row r="430" spans="1:39" ht="15" customHeight="1" x14ac:dyDescent="0.2">
      <c r="A430" s="24">
        <v>419</v>
      </c>
      <c r="B430" s="29">
        <f t="shared" si="257"/>
        <v>4.1098062010439422</v>
      </c>
      <c r="C430" s="29">
        <f t="shared" si="258"/>
        <v>-4.6617226117441595</v>
      </c>
      <c r="D430" s="29">
        <f t="shared" si="259"/>
        <v>-3.3676661165879316</v>
      </c>
      <c r="E430" s="29">
        <f t="shared" si="260"/>
        <v>-0.58725677178487989</v>
      </c>
      <c r="F430" s="29">
        <f t="shared" si="261"/>
        <v>0.62652225471120992</v>
      </c>
      <c r="G430" s="29">
        <f t="shared" si="262"/>
        <v>0.68707570357198222</v>
      </c>
      <c r="H430" s="29">
        <f t="shared" si="263"/>
        <v>3.9755043011612843</v>
      </c>
      <c r="I430" s="29">
        <f t="shared" si="264"/>
        <v>0.66287116455678097</v>
      </c>
      <c r="J430" s="29">
        <f t="shared" si="265"/>
        <v>-1.1119787292923908</v>
      </c>
      <c r="K430" s="26">
        <f t="shared" si="228"/>
        <v>-3.3676661165879316</v>
      </c>
      <c r="L430" s="26">
        <f t="shared" si="229"/>
        <v>3.3321403937716064E-2</v>
      </c>
      <c r="M430" s="26">
        <f t="shared" si="230"/>
        <v>0.68707570357198222</v>
      </c>
      <c r="N430" s="26">
        <f t="shared" si="231"/>
        <v>0.66531608703822143</v>
      </c>
      <c r="O430" s="26">
        <f t="shared" si="232"/>
        <v>-0.53849049520388159</v>
      </c>
      <c r="P430" s="26">
        <f t="shared" si="233"/>
        <v>0.36853880136740852</v>
      </c>
      <c r="Q430" s="26">
        <f t="shared" si="234"/>
        <v>6.7910424056663102E-2</v>
      </c>
      <c r="R430" s="26">
        <f t="shared" si="235"/>
        <v>-8.0293887283320906</v>
      </c>
      <c r="S430" s="26">
        <f t="shared" si="236"/>
        <v>3.25641191422022E-4</v>
      </c>
      <c r="T430" s="26">
        <f t="shared" si="237"/>
        <v>1.313597958283192</v>
      </c>
      <c r="U430" s="26">
        <f t="shared" si="238"/>
        <v>0.7881146016704248</v>
      </c>
      <c r="V430" s="26">
        <f t="shared" si="239"/>
        <v>-0.58826569752177926</v>
      </c>
      <c r="W430" s="26">
        <f t="shared" si="240"/>
        <v>0.35703288269186356</v>
      </c>
      <c r="X430" s="26">
        <f t="shared" si="241"/>
        <v>0.20670335696976741</v>
      </c>
      <c r="Y430" s="26">
        <f t="shared" si="242"/>
        <v>0.74214008445601065</v>
      </c>
      <c r="Z430" s="26">
        <f t="shared" si="243"/>
        <v>0.67746365641110229</v>
      </c>
      <c r="AA430" s="26">
        <f t="shared" si="244"/>
        <v>9.9818931787102327E-2</v>
      </c>
      <c r="AB430" s="26">
        <f t="shared" si="245"/>
        <v>0.52493403320089627</v>
      </c>
      <c r="AC430" s="26">
        <f t="shared" si="246"/>
        <v>1.9292445845537631</v>
      </c>
      <c r="AD430" s="26">
        <f t="shared" si="247"/>
        <v>0.87316578323889915</v>
      </c>
      <c r="AE430" s="26">
        <f t="shared" si="248"/>
        <v>8.0434592707009575E-3</v>
      </c>
      <c r="AF430" s="26">
        <f t="shared" si="249"/>
        <v>-3.9195825272881488</v>
      </c>
      <c r="AG430" s="26">
        <f t="shared" si="250"/>
        <v>1.9463050119442347E-2</v>
      </c>
      <c r="AH430" s="26">
        <f t="shared" si="251"/>
        <v>0.72634118649831225</v>
      </c>
      <c r="AI430" s="26">
        <f t="shared" si="252"/>
        <v>0.67400185819274361</v>
      </c>
      <c r="AJ430" s="26">
        <f t="shared" si="253"/>
        <v>-0.58782689317517178</v>
      </c>
      <c r="AK430" s="26">
        <f t="shared" si="254"/>
        <v>0.35713362111283808</v>
      </c>
      <c r="AL430" s="26">
        <f t="shared" si="255"/>
        <v>6.3772211664584091E-2</v>
      </c>
      <c r="AM430" s="27">
        <f t="shared" si="256"/>
        <v>0.34642945196171554</v>
      </c>
    </row>
    <row r="431" spans="1:39" ht="15" customHeight="1" x14ac:dyDescent="0.2">
      <c r="A431" s="24">
        <v>420</v>
      </c>
      <c r="B431" s="29">
        <f t="shared" si="257"/>
        <v>4.1157872293151305</v>
      </c>
      <c r="C431" s="29">
        <f t="shared" si="258"/>
        <v>-4.6677524366235819</v>
      </c>
      <c r="D431" s="29">
        <f t="shared" si="259"/>
        <v>-3.3724768103089153</v>
      </c>
      <c r="E431" s="29">
        <f t="shared" si="260"/>
        <v>-0.59687708561930486</v>
      </c>
      <c r="F431" s="29">
        <f t="shared" si="261"/>
        <v>0.63091820693603995</v>
      </c>
      <c r="G431" s="29">
        <f t="shared" si="262"/>
        <v>0.68113446369748942</v>
      </c>
      <c r="H431" s="29">
        <f t="shared" si="263"/>
        <v>3.9806147069025193</v>
      </c>
      <c r="I431" s="29">
        <f t="shared" si="264"/>
        <v>0.67424487203642747</v>
      </c>
      <c r="J431" s="29">
        <f t="shared" si="265"/>
        <v>-1.1180920087840942</v>
      </c>
      <c r="K431" s="26">
        <f t="shared" si="228"/>
        <v>-3.3724768103089153</v>
      </c>
      <c r="L431" s="26">
        <f t="shared" si="229"/>
        <v>3.3166793664665309E-2</v>
      </c>
      <c r="M431" s="26">
        <f t="shared" si="230"/>
        <v>0.68113446369748942</v>
      </c>
      <c r="N431" s="26">
        <f t="shared" si="231"/>
        <v>0.66399185089559098</v>
      </c>
      <c r="O431" s="26">
        <f t="shared" si="232"/>
        <v>-0.53837468160139779</v>
      </c>
      <c r="P431" s="26">
        <f t="shared" si="233"/>
        <v>0.36856575368225625</v>
      </c>
      <c r="Q431" s="26">
        <f t="shared" si="234"/>
        <v>6.7920357393684794E-2</v>
      </c>
      <c r="R431" s="26">
        <f t="shared" si="235"/>
        <v>-8.0402292469324976</v>
      </c>
      <c r="S431" s="26">
        <f t="shared" si="236"/>
        <v>3.2213126825772118E-4</v>
      </c>
      <c r="T431" s="26">
        <f t="shared" si="237"/>
        <v>1.3120526706335294</v>
      </c>
      <c r="U431" s="26">
        <f t="shared" si="238"/>
        <v>0.78785643923473392</v>
      </c>
      <c r="V431" s="26">
        <f t="shared" si="239"/>
        <v>-0.58560156426521581</v>
      </c>
      <c r="W431" s="26">
        <f t="shared" si="240"/>
        <v>0.35764469486413331</v>
      </c>
      <c r="X431" s="26">
        <f t="shared" si="241"/>
        <v>0.20631016901809621</v>
      </c>
      <c r="Y431" s="26">
        <f t="shared" si="242"/>
        <v>0.7433104190062152</v>
      </c>
      <c r="Z431" s="26">
        <f t="shared" si="243"/>
        <v>0.6777193291634821</v>
      </c>
      <c r="AA431" s="26">
        <f t="shared" si="244"/>
        <v>8.4257378078184564E-2</v>
      </c>
      <c r="AB431" s="26">
        <f t="shared" si="245"/>
        <v>0.52105189150837894</v>
      </c>
      <c r="AC431" s="26">
        <f t="shared" si="246"/>
        <v>1.9309640859505772</v>
      </c>
      <c r="AD431" s="26">
        <f t="shared" si="247"/>
        <v>0.87335609121315061</v>
      </c>
      <c r="AE431" s="26">
        <f t="shared" si="248"/>
        <v>8.0193398164059137E-3</v>
      </c>
      <c r="AF431" s="26">
        <f t="shared" si="249"/>
        <v>-3.9244420176173667</v>
      </c>
      <c r="AG431" s="26">
        <f t="shared" si="250"/>
        <v>1.9370526680237393E-2</v>
      </c>
      <c r="AH431" s="26">
        <f t="shared" si="251"/>
        <v>0.71517558501422451</v>
      </c>
      <c r="AI431" s="26">
        <f t="shared" si="252"/>
        <v>0.67154376465901666</v>
      </c>
      <c r="AJ431" s="26">
        <f t="shared" si="253"/>
        <v>-0.58820046573091411</v>
      </c>
      <c r="AK431" s="26">
        <f t="shared" si="254"/>
        <v>0.35704785746773648</v>
      </c>
      <c r="AL431" s="26">
        <f t="shared" si="255"/>
        <v>6.3741586261150535E-2</v>
      </c>
      <c r="AM431" s="27">
        <f t="shared" si="256"/>
        <v>0.34599145248933749</v>
      </c>
    </row>
    <row r="432" spans="1:39" ht="15" customHeight="1" x14ac:dyDescent="0.2">
      <c r="A432" s="24">
        <v>421</v>
      </c>
      <c r="B432" s="29">
        <f t="shared" si="257"/>
        <v>4.1217680776961103</v>
      </c>
      <c r="C432" s="29">
        <f t="shared" si="258"/>
        <v>-4.6737609335233925</v>
      </c>
      <c r="D432" s="29">
        <f t="shared" si="259"/>
        <v>-3.3772555131381368</v>
      </c>
      <c r="E432" s="29">
        <f t="shared" si="260"/>
        <v>-0.60671007749780792</v>
      </c>
      <c r="F432" s="29">
        <f t="shared" si="261"/>
        <v>0.63535846544459107</v>
      </c>
      <c r="G432" s="29">
        <f t="shared" si="262"/>
        <v>0.67502872538280811</v>
      </c>
      <c r="H432" s="29">
        <f t="shared" si="263"/>
        <v>3.9857228023648443</v>
      </c>
      <c r="I432" s="29">
        <f t="shared" si="264"/>
        <v>0.68581160322794132</v>
      </c>
      <c r="J432" s="29">
        <f t="shared" si="265"/>
        <v>-1.124253113611122</v>
      </c>
      <c r="K432" s="26">
        <f t="shared" si="228"/>
        <v>-3.3772555131381368</v>
      </c>
      <c r="L432" s="26">
        <f t="shared" si="229"/>
        <v>3.3013897540429792E-2</v>
      </c>
      <c r="M432" s="26">
        <f t="shared" si="230"/>
        <v>0.67502872538280811</v>
      </c>
      <c r="N432" s="26">
        <f t="shared" si="231"/>
        <v>0.66262825881827869</v>
      </c>
      <c r="O432" s="26">
        <f t="shared" si="232"/>
        <v>-0.53823072086499135</v>
      </c>
      <c r="P432" s="26">
        <f t="shared" si="233"/>
        <v>0.36859925758411771</v>
      </c>
      <c r="Q432" s="26">
        <f t="shared" si="234"/>
        <v>6.7932706345781385E-2</v>
      </c>
      <c r="R432" s="26">
        <f t="shared" si="235"/>
        <v>-8.0510164466615297</v>
      </c>
      <c r="S432" s="26">
        <f t="shared" si="236"/>
        <v>3.1867615032175873E-4</v>
      </c>
      <c r="T432" s="26">
        <f t="shared" si="237"/>
        <v>1.3103871908273992</v>
      </c>
      <c r="U432" s="26">
        <f t="shared" si="238"/>
        <v>0.78757793970075751</v>
      </c>
      <c r="V432" s="26">
        <f t="shared" si="239"/>
        <v>-0.58285286931907931</v>
      </c>
      <c r="W432" s="26">
        <f t="shared" si="240"/>
        <v>0.35827641299522844</v>
      </c>
      <c r="X432" s="26">
        <f t="shared" si="241"/>
        <v>0.20590458105913526</v>
      </c>
      <c r="Y432" s="26">
        <f t="shared" si="242"/>
        <v>0.74451256455797354</v>
      </c>
      <c r="Z432" s="26">
        <f t="shared" si="243"/>
        <v>0.67798184067826606</v>
      </c>
      <c r="AA432" s="26">
        <f t="shared" si="244"/>
        <v>6.8318647885000194E-2</v>
      </c>
      <c r="AB432" s="26">
        <f t="shared" si="245"/>
        <v>0.51707302188234339</v>
      </c>
      <c r="AC432" s="26">
        <f t="shared" si="246"/>
        <v>1.9326092464925784</v>
      </c>
      <c r="AD432" s="26">
        <f t="shared" si="247"/>
        <v>0.87353794283202901</v>
      </c>
      <c r="AE432" s="26">
        <f t="shared" si="248"/>
        <v>7.9963259515775809E-3</v>
      </c>
      <c r="AF432" s="26">
        <f t="shared" si="249"/>
        <v>-3.929248368965419</v>
      </c>
      <c r="AG432" s="26">
        <f t="shared" si="250"/>
        <v>1.9279439143721235E-2</v>
      </c>
      <c r="AH432" s="26">
        <f t="shared" si="251"/>
        <v>0.70367711332959126</v>
      </c>
      <c r="AI432" s="26">
        <f t="shared" si="252"/>
        <v>0.66900253072809002</v>
      </c>
      <c r="AJ432" s="26">
        <f t="shared" si="253"/>
        <v>-0.58860091523700542</v>
      </c>
      <c r="AK432" s="26">
        <f t="shared" si="254"/>
        <v>0.35695593366645106</v>
      </c>
      <c r="AL432" s="26">
        <f t="shared" si="255"/>
        <v>6.3708769289843911E-2</v>
      </c>
      <c r="AM432" s="27">
        <f t="shared" si="256"/>
        <v>0.34554238264633813</v>
      </c>
    </row>
    <row r="433" spans="1:39" ht="15" customHeight="1" x14ac:dyDescent="0.2">
      <c r="A433" s="24">
        <v>422</v>
      </c>
      <c r="B433" s="29">
        <f t="shared" si="257"/>
        <v>4.1277498437512676</v>
      </c>
      <c r="C433" s="29">
        <f t="shared" si="258"/>
        <v>-4.6797483047962247</v>
      </c>
      <c r="D433" s="29">
        <f t="shared" si="259"/>
        <v>-3.3820017677432923</v>
      </c>
      <c r="E433" s="29">
        <f t="shared" si="260"/>
        <v>-0.6167607013133577</v>
      </c>
      <c r="F433" s="29">
        <f t="shared" si="261"/>
        <v>0.6398436607613327</v>
      </c>
      <c r="G433" s="29">
        <f t="shared" si="262"/>
        <v>0.66875418512367224</v>
      </c>
      <c r="H433" s="29">
        <f t="shared" si="263"/>
        <v>3.9908295771944942</v>
      </c>
      <c r="I433" s="29">
        <f t="shared" si="264"/>
        <v>0.69757695334803527</v>
      </c>
      <c r="J433" s="29">
        <f t="shared" si="265"/>
        <v>-1.1304620304974939</v>
      </c>
      <c r="K433" s="26">
        <f t="shared" si="228"/>
        <v>-3.3820017677432923</v>
      </c>
      <c r="L433" s="26">
        <f t="shared" si="229"/>
        <v>3.2862713576049682E-2</v>
      </c>
      <c r="M433" s="26">
        <f t="shared" si="230"/>
        <v>0.66875418512367224</v>
      </c>
      <c r="N433" s="26">
        <f t="shared" si="231"/>
        <v>0.66122414430764109</v>
      </c>
      <c r="O433" s="26">
        <f t="shared" si="232"/>
        <v>-0.53805781710503797</v>
      </c>
      <c r="P433" s="26">
        <f t="shared" si="233"/>
        <v>0.36863949905514121</v>
      </c>
      <c r="Q433" s="26">
        <f t="shared" si="234"/>
        <v>6.7947540131812728E-2</v>
      </c>
      <c r="R433" s="26">
        <f t="shared" si="235"/>
        <v>-8.0617500725395175</v>
      </c>
      <c r="S433" s="26">
        <f t="shared" si="236"/>
        <v>3.1527496434519706E-4</v>
      </c>
      <c r="T433" s="26">
        <f t="shared" si="237"/>
        <v>1.3085978458850049</v>
      </c>
      <c r="U433" s="26">
        <f t="shared" si="238"/>
        <v>0.78727843016846</v>
      </c>
      <c r="V433" s="26">
        <f t="shared" si="239"/>
        <v>-0.58001653309129786</v>
      </c>
      <c r="W433" s="26">
        <f t="shared" si="240"/>
        <v>0.35892878940996509</v>
      </c>
      <c r="X433" s="26">
        <f t="shared" si="241"/>
        <v>0.20548614852368643</v>
      </c>
      <c r="Y433" s="26">
        <f t="shared" si="242"/>
        <v>0.74574807600797532</v>
      </c>
      <c r="Z433" s="26">
        <f t="shared" si="243"/>
        <v>0.67825152124612575</v>
      </c>
      <c r="AA433" s="26">
        <f t="shared" si="244"/>
        <v>5.1993483810314545E-2</v>
      </c>
      <c r="AB433" s="26">
        <f t="shared" si="245"/>
        <v>0.51299544351172244</v>
      </c>
      <c r="AC433" s="26">
        <f t="shared" si="246"/>
        <v>1.9341779998350361</v>
      </c>
      <c r="AD433" s="26">
        <f t="shared" si="247"/>
        <v>0.87371114055331611</v>
      </c>
      <c r="AE433" s="26">
        <f t="shared" si="248"/>
        <v>7.9744380101721395E-3</v>
      </c>
      <c r="AF433" s="26">
        <f t="shared" si="249"/>
        <v>-3.9340002287882494</v>
      </c>
      <c r="AG433" s="26">
        <f t="shared" si="250"/>
        <v>1.9189797141813968E-2</v>
      </c>
      <c r="AH433" s="26">
        <f t="shared" si="251"/>
        <v>0.69183714457164724</v>
      </c>
      <c r="AI433" s="26">
        <f t="shared" si="252"/>
        <v>0.66637548402317615</v>
      </c>
      <c r="AJ433" s="26">
        <f t="shared" si="253"/>
        <v>-0.5890306405528708</v>
      </c>
      <c r="AK433" s="26">
        <f t="shared" si="254"/>
        <v>0.35685730127153642</v>
      </c>
      <c r="AL433" s="26">
        <f t="shared" si="255"/>
        <v>6.367356673540206E-2</v>
      </c>
      <c r="AM433" s="27">
        <f t="shared" si="256"/>
        <v>0.34508169340107331</v>
      </c>
    </row>
    <row r="434" spans="1:39" ht="15" customHeight="1" x14ac:dyDescent="0.2">
      <c r="A434" s="24">
        <v>423</v>
      </c>
      <c r="B434" s="29">
        <f t="shared" si="257"/>
        <v>4.1337336618822587</v>
      </c>
      <c r="C434" s="29">
        <f t="shared" si="258"/>
        <v>-4.6857147472482064</v>
      </c>
      <c r="D434" s="29">
        <f t="shared" si="259"/>
        <v>-3.3867150903972831</v>
      </c>
      <c r="E434" s="29">
        <f t="shared" si="260"/>
        <v>-0.62703401958755678</v>
      </c>
      <c r="F434" s="29">
        <f t="shared" si="261"/>
        <v>0.64437453182492666</v>
      </c>
      <c r="G434" s="29">
        <f t="shared" si="262"/>
        <v>0.66230646103263968</v>
      </c>
      <c r="H434" s="29">
        <f t="shared" si="263"/>
        <v>3.9959360510719169</v>
      </c>
      <c r="I434" s="29">
        <f t="shared" si="264"/>
        <v>0.70954670525243324</v>
      </c>
      <c r="J434" s="29">
        <f t="shared" si="265"/>
        <v>-1.1367186958259006</v>
      </c>
      <c r="K434" s="26">
        <f t="shared" si="228"/>
        <v>-3.3867150903972831</v>
      </c>
      <c r="L434" s="26">
        <f t="shared" si="229"/>
        <v>3.2713240575619827E-2</v>
      </c>
      <c r="M434" s="26">
        <f t="shared" si="230"/>
        <v>0.66230646103263968</v>
      </c>
      <c r="N434" s="26">
        <f t="shared" si="231"/>
        <v>0.65977831245115903</v>
      </c>
      <c r="O434" s="26">
        <f t="shared" si="232"/>
        <v>-0.53785515066566236</v>
      </c>
      <c r="P434" s="26">
        <f t="shared" si="233"/>
        <v>0.36868666979341741</v>
      </c>
      <c r="Q434" s="26">
        <f t="shared" si="234"/>
        <v>6.7964930241680196E-2</v>
      </c>
      <c r="R434" s="26">
        <f t="shared" si="235"/>
        <v>-8.0724298376454904</v>
      </c>
      <c r="S434" s="26">
        <f t="shared" si="236"/>
        <v>3.1192686235378524E-4</v>
      </c>
      <c r="T434" s="26">
        <f t="shared" si="237"/>
        <v>1.3066809928575664</v>
      </c>
      <c r="U434" s="26">
        <f t="shared" si="238"/>
        <v>0.78695723590272437</v>
      </c>
      <c r="V434" s="26">
        <f t="shared" si="239"/>
        <v>-0.57708934212198337</v>
      </c>
      <c r="W434" s="26">
        <f t="shared" si="240"/>
        <v>0.35960261063994098</v>
      </c>
      <c r="X434" s="26">
        <f t="shared" si="241"/>
        <v>0.20505440814958947</v>
      </c>
      <c r="Y434" s="26">
        <f t="shared" si="242"/>
        <v>0.74701857148497552</v>
      </c>
      <c r="Z434" s="26">
        <f t="shared" si="243"/>
        <v>0.67852871408163129</v>
      </c>
      <c r="AA434" s="26">
        <f t="shared" si="244"/>
        <v>3.5272441445082903E-2</v>
      </c>
      <c r="AB434" s="26">
        <f t="shared" si="245"/>
        <v>0.50881719622425059</v>
      </c>
      <c r="AC434" s="26">
        <f t="shared" si="246"/>
        <v>1.9356682196170567</v>
      </c>
      <c r="AD434" s="26">
        <f t="shared" si="247"/>
        <v>0.87387547982648306</v>
      </c>
      <c r="AE434" s="26">
        <f t="shared" si="248"/>
        <v>7.953697294499941E-3</v>
      </c>
      <c r="AF434" s="26">
        <f t="shared" si="249"/>
        <v>-3.9386961757632308</v>
      </c>
      <c r="AG434" s="26">
        <f t="shared" si="250"/>
        <v>1.910161141953436E-2</v>
      </c>
      <c r="AH434" s="26">
        <f t="shared" si="251"/>
        <v>0.67964697327000956</v>
      </c>
      <c r="AI434" s="26">
        <f t="shared" si="252"/>
        <v>0.66365990094199534</v>
      </c>
      <c r="AJ434" s="26">
        <f t="shared" si="253"/>
        <v>-0.58949218199946718</v>
      </c>
      <c r="AK434" s="26">
        <f t="shared" si="254"/>
        <v>0.35675137981639882</v>
      </c>
      <c r="AL434" s="26">
        <f t="shared" si="255"/>
        <v>6.3635773500452228E-2</v>
      </c>
      <c r="AM434" s="27">
        <f t="shared" si="256"/>
        <v>0.34460880918622189</v>
      </c>
    </row>
    <row r="435" spans="1:39" ht="15" customHeight="1" x14ac:dyDescent="0.2">
      <c r="A435" s="24">
        <v>424</v>
      </c>
      <c r="B435" s="29">
        <f t="shared" si="257"/>
        <v>4.1397207047240734</v>
      </c>
      <c r="C435" s="29">
        <f t="shared" si="258"/>
        <v>-4.6916604518272615</v>
      </c>
      <c r="D435" s="29">
        <f t="shared" si="259"/>
        <v>-3.391394970055825</v>
      </c>
      <c r="E435" s="29">
        <f t="shared" si="260"/>
        <v>-0.63753519977504858</v>
      </c>
      <c r="F435" s="29">
        <f t="shared" si="261"/>
        <v>0.64895193790016648</v>
      </c>
      <c r="G435" s="29">
        <f t="shared" si="262"/>
        <v>0.65568109674926811</v>
      </c>
      <c r="H435" s="29">
        <f t="shared" si="263"/>
        <v>4.0010432749511455</v>
      </c>
      <c r="I435" s="29">
        <f t="shared" si="264"/>
        <v>0.72172683357632983</v>
      </c>
      <c r="J435" s="29">
        <f t="shared" si="265"/>
        <v>-1.1430229926522388</v>
      </c>
      <c r="K435" s="26">
        <f t="shared" si="228"/>
        <v>-3.391394970055825</v>
      </c>
      <c r="L435" s="26">
        <f t="shared" si="229"/>
        <v>3.2565478151609144E-2</v>
      </c>
      <c r="M435" s="26">
        <f t="shared" si="230"/>
        <v>0.65568109674926811</v>
      </c>
      <c r="N435" s="26">
        <f t="shared" si="231"/>
        <v>0.65828954047556865</v>
      </c>
      <c r="O435" s="26">
        <f t="shared" si="232"/>
        <v>-0.53762187967432529</v>
      </c>
      <c r="P435" s="26">
        <f t="shared" si="233"/>
        <v>0.36874096686802516</v>
      </c>
      <c r="Q435" s="26">
        <f t="shared" si="234"/>
        <v>6.7984950323383017E-2</v>
      </c>
      <c r="R435" s="26">
        <f t="shared" si="235"/>
        <v>-8.0830554218830866</v>
      </c>
      <c r="S435" s="26">
        <f t="shared" si="236"/>
        <v>3.0863102125787043E-4</v>
      </c>
      <c r="T435" s="26">
        <f t="shared" si="237"/>
        <v>1.3046330346494346</v>
      </c>
      <c r="U435" s="26">
        <f t="shared" si="238"/>
        <v>0.78661368257557196</v>
      </c>
      <c r="V435" s="26">
        <f t="shared" si="239"/>
        <v>-0.57406794420710994</v>
      </c>
      <c r="W435" s="26">
        <f t="shared" si="240"/>
        <v>0.36029869880294479</v>
      </c>
      <c r="X435" s="26">
        <f t="shared" si="241"/>
        <v>0.20460887737660274</v>
      </c>
      <c r="Y435" s="26">
        <f t="shared" si="242"/>
        <v>0.74832573466824837</v>
      </c>
      <c r="Z435" s="26">
        <f t="shared" si="243"/>
        <v>0.67881377575226309</v>
      </c>
      <c r="AA435" s="26">
        <f t="shared" si="244"/>
        <v>1.8145896974219533E-2</v>
      </c>
      <c r="AB435" s="26">
        <f t="shared" si="245"/>
        <v>0.50453634976922845</v>
      </c>
      <c r="AC435" s="26">
        <f t="shared" si="246"/>
        <v>1.9370777219086532</v>
      </c>
      <c r="AD435" s="26">
        <f t="shared" si="247"/>
        <v>0.87403074926822799</v>
      </c>
      <c r="AE435" s="26">
        <f t="shared" si="248"/>
        <v>7.9341260649620216E-3</v>
      </c>
      <c r="AF435" s="26">
        <f t="shared" si="249"/>
        <v>-3.9433347171590132</v>
      </c>
      <c r="AG435" s="26">
        <f t="shared" si="250"/>
        <v>1.9014893869537697E-2</v>
      </c>
      <c r="AH435" s="26">
        <f t="shared" si="251"/>
        <v>0.66709783487438601</v>
      </c>
      <c r="AI435" s="26">
        <f t="shared" si="252"/>
        <v>0.66085301160576215</v>
      </c>
      <c r="AJ435" s="26">
        <f t="shared" si="253"/>
        <v>-0.58998822788600702</v>
      </c>
      <c r="AK435" s="26">
        <f t="shared" si="254"/>
        <v>0.35663755537974495</v>
      </c>
      <c r="AL435" s="26">
        <f t="shared" si="255"/>
        <v>6.3595172953620327E-2</v>
      </c>
      <c r="AM435" s="27">
        <f t="shared" si="256"/>
        <v>0.3441231267185681</v>
      </c>
    </row>
    <row r="436" spans="1:39" ht="15" customHeight="1" x14ac:dyDescent="0.2">
      <c r="A436" s="24">
        <v>425</v>
      </c>
      <c r="B436" s="29">
        <f t="shared" si="257"/>
        <v>4.1457121845282696</v>
      </c>
      <c r="C436" s="29">
        <f t="shared" si="258"/>
        <v>-4.6975856032929455</v>
      </c>
      <c r="D436" s="29">
        <f t="shared" si="259"/>
        <v>-3.3960408674442459</v>
      </c>
      <c r="E436" s="29">
        <f t="shared" si="260"/>
        <v>-0.6482695095778187</v>
      </c>
      <c r="F436" s="29">
        <f t="shared" si="261"/>
        <v>0.6535768715480943</v>
      </c>
      <c r="G436" s="29">
        <f t="shared" si="262"/>
        <v>0.64887356614337033</v>
      </c>
      <c r="H436" s="29">
        <f t="shared" si="263"/>
        <v>4.0061523323074262</v>
      </c>
      <c r="I436" s="29">
        <f t="shared" si="264"/>
        <v>0.73412350847110641</v>
      </c>
      <c r="J436" s="29">
        <f t="shared" si="265"/>
        <v>-1.1493747476812082</v>
      </c>
      <c r="K436" s="26">
        <f t="shared" si="228"/>
        <v>-3.3960408674442459</v>
      </c>
      <c r="L436" s="26">
        <f t="shared" si="229"/>
        <v>3.2419426739720723E-2</v>
      </c>
      <c r="M436" s="26">
        <f t="shared" si="230"/>
        <v>0.64887356614337033</v>
      </c>
      <c r="N436" s="26">
        <f t="shared" si="231"/>
        <v>0.65675657850265479</v>
      </c>
      <c r="O436" s="26">
        <f t="shared" si="232"/>
        <v>-0.53735714201395768</v>
      </c>
      <c r="P436" s="26">
        <f t="shared" si="233"/>
        <v>0.36880259227657214</v>
      </c>
      <c r="Q436" s="26">
        <f t="shared" si="234"/>
        <v>6.800767603495976E-2</v>
      </c>
      <c r="R436" s="26">
        <f t="shared" si="235"/>
        <v>-8.0936264707371919</v>
      </c>
      <c r="S436" s="26">
        <f t="shared" si="236"/>
        <v>3.0538664245041952E-4</v>
      </c>
      <c r="T436" s="26">
        <f t="shared" si="237"/>
        <v>1.3024504376914647</v>
      </c>
      <c r="U436" s="26">
        <f t="shared" si="238"/>
        <v>0.78624709883266919</v>
      </c>
      <c r="V436" s="26">
        <f t="shared" si="239"/>
        <v>-0.57094884355103204</v>
      </c>
      <c r="W436" s="26">
        <f t="shared" si="240"/>
        <v>0.36101791299291464</v>
      </c>
      <c r="X436" s="26">
        <f t="shared" si="241"/>
        <v>0.20414905375796522</v>
      </c>
      <c r="Y436" s="26">
        <f t="shared" si="242"/>
        <v>0.74967131708402368</v>
      </c>
      <c r="Z436" s="26">
        <f t="shared" si="243"/>
        <v>0.67910707659604452</v>
      </c>
      <c r="AA436" s="26">
        <f t="shared" si="244"/>
        <v>6.0405656555162501E-4</v>
      </c>
      <c r="AB436" s="26">
        <f t="shared" si="245"/>
        <v>0.50015101413679597</v>
      </c>
      <c r="AC436" s="26">
        <f t="shared" si="246"/>
        <v>1.9384042683739999</v>
      </c>
      <c r="AD436" s="26">
        <f t="shared" si="247"/>
        <v>0.87417673090575942</v>
      </c>
      <c r="AE436" s="26">
        <f t="shared" si="248"/>
        <v>7.9157475227808385E-3</v>
      </c>
      <c r="AF436" s="26">
        <f t="shared" si="249"/>
        <v>-3.9479142862089218</v>
      </c>
      <c r="AG436" s="26">
        <f t="shared" si="250"/>
        <v>1.8929657566769453E-2</v>
      </c>
      <c r="AH436" s="26">
        <f t="shared" si="251"/>
        <v>0.65418092811364592</v>
      </c>
      <c r="AI436" s="26">
        <f t="shared" si="252"/>
        <v>0.65795200582184643</v>
      </c>
      <c r="AJ436" s="26">
        <f t="shared" si="253"/>
        <v>-0.59052162095077809</v>
      </c>
      <c r="AK436" s="26">
        <f t="shared" si="254"/>
        <v>0.35651517919031045</v>
      </c>
      <c r="AL436" s="26">
        <f t="shared" si="255"/>
        <v>6.3551536496549585E-2</v>
      </c>
      <c r="AM436" s="27">
        <f t="shared" si="256"/>
        <v>0.34362401381225544</v>
      </c>
    </row>
    <row r="437" spans="1:39" ht="15" customHeight="1" x14ac:dyDescent="0.2">
      <c r="A437" s="24">
        <v>426</v>
      </c>
      <c r="B437" s="29">
        <f t="shared" si="257"/>
        <v>4.1517093545214934</v>
      </c>
      <c r="C437" s="29">
        <f t="shared" si="258"/>
        <v>-4.7034903798680379</v>
      </c>
      <c r="D437" s="29">
        <f t="shared" si="259"/>
        <v>-3.4006522141618176</v>
      </c>
      <c r="E437" s="29">
        <f t="shared" si="260"/>
        <v>-0.65924231115720866</v>
      </c>
      <c r="F437" s="29">
        <f t="shared" si="261"/>
        <v>0.6582504727216032</v>
      </c>
      <c r="G437" s="29">
        <f t="shared" si="262"/>
        <v>0.64187927888994112</v>
      </c>
      <c r="H437" s="29">
        <f t="shared" si="263"/>
        <v>4.0112643403863393</v>
      </c>
      <c r="I437" s="29">
        <f t="shared" si="264"/>
        <v>0.74674309884789281</v>
      </c>
      <c r="J437" s="29">
        <f t="shared" si="265"/>
        <v>-1.1557737282290184</v>
      </c>
      <c r="K437" s="26">
        <f t="shared" si="228"/>
        <v>-3.4006522141618176</v>
      </c>
      <c r="L437" s="26">
        <f t="shared" si="229"/>
        <v>3.2275087613072198E-2</v>
      </c>
      <c r="M437" s="26">
        <f t="shared" si="230"/>
        <v>0.64187927888994112</v>
      </c>
      <c r="N437" s="26">
        <f t="shared" si="231"/>
        <v>0.65517815053189477</v>
      </c>
      <c r="O437" s="26">
        <f t="shared" si="232"/>
        <v>-0.53706005777823873</v>
      </c>
      <c r="P437" s="26">
        <f t="shared" si="233"/>
        <v>0.36887175239103714</v>
      </c>
      <c r="Q437" s="26">
        <f t="shared" si="234"/>
        <v>6.8033184856017309E-2</v>
      </c>
      <c r="R437" s="26">
        <f t="shared" si="235"/>
        <v>-8.1041425940298559</v>
      </c>
      <c r="S437" s="26">
        <f t="shared" si="236"/>
        <v>3.0219295141071075E-4</v>
      </c>
      <c r="T437" s="26">
        <f t="shared" si="237"/>
        <v>1.3001297516115442</v>
      </c>
      <c r="U437" s="26">
        <f t="shared" si="238"/>
        <v>0.78585681921642847</v>
      </c>
      <c r="V437" s="26">
        <f t="shared" si="239"/>
        <v>-0.56772839598668445</v>
      </c>
      <c r="W437" s="26">
        <f t="shared" si="240"/>
        <v>0.36176115067212294</v>
      </c>
      <c r="X437" s="26">
        <f t="shared" si="241"/>
        <v>0.20367441439568623</v>
      </c>
      <c r="Y437" s="26">
        <f t="shared" si="242"/>
        <v>0.75105714035967575</v>
      </c>
      <c r="Z437" s="26">
        <f t="shared" si="243"/>
        <v>0.67940900112291014</v>
      </c>
      <c r="AA437" s="26">
        <f t="shared" si="244"/>
        <v>-1.7363032267267542E-2</v>
      </c>
      <c r="AB437" s="26">
        <f t="shared" si="245"/>
        <v>0.49565935098235875</v>
      </c>
      <c r="AC437" s="26">
        <f t="shared" si="246"/>
        <v>1.9396455702383153</v>
      </c>
      <c r="AD437" s="26">
        <f t="shared" si="247"/>
        <v>0.87431320049689987</v>
      </c>
      <c r="AE437" s="26">
        <f t="shared" si="248"/>
        <v>7.8985857846662465E-3</v>
      </c>
      <c r="AF437" s="26">
        <f t="shared" si="249"/>
        <v>-3.9524332395083621</v>
      </c>
      <c r="AG437" s="26">
        <f t="shared" si="250"/>
        <v>1.8845916802966899E-2</v>
      </c>
      <c r="AH437" s="26">
        <f t="shared" si="251"/>
        <v>0.64088744045433566</v>
      </c>
      <c r="AI437" s="26">
        <f t="shared" si="252"/>
        <v>0.65495404017399261</v>
      </c>
      <c r="AJ437" s="26">
        <f t="shared" si="253"/>
        <v>-0.59109536463291501</v>
      </c>
      <c r="AK437" s="26">
        <f t="shared" si="254"/>
        <v>0.3563835662822209</v>
      </c>
      <c r="AL437" s="26">
        <f t="shared" si="255"/>
        <v>6.3504623158017068E-2</v>
      </c>
      <c r="AM437" s="27">
        <f t="shared" si="256"/>
        <v>0.34311080819438683</v>
      </c>
    </row>
    <row r="438" spans="1:39" ht="15" customHeight="1" x14ac:dyDescent="0.2">
      <c r="A438" s="24">
        <v>427</v>
      </c>
      <c r="B438" s="29">
        <f t="shared" si="257"/>
        <v>4.157713510225495</v>
      </c>
      <c r="C438" s="29">
        <f t="shared" si="258"/>
        <v>-4.7093749528723698</v>
      </c>
      <c r="D438" s="29">
        <f t="shared" si="259"/>
        <v>-3.4052284118132707</v>
      </c>
      <c r="E438" s="29">
        <f t="shared" si="260"/>
        <v>-0.67045905412442863</v>
      </c>
      <c r="F438" s="29">
        <f t="shared" si="261"/>
        <v>0.66297404405252136</v>
      </c>
      <c r="G438" s="29">
        <f t="shared" si="262"/>
        <v>0.63469358699752398</v>
      </c>
      <c r="H438" s="29">
        <f t="shared" si="263"/>
        <v>4.0163804514464871</v>
      </c>
      <c r="I438" s="29">
        <f t="shared" si="264"/>
        <v>0.75959217502815179</v>
      </c>
      <c r="J438" s="29">
        <f t="shared" si="265"/>
        <v>-1.1622196392049067</v>
      </c>
      <c r="K438" s="26">
        <f t="shared" si="228"/>
        <v>-3.4052284118132707</v>
      </c>
      <c r="L438" s="26">
        <f t="shared" si="229"/>
        <v>3.213246289544508E-2</v>
      </c>
      <c r="M438" s="26">
        <f t="shared" si="230"/>
        <v>0.63469358699752398</v>
      </c>
      <c r="N438" s="26">
        <f t="shared" si="231"/>
        <v>0.65355295567567862</v>
      </c>
      <c r="O438" s="26">
        <f t="shared" si="232"/>
        <v>-0.53672973227704546</v>
      </c>
      <c r="P438" s="26">
        <f t="shared" si="233"/>
        <v>0.36894865727618714</v>
      </c>
      <c r="Q438" s="26">
        <f t="shared" si="234"/>
        <v>6.8061555852950706E-2</v>
      </c>
      <c r="R438" s="26">
        <f t="shared" si="235"/>
        <v>-8.1146033646856406</v>
      </c>
      <c r="S438" s="26">
        <f t="shared" si="236"/>
        <v>2.9904919731099254E-4</v>
      </c>
      <c r="T438" s="26">
        <f t="shared" si="237"/>
        <v>1.2976676310500452</v>
      </c>
      <c r="U438" s="26">
        <f t="shared" si="238"/>
        <v>0.78544218747961847</v>
      </c>
      <c r="V438" s="26">
        <f t="shared" si="239"/>
        <v>-0.56440280430829326</v>
      </c>
      <c r="W438" s="26">
        <f t="shared" si="240"/>
        <v>0.36252934905579287</v>
      </c>
      <c r="X438" s="26">
        <f t="shared" si="241"/>
        <v>0.20318441540761562</v>
      </c>
      <c r="Y438" s="26">
        <f t="shared" si="242"/>
        <v>0.75248509841222422</v>
      </c>
      <c r="Z438" s="26">
        <f t="shared" si="243"/>
        <v>0.67971994839420558</v>
      </c>
      <c r="AA438" s="26">
        <f t="shared" si="244"/>
        <v>-3.5765467126904649E-2</v>
      </c>
      <c r="AB438" s="26">
        <f t="shared" si="245"/>
        <v>0.49105958622269996</v>
      </c>
      <c r="AC438" s="26">
        <f t="shared" si="246"/>
        <v>1.9407992931511209</v>
      </c>
      <c r="AD438" s="26">
        <f t="shared" si="247"/>
        <v>0.87443992793675396</v>
      </c>
      <c r="AE438" s="26">
        <f t="shared" si="248"/>
        <v>7.8826658482637688E-3</v>
      </c>
      <c r="AF438" s="26">
        <f t="shared" si="249"/>
        <v>-3.9568898544601456</v>
      </c>
      <c r="AG438" s="26">
        <f t="shared" si="250"/>
        <v>1.8763687120694598E-2</v>
      </c>
      <c r="AH438" s="26">
        <f t="shared" si="251"/>
        <v>0.62720857692561671</v>
      </c>
      <c r="AI438" s="26">
        <f t="shared" si="252"/>
        <v>0.65185624636048201</v>
      </c>
      <c r="AJ438" s="26">
        <f t="shared" si="253"/>
        <v>-0.59171262907764532</v>
      </c>
      <c r="AK438" s="26">
        <f t="shared" si="254"/>
        <v>0.35624199422473307</v>
      </c>
      <c r="AL438" s="26">
        <f t="shared" si="255"/>
        <v>6.3454179224607374E-2</v>
      </c>
      <c r="AM438" s="27">
        <f t="shared" si="256"/>
        <v>0.34258281633343746</v>
      </c>
    </row>
    <row r="439" spans="1:39" ht="15" customHeight="1" x14ac:dyDescent="0.2">
      <c r="A439" s="24">
        <v>428</v>
      </c>
      <c r="B439" s="29">
        <f t="shared" si="257"/>
        <v>4.1637259907228215</v>
      </c>
      <c r="C439" s="29">
        <f t="shared" si="258"/>
        <v>-4.7152394863396969</v>
      </c>
      <c r="D439" s="29">
        <f t="shared" si="259"/>
        <v>-3.4097688311785421</v>
      </c>
      <c r="E439" s="29">
        <f t="shared" si="260"/>
        <v>-0.68192526718386015</v>
      </c>
      <c r="F439" s="29">
        <f t="shared" si="261"/>
        <v>0.66774906739329987</v>
      </c>
      <c r="G439" s="29">
        <f t="shared" si="262"/>
        <v>0.62731179237415147</v>
      </c>
      <c r="H439" s="29">
        <f t="shared" si="263"/>
        <v>4.0215018539865506</v>
      </c>
      <c r="I439" s="29">
        <f t="shared" si="264"/>
        <v>0.7726775106904914</v>
      </c>
      <c r="J439" s="29">
        <f t="shared" si="265"/>
        <v>-1.1687121201495185</v>
      </c>
      <c r="K439" s="26">
        <f t="shared" si="228"/>
        <v>-3.4097688311785421</v>
      </c>
      <c r="L439" s="26">
        <f t="shared" si="229"/>
        <v>3.199155557331821E-2</v>
      </c>
      <c r="M439" s="26">
        <f t="shared" si="230"/>
        <v>0.62731179237415147</v>
      </c>
      <c r="N439" s="26">
        <f t="shared" si="231"/>
        <v>0.65187966967423339</v>
      </c>
      <c r="O439" s="26">
        <f t="shared" si="232"/>
        <v>-0.53636525966587911</v>
      </c>
      <c r="P439" s="26">
        <f t="shared" si="233"/>
        <v>0.3690335198632177</v>
      </c>
      <c r="Q439" s="26">
        <f t="shared" si="234"/>
        <v>6.8092869391317951E-2</v>
      </c>
      <c r="R439" s="26">
        <f t="shared" si="235"/>
        <v>-8.1250083175182386</v>
      </c>
      <c r="S439" s="26">
        <f t="shared" si="236"/>
        <v>2.9595465262315221E-4</v>
      </c>
      <c r="T439" s="26">
        <f t="shared" si="237"/>
        <v>1.2950608597674513</v>
      </c>
      <c r="U439" s="26">
        <f t="shared" si="238"/>
        <v>0.78500256032470239</v>
      </c>
      <c r="V439" s="26">
        <f t="shared" si="239"/>
        <v>-0.5609681137679452</v>
      </c>
      <c r="W439" s="26">
        <f t="shared" si="240"/>
        <v>0.36332348647772444</v>
      </c>
      <c r="X439" s="26">
        <f t="shared" si="241"/>
        <v>0.2026784914354402</v>
      </c>
      <c r="Y439" s="26">
        <f t="shared" si="242"/>
        <v>0.75395715954427933</v>
      </c>
      <c r="Z439" s="26">
        <f t="shared" si="243"/>
        <v>0.68004033237395844</v>
      </c>
      <c r="AA439" s="26">
        <f t="shared" si="244"/>
        <v>-5.4613474809708684E-2</v>
      </c>
      <c r="AB439" s="26">
        <f t="shared" si="245"/>
        <v>0.48635002386647791</v>
      </c>
      <c r="AC439" s="26">
        <f t="shared" si="246"/>
        <v>1.9418630630433968</v>
      </c>
      <c r="AD439" s="26">
        <f t="shared" si="247"/>
        <v>0.87455667776132928</v>
      </c>
      <c r="AE439" s="26">
        <f t="shared" si="248"/>
        <v>7.8680135471374899E-3</v>
      </c>
      <c r="AF439" s="26">
        <f t="shared" si="249"/>
        <v>-3.9612823267954176</v>
      </c>
      <c r="AG439" s="26">
        <f t="shared" si="250"/>
        <v>1.8682985346549944E-2</v>
      </c>
      <c r="AH439" s="26">
        <f t="shared" si="251"/>
        <v>0.61313559258359118</v>
      </c>
      <c r="AI439" s="26">
        <f t="shared" si="252"/>
        <v>0.64865574090621314</v>
      </c>
      <c r="AJ439" s="26">
        <f t="shared" si="253"/>
        <v>-0.59237675676185531</v>
      </c>
      <c r="AK439" s="26">
        <f t="shared" si="254"/>
        <v>0.3560897019537938</v>
      </c>
      <c r="AL439" s="26">
        <f t="shared" si="255"/>
        <v>6.3399937918770854E-2</v>
      </c>
      <c r="AM439" s="27">
        <f t="shared" si="256"/>
        <v>0.34203931229266649</v>
      </c>
    </row>
    <row r="440" spans="1:39" ht="15" customHeight="1" x14ac:dyDescent="0.2">
      <c r="A440" s="24">
        <v>429</v>
      </c>
      <c r="B440" s="29">
        <f t="shared" si="257"/>
        <v>4.1697481798501217</v>
      </c>
      <c r="C440" s="29">
        <f t="shared" si="258"/>
        <v>-4.7210841366187726</v>
      </c>
      <c r="D440" s="29">
        <f t="shared" si="259"/>
        <v>-3.4142728114333387</v>
      </c>
      <c r="E440" s="29">
        <f t="shared" si="260"/>
        <v>-0.69364654829776595</v>
      </c>
      <c r="F440" s="29">
        <f t="shared" si="261"/>
        <v>0.67257722167164302</v>
      </c>
      <c r="G440" s="29">
        <f t="shared" si="262"/>
        <v>0.61972915551629082</v>
      </c>
      <c r="H440" s="29">
        <f t="shared" si="263"/>
        <v>4.026629773946131</v>
      </c>
      <c r="I440" s="29">
        <f t="shared" si="264"/>
        <v>0.78600608399145799</v>
      </c>
      <c r="J440" s="29">
        <f t="shared" si="265"/>
        <v>-1.1752507423753282</v>
      </c>
      <c r="K440" s="26">
        <f t="shared" si="228"/>
        <v>-3.4142728114333387</v>
      </c>
      <c r="L440" s="26">
        <f t="shared" si="229"/>
        <v>3.1852369506364817E-2</v>
      </c>
      <c r="M440" s="26">
        <f t="shared" si="230"/>
        <v>0.61972915551629082</v>
      </c>
      <c r="N440" s="26">
        <f t="shared" si="231"/>
        <v>0.65015694671857416</v>
      </c>
      <c r="O440" s="26">
        <f t="shared" si="232"/>
        <v>-0.53596572728015635</v>
      </c>
      <c r="P440" s="26">
        <f t="shared" si="233"/>
        <v>0.36912655495955943</v>
      </c>
      <c r="Q440" s="26">
        <f t="shared" si="234"/>
        <v>6.8127206788156328E-2</v>
      </c>
      <c r="R440" s="26">
        <f t="shared" si="235"/>
        <v>-8.1353569480521113</v>
      </c>
      <c r="S440" s="26">
        <f t="shared" si="236"/>
        <v>2.9290861272214649E-4</v>
      </c>
      <c r="T440" s="26">
        <f t="shared" si="237"/>
        <v>1.2923063771879337</v>
      </c>
      <c r="U440" s="26">
        <f t="shared" si="238"/>
        <v>0.78453731160503659</v>
      </c>
      <c r="V440" s="26">
        <f t="shared" si="239"/>
        <v>-0.55742020779443502</v>
      </c>
      <c r="W440" s="26">
        <f t="shared" si="240"/>
        <v>0.36414458372372105</v>
      </c>
      <c r="X440" s="26">
        <f t="shared" si="241"/>
        <v>0.20215605520394</v>
      </c>
      <c r="Y440" s="26">
        <f t="shared" si="242"/>
        <v>0.75547536841678298</v>
      </c>
      <c r="Z440" s="26">
        <f t="shared" si="243"/>
        <v>0.68037058224472935</v>
      </c>
      <c r="AA440" s="26">
        <f t="shared" si="244"/>
        <v>-7.3917392781475133E-2</v>
      </c>
      <c r="AB440" s="26">
        <f t="shared" si="245"/>
        <v>0.4815290611358819</v>
      </c>
      <c r="AC440" s="26">
        <f t="shared" si="246"/>
        <v>1.9428344730798621</v>
      </c>
      <c r="AD440" s="26">
        <f t="shared" si="247"/>
        <v>0.87466320975906209</v>
      </c>
      <c r="AE440" s="26">
        <f t="shared" si="248"/>
        <v>7.8546554939504347E-3</v>
      </c>
      <c r="AF440" s="26">
        <f t="shared" si="249"/>
        <v>-3.9656087682019896</v>
      </c>
      <c r="AG440" s="26">
        <f t="shared" si="250"/>
        <v>1.8603829623120016E-2</v>
      </c>
      <c r="AH440" s="26">
        <f t="shared" si="251"/>
        <v>0.59865982889016789</v>
      </c>
      <c r="AI440" s="26">
        <f t="shared" si="252"/>
        <v>0.64534963637895493</v>
      </c>
      <c r="AJ440" s="26">
        <f t="shared" si="253"/>
        <v>-0.59309126760991848</v>
      </c>
      <c r="AK440" s="26">
        <f t="shared" si="254"/>
        <v>0.35592588873682335</v>
      </c>
      <c r="AL440" s="26">
        <f t="shared" si="255"/>
        <v>6.3341619136548774E-2</v>
      </c>
      <c r="AM440" s="27">
        <f t="shared" si="256"/>
        <v>0.34147953662259556</v>
      </c>
    </row>
    <row r="441" spans="1:39" ht="15" customHeight="1" x14ac:dyDescent="0.2">
      <c r="A441" s="24">
        <v>430</v>
      </c>
      <c r="B441" s="29">
        <f t="shared" si="257"/>
        <v>4.1757815072985869</v>
      </c>
      <c r="C441" s="29">
        <f t="shared" si="258"/>
        <v>-4.7269090519602219</v>
      </c>
      <c r="D441" s="29">
        <f t="shared" si="259"/>
        <v>-3.4187396594347081</v>
      </c>
      <c r="E441" s="29">
        <f t="shared" si="260"/>
        <v>-0.70562855323650442</v>
      </c>
      <c r="F441" s="29">
        <f t="shared" si="261"/>
        <v>0.67746040210932279</v>
      </c>
      <c r="G441" s="29">
        <f t="shared" si="262"/>
        <v>0.61194090540614532</v>
      </c>
      <c r="H441" s="29">
        <f t="shared" si="263"/>
        <v>4.0317654758682755</v>
      </c>
      <c r="I441" s="29">
        <f t="shared" si="264"/>
        <v>0.79958507772629861</v>
      </c>
      <c r="J441" s="29">
        <f t="shared" si="265"/>
        <v>-1.1818350062621508</v>
      </c>
      <c r="K441" s="26">
        <f t="shared" si="228"/>
        <v>-3.4187396594347081</v>
      </c>
      <c r="L441" s="26">
        <f t="shared" si="229"/>
        <v>3.1714909436055427E-2</v>
      </c>
      <c r="M441" s="26">
        <f t="shared" si="230"/>
        <v>0.61194090540614532</v>
      </c>
      <c r="N441" s="26">
        <f t="shared" si="231"/>
        <v>0.64838342161072238</v>
      </c>
      <c r="O441" s="26">
        <f t="shared" si="232"/>
        <v>-0.53553022076252055</v>
      </c>
      <c r="P441" s="26">
        <f t="shared" si="233"/>
        <v>0.36922797807404056</v>
      </c>
      <c r="Q441" s="26">
        <f t="shared" si="234"/>
        <v>6.8164649896322094E-2</v>
      </c>
      <c r="R441" s="26">
        <f t="shared" si="235"/>
        <v>-8.1456487113949301</v>
      </c>
      <c r="S441" s="26">
        <f t="shared" si="236"/>
        <v>2.899103954826508E-4</v>
      </c>
      <c r="T441" s="26">
        <f t="shared" si="237"/>
        <v>1.289401307515468</v>
      </c>
      <c r="U441" s="26">
        <f t="shared" si="238"/>
        <v>0.78404583702443886</v>
      </c>
      <c r="V441" s="26">
        <f t="shared" si="239"/>
        <v>-0.55375480400038168</v>
      </c>
      <c r="W441" s="26">
        <f t="shared" si="240"/>
        <v>0.36499370531766256</v>
      </c>
      <c r="X441" s="26">
        <f t="shared" si="241"/>
        <v>0.20161649714309574</v>
      </c>
      <c r="Y441" s="26">
        <f t="shared" si="242"/>
        <v>0.75704184786387874</v>
      </c>
      <c r="Z441" s="26">
        <f t="shared" si="243"/>
        <v>0.68071114267997668</v>
      </c>
      <c r="AA441" s="26">
        <f t="shared" si="244"/>
        <v>-9.36876478303591E-2</v>
      </c>
      <c r="AB441" s="26">
        <f t="shared" si="245"/>
        <v>0.47659520492783497</v>
      </c>
      <c r="AC441" s="26">
        <f t="shared" si="246"/>
        <v>1.9437110918100271</v>
      </c>
      <c r="AD441" s="26">
        <f t="shared" si="247"/>
        <v>0.87475927970166067</v>
      </c>
      <c r="AE441" s="26">
        <f t="shared" si="248"/>
        <v>7.8426190104234315E-3</v>
      </c>
      <c r="AF441" s="26">
        <f t="shared" si="249"/>
        <v>-3.9698672040963432</v>
      </c>
      <c r="AG441" s="26">
        <f t="shared" si="250"/>
        <v>1.8526239439211823E-2</v>
      </c>
      <c r="AH441" s="26">
        <f t="shared" si="251"/>
        <v>0.58377275427896369</v>
      </c>
      <c r="AI441" s="26">
        <f t="shared" si="252"/>
        <v>0.64193505424251729</v>
      </c>
      <c r="AJ441" s="26">
        <f t="shared" si="253"/>
        <v>-0.59385986345172848</v>
      </c>
      <c r="AK441" s="26">
        <f t="shared" si="254"/>
        <v>0.35574971330632876</v>
      </c>
      <c r="AL441" s="26">
        <f t="shared" si="255"/>
        <v>6.3278929258767561E-2</v>
      </c>
      <c r="AM441" s="27">
        <f t="shared" si="256"/>
        <v>0.34090269530860878</v>
      </c>
    </row>
    <row r="442" spans="1:39" ht="15" customHeight="1" x14ac:dyDescent="0.2">
      <c r="A442" s="24">
        <v>431</v>
      </c>
      <c r="B442" s="29">
        <f t="shared" si="257"/>
        <v>4.1818274495984902</v>
      </c>
      <c r="C442" s="29">
        <f t="shared" si="258"/>
        <v>-4.7327143720912854</v>
      </c>
      <c r="D442" s="29">
        <f t="shared" si="259"/>
        <v>-3.4231686490875286</v>
      </c>
      <c r="E442" s="29">
        <f t="shared" si="260"/>
        <v>-0.71787698237538533</v>
      </c>
      <c r="F442" s="29">
        <f t="shared" si="261"/>
        <v>0.68240074084656188</v>
      </c>
      <c r="G442" s="29">
        <f t="shared" si="262"/>
        <v>0.60394225070085283</v>
      </c>
      <c r="H442" s="29">
        <f t="shared" si="263"/>
        <v>4.036910264009995</v>
      </c>
      <c r="I442" s="29">
        <f t="shared" si="264"/>
        <v>0.81342187838378255</v>
      </c>
      <c r="J442" s="29">
        <f t="shared" si="265"/>
        <v>-1.1884643387694482</v>
      </c>
      <c r="K442" s="26">
        <f t="shared" si="228"/>
        <v>-3.4231686490875286</v>
      </c>
      <c r="L442" s="26">
        <f t="shared" si="229"/>
        <v>3.1579180991969401E-2</v>
      </c>
      <c r="M442" s="26">
        <f t="shared" si="230"/>
        <v>0.60394225070085283</v>
      </c>
      <c r="N442" s="26">
        <f t="shared" si="231"/>
        <v>0.64655771229096892</v>
      </c>
      <c r="O442" s="26">
        <f t="shared" si="232"/>
        <v>-0.53505783007869645</v>
      </c>
      <c r="P442" s="26">
        <f t="shared" si="233"/>
        <v>0.36933800403479672</v>
      </c>
      <c r="Q442" s="26">
        <f t="shared" si="234"/>
        <v>6.8205280612203753E-2</v>
      </c>
      <c r="R442" s="26">
        <f t="shared" si="235"/>
        <v>-8.1558830211788145</v>
      </c>
      <c r="S442" s="26">
        <f t="shared" si="236"/>
        <v>2.8695934086507449E-4</v>
      </c>
      <c r="T442" s="26">
        <f t="shared" si="237"/>
        <v>1.2863429915474147</v>
      </c>
      <c r="U442" s="26">
        <f t="shared" si="238"/>
        <v>0.78352755937131657</v>
      </c>
      <c r="V442" s="26">
        <f t="shared" si="239"/>
        <v>-0.5499674505516795</v>
      </c>
      <c r="W442" s="26">
        <f t="shared" si="240"/>
        <v>0.36587196074296296</v>
      </c>
      <c r="X442" s="26">
        <f t="shared" si="241"/>
        <v>0.20105918508598711</v>
      </c>
      <c r="Y442" s="26">
        <f t="shared" si="242"/>
        <v>0.75865880051096157</v>
      </c>
      <c r="Z442" s="26">
        <f t="shared" si="243"/>
        <v>0.68106247406394038</v>
      </c>
      <c r="AA442" s="26">
        <f t="shared" si="244"/>
        <v>-0.1139347316745325</v>
      </c>
      <c r="AB442" s="26">
        <f t="shared" si="245"/>
        <v>0.47154708965188064</v>
      </c>
      <c r="AC442" s="26">
        <f t="shared" si="246"/>
        <v>1.9444904726223524</v>
      </c>
      <c r="AD442" s="26">
        <f t="shared" si="247"/>
        <v>0.87484464020599928</v>
      </c>
      <c r="AE442" s="26">
        <f t="shared" si="248"/>
        <v>7.8319320425828867E-3</v>
      </c>
      <c r="AF442" s="26">
        <f t="shared" si="249"/>
        <v>-3.9740555715803239</v>
      </c>
      <c r="AG442" s="26">
        <f t="shared" si="250"/>
        <v>1.8450235657814926E-2</v>
      </c>
      <c r="AH442" s="26">
        <f t="shared" si="251"/>
        <v>0.56846600917202939</v>
      </c>
      <c r="AI442" s="26">
        <f t="shared" si="252"/>
        <v>0.63840913947972699</v>
      </c>
      <c r="AJ442" s="26">
        <f t="shared" si="253"/>
        <v>-0.59468643165603818</v>
      </c>
      <c r="AK442" s="26">
        <f t="shared" si="254"/>
        <v>0.35556029320232863</v>
      </c>
      <c r="AL442" s="26">
        <f t="shared" si="255"/>
        <v>6.3211561051062945E-2</v>
      </c>
      <c r="AM442" s="27">
        <f t="shared" si="256"/>
        <v>0.34030795879183667</v>
      </c>
    </row>
    <row r="443" spans="1:39" ht="15" customHeight="1" x14ac:dyDescent="0.2">
      <c r="A443" s="24">
        <v>432</v>
      </c>
      <c r="B443" s="29">
        <f t="shared" si="257"/>
        <v>4.1878875309620618</v>
      </c>
      <c r="C443" s="29">
        <f t="shared" si="258"/>
        <v>-4.7385002277810528</v>
      </c>
      <c r="D443" s="29">
        <f t="shared" si="259"/>
        <v>-3.4275590208095945</v>
      </c>
      <c r="E443" s="29">
        <f t="shared" si="260"/>
        <v>-0.73039756559835245</v>
      </c>
      <c r="F443" s="29">
        <f t="shared" si="261"/>
        <v>0.68740062900025722</v>
      </c>
      <c r="G443" s="29">
        <f t="shared" si="262"/>
        <v>0.59572839229319474</v>
      </c>
      <c r="H443" s="29">
        <f t="shared" si="263"/>
        <v>4.0420654833853655</v>
      </c>
      <c r="I443" s="29">
        <f t="shared" si="264"/>
        <v>0.82752407393741023</v>
      </c>
      <c r="J443" s="29">
        <f t="shared" si="265"/>
        <v>-1.1951380912364995</v>
      </c>
      <c r="K443" s="26">
        <f t="shared" si="228"/>
        <v>-3.4275590208095945</v>
      </c>
      <c r="L443" s="26">
        <f t="shared" si="229"/>
        <v>3.1445190695378558E-2</v>
      </c>
      <c r="M443" s="26">
        <f t="shared" si="230"/>
        <v>0.59572839229319474</v>
      </c>
      <c r="N443" s="26">
        <f t="shared" si="231"/>
        <v>0.64467842276200038</v>
      </c>
      <c r="O443" s="26">
        <f t="shared" si="232"/>
        <v>-0.53454765652468461</v>
      </c>
      <c r="P443" s="26">
        <f t="shared" si="233"/>
        <v>0.36945684537554335</v>
      </c>
      <c r="Q443" s="26">
        <f t="shared" si="234"/>
        <v>6.8249180297424078E-2</v>
      </c>
      <c r="R443" s="26">
        <f t="shared" si="235"/>
        <v>-8.1660592485906474</v>
      </c>
      <c r="S443" s="26">
        <f t="shared" si="236"/>
        <v>2.840548104867914E-4</v>
      </c>
      <c r="T443" s="26">
        <f t="shared" si="237"/>
        <v>1.2831290212934521</v>
      </c>
      <c r="U443" s="26">
        <f t="shared" si="238"/>
        <v>0.78298193432235219</v>
      </c>
      <c r="V443" s="26">
        <f t="shared" si="239"/>
        <v>-0.54605352298181464</v>
      </c>
      <c r="W443" s="26">
        <f t="shared" si="240"/>
        <v>0.366780505579899</v>
      </c>
      <c r="X443" s="26">
        <f t="shared" si="241"/>
        <v>0.20048346405682418</v>
      </c>
      <c r="Y443" s="26">
        <f t="shared" si="242"/>
        <v>0.76032851015246727</v>
      </c>
      <c r="Z443" s="26">
        <f t="shared" si="243"/>
        <v>0.68142505264909814</v>
      </c>
      <c r="AA443" s="26">
        <f t="shared" si="244"/>
        <v>-0.13466917330515771</v>
      </c>
      <c r="AB443" s="26">
        <f t="shared" si="245"/>
        <v>0.46638349646733163</v>
      </c>
      <c r="AC443" s="26">
        <f t="shared" si="246"/>
        <v>1.9451701646042954</v>
      </c>
      <c r="AD443" s="26">
        <f t="shared" si="247"/>
        <v>0.87491904173891866</v>
      </c>
      <c r="AE443" s="26">
        <f t="shared" si="248"/>
        <v>7.8226230597551859E-3</v>
      </c>
      <c r="AF443" s="26">
        <f t="shared" si="249"/>
        <v>-3.9781717176285856</v>
      </c>
      <c r="AG443" s="26">
        <f t="shared" si="250"/>
        <v>1.837584054118856E-2</v>
      </c>
      <c r="AH443" s="26">
        <f t="shared" si="251"/>
        <v>0.55273145569509952</v>
      </c>
      <c r="AI443" s="26">
        <f t="shared" si="252"/>
        <v>0.63476907711525499</v>
      </c>
      <c r="AJ443" s="26">
        <f t="shared" si="253"/>
        <v>-0.59557504775286185</v>
      </c>
      <c r="AK443" s="26">
        <f t="shared" si="254"/>
        <v>0.35535670436802697</v>
      </c>
      <c r="AL443" s="26">
        <f t="shared" si="255"/>
        <v>6.3139193669652663E-2</v>
      </c>
      <c r="AM443" s="27">
        <f t="shared" si="256"/>
        <v>0.33969446108365609</v>
      </c>
    </row>
    <row r="444" spans="1:39" ht="15" customHeight="1" x14ac:dyDescent="0.2">
      <c r="A444" s="24">
        <v>433</v>
      </c>
      <c r="B444" s="29">
        <f t="shared" si="257"/>
        <v>4.1939633239561127</v>
      </c>
      <c r="C444" s="29">
        <f t="shared" si="258"/>
        <v>-4.7442667403994268</v>
      </c>
      <c r="D444" s="29">
        <f t="shared" si="259"/>
        <v>-3.4319099811147864</v>
      </c>
      <c r="E444" s="29">
        <f t="shared" si="260"/>
        <v>-0.74319604517026949</v>
      </c>
      <c r="F444" s="29">
        <f t="shared" si="261"/>
        <v>0.69246274016741716</v>
      </c>
      <c r="G444" s="29">
        <f t="shared" si="262"/>
        <v>0.58729453731694015</v>
      </c>
      <c r="H444" s="29">
        <f t="shared" si="263"/>
        <v>4.0472325207240312</v>
      </c>
      <c r="I444" s="29">
        <f t="shared" si="264"/>
        <v>0.84189945020402002</v>
      </c>
      <c r="J444" s="29">
        <f t="shared" si="265"/>
        <v>-1.2018555375515478</v>
      </c>
      <c r="K444" s="26">
        <f t="shared" si="228"/>
        <v>-3.4319099811147864</v>
      </c>
      <c r="L444" s="26">
        <f t="shared" si="229"/>
        <v>3.1312945959626193E-2</v>
      </c>
      <c r="M444" s="26">
        <f t="shared" si="230"/>
        <v>0.58729453731694015</v>
      </c>
      <c r="N444" s="26">
        <f t="shared" si="231"/>
        <v>0.64274414643914091</v>
      </c>
      <c r="O444" s="26">
        <f t="shared" si="232"/>
        <v>-0.53399882083510974</v>
      </c>
      <c r="P444" s="26">
        <f t="shared" si="233"/>
        <v>0.3695847104640877</v>
      </c>
      <c r="Q444" s="26">
        <f t="shared" si="234"/>
        <v>6.8296429104411763E-2</v>
      </c>
      <c r="R444" s="26">
        <f t="shared" si="235"/>
        <v>-8.1761767215142136</v>
      </c>
      <c r="S444" s="26">
        <f t="shared" si="236"/>
        <v>2.8119618717411789E-4</v>
      </c>
      <c r="T444" s="26">
        <f t="shared" si="237"/>
        <v>1.2797572774843573</v>
      </c>
      <c r="U444" s="26">
        <f t="shared" si="238"/>
        <v>0.78240845684846616</v>
      </c>
      <c r="V444" s="26">
        <f t="shared" si="239"/>
        <v>-0.54200822154241368</v>
      </c>
      <c r="W444" s="26">
        <f t="shared" si="240"/>
        <v>0.36772054253689845</v>
      </c>
      <c r="X444" s="26">
        <f t="shared" si="241"/>
        <v>0.19988865616491702</v>
      </c>
      <c r="Y444" s="26">
        <f t="shared" si="242"/>
        <v>0.76205334284132631</v>
      </c>
      <c r="Z444" s="26">
        <f t="shared" si="243"/>
        <v>0.68179937064025586</v>
      </c>
      <c r="AA444" s="26">
        <f t="shared" si="244"/>
        <v>-0.15590150785332935</v>
      </c>
      <c r="AB444" s="26">
        <f t="shared" si="245"/>
        <v>0.46110337392397349</v>
      </c>
      <c r="AC444" s="26">
        <f t="shared" si="246"/>
        <v>1.9457477249066848</v>
      </c>
      <c r="AD444" s="26">
        <f t="shared" si="247"/>
        <v>0.87498223377665885</v>
      </c>
      <c r="AE444" s="26">
        <f t="shared" si="248"/>
        <v>7.8147209357369903E-3</v>
      </c>
      <c r="AF444" s="26">
        <f t="shared" si="249"/>
        <v>-3.9822133975581004</v>
      </c>
      <c r="AG444" s="26">
        <f t="shared" si="250"/>
        <v>1.8303077772395683E-2</v>
      </c>
      <c r="AH444" s="26">
        <f t="shared" si="251"/>
        <v>0.53656123231408781</v>
      </c>
      <c r="AI444" s="26">
        <f t="shared" si="252"/>
        <v>0.63101211076177555</v>
      </c>
      <c r="AJ444" s="26">
        <f t="shared" si="253"/>
        <v>-0.59652997683934983</v>
      </c>
      <c r="AK444" s="26">
        <f t="shared" si="254"/>
        <v>0.35513798104759309</v>
      </c>
      <c r="AL444" s="26">
        <f t="shared" si="255"/>
        <v>6.3061492791280288E-2</v>
      </c>
      <c r="AM444" s="27">
        <f t="shared" si="256"/>
        <v>0.33906129899634607</v>
      </c>
    </row>
    <row r="445" spans="1:39" ht="15" customHeight="1" x14ac:dyDescent="0.2">
      <c r="A445" s="24">
        <v>434</v>
      </c>
      <c r="B445" s="29">
        <f t="shared" si="257"/>
        <v>4.2000564499729096</v>
      </c>
      <c r="C445" s="29">
        <f t="shared" si="258"/>
        <v>-4.7500140214737145</v>
      </c>
      <c r="D445" s="29">
        <f t="shared" si="259"/>
        <v>-3.4362207023356186</v>
      </c>
      <c r="E445" s="29">
        <f t="shared" si="260"/>
        <v>-0.75627815644429408</v>
      </c>
      <c r="F445" s="29">
        <f t="shared" si="261"/>
        <v>0.69759005536393026</v>
      </c>
      <c r="G445" s="29">
        <f t="shared" si="262"/>
        <v>0.57863591466043696</v>
      </c>
      <c r="H445" s="29">
        <f t="shared" si="263"/>
        <v>4.0524128053260826</v>
      </c>
      <c r="I445" s="29">
        <f t="shared" si="264"/>
        <v>0.8565559855903363</v>
      </c>
      <c r="J445" s="29">
        <f t="shared" si="265"/>
        <v>-1.2086158727816221</v>
      </c>
      <c r="K445" s="26">
        <f t="shared" si="228"/>
        <v>-3.4362207023356186</v>
      </c>
      <c r="L445" s="26">
        <f t="shared" si="229"/>
        <v>3.1182455086786298E-2</v>
      </c>
      <c r="M445" s="26">
        <f t="shared" si="230"/>
        <v>0.57863591466043696</v>
      </c>
      <c r="N445" s="26">
        <f t="shared" si="231"/>
        <v>0.64075346995462956</v>
      </c>
      <c r="O445" s="26">
        <f t="shared" si="232"/>
        <v>-0.53341047250900819</v>
      </c>
      <c r="P445" s="26">
        <f t="shared" si="233"/>
        <v>0.36972180134533372</v>
      </c>
      <c r="Q445" s="26">
        <f t="shared" si="234"/>
        <v>6.83471051950192E-2</v>
      </c>
      <c r="R445" s="26">
        <f t="shared" si="235"/>
        <v>-8.1862347238093331</v>
      </c>
      <c r="S445" s="26">
        <f t="shared" si="236"/>
        <v>2.783828744903028E-4</v>
      </c>
      <c r="T445" s="26">
        <f t="shared" si="237"/>
        <v>1.2762259700243672</v>
      </c>
      <c r="U445" s="26">
        <f t="shared" si="238"/>
        <v>0.78180666825217304</v>
      </c>
      <c r="V445" s="26">
        <f t="shared" si="239"/>
        <v>-0.53782656919041694</v>
      </c>
      <c r="W445" s="26">
        <f t="shared" si="240"/>
        <v>0.36869332235136831</v>
      </c>
      <c r="X445" s="26">
        <f t="shared" si="241"/>
        <v>0.19927406062187669</v>
      </c>
      <c r="Y445" s="26">
        <f t="shared" si="242"/>
        <v>0.76383574763729101</v>
      </c>
      <c r="Z445" s="26">
        <f t="shared" si="243"/>
        <v>0.68218593619336354</v>
      </c>
      <c r="AA445" s="26">
        <f t="shared" si="244"/>
        <v>-0.17764224178385712</v>
      </c>
      <c r="AB445" s="26">
        <f t="shared" si="245"/>
        <v>0.45570585998816321</v>
      </c>
      <c r="AC445" s="26">
        <f t="shared" si="246"/>
        <v>1.9462207327031793</v>
      </c>
      <c r="AD445" s="26">
        <f t="shared" si="247"/>
        <v>0.87503396613021556</v>
      </c>
      <c r="AE445" s="26">
        <f t="shared" si="248"/>
        <v>7.8082548105720562E-3</v>
      </c>
      <c r="AF445" s="26">
        <f t="shared" si="249"/>
        <v>-3.9861782738364235</v>
      </c>
      <c r="AG445" s="26">
        <f t="shared" si="250"/>
        <v>1.8231972472535319E-2</v>
      </c>
      <c r="AH445" s="26">
        <f t="shared" si="251"/>
        <v>0.51994781358007314</v>
      </c>
      <c r="AI445" s="26">
        <f t="shared" si="252"/>
        <v>0.62713556330184572</v>
      </c>
      <c r="AJ445" s="26">
        <f t="shared" si="253"/>
        <v>-0.5975556735448041</v>
      </c>
      <c r="AK445" s="26">
        <f t="shared" si="254"/>
        <v>0.35490311603913466</v>
      </c>
      <c r="AL445" s="26">
        <f t="shared" si="255"/>
        <v>6.2978110887143737E-2</v>
      </c>
      <c r="AM445" s="27">
        <f t="shared" si="256"/>
        <v>0.33840753151461167</v>
      </c>
    </row>
    <row r="446" spans="1:39" ht="15" customHeight="1" x14ac:dyDescent="0.2">
      <c r="A446" s="24">
        <v>435</v>
      </c>
      <c r="B446" s="29">
        <f t="shared" si="257"/>
        <v>4.2061685794648955</v>
      </c>
      <c r="C446" s="29">
        <f t="shared" si="258"/>
        <v>-4.7557421722475031</v>
      </c>
      <c r="D446" s="29">
        <f t="shared" si="259"/>
        <v>-3.4404903225082117</v>
      </c>
      <c r="E446" s="29">
        <f t="shared" si="260"/>
        <v>-0.76964960627930046</v>
      </c>
      <c r="F446" s="29">
        <f t="shared" si="261"/>
        <v>0.70278588936259401</v>
      </c>
      <c r="G446" s="29">
        <f t="shared" si="262"/>
        <v>0.5697477920390237</v>
      </c>
      <c r="H446" s="29">
        <f t="shared" si="263"/>
        <v>4.0576078097924348</v>
      </c>
      <c r="I446" s="29">
        <f t="shared" si="264"/>
        <v>0.87150184403886088</v>
      </c>
      <c r="J446" s="29">
        <f t="shared" si="265"/>
        <v>-1.2154182123656982</v>
      </c>
      <c r="K446" s="26">
        <f t="shared" si="228"/>
        <v>-3.4404903225082117</v>
      </c>
      <c r="L446" s="26">
        <f t="shared" si="229"/>
        <v>3.105372726005139E-2</v>
      </c>
      <c r="M446" s="26">
        <f t="shared" si="230"/>
        <v>0.5697477920390237</v>
      </c>
      <c r="N446" s="26">
        <f t="shared" si="231"/>
        <v>0.63870497744161681</v>
      </c>
      <c r="O446" s="26">
        <f t="shared" si="232"/>
        <v>-0.53278180047498136</v>
      </c>
      <c r="P446" s="26">
        <f t="shared" si="233"/>
        <v>0.36986831126959241</v>
      </c>
      <c r="Q446" s="26">
        <f t="shared" si="234"/>
        <v>6.840128384071005E-2</v>
      </c>
      <c r="R446" s="26">
        <f t="shared" si="235"/>
        <v>-8.1962324947557157</v>
      </c>
      <c r="S446" s="26">
        <f t="shared" si="236"/>
        <v>2.7561429623451341E-4</v>
      </c>
      <c r="T446" s="26">
        <f t="shared" si="237"/>
        <v>1.2725336814016177</v>
      </c>
      <c r="U446" s="26">
        <f t="shared" si="238"/>
        <v>0.78117616386027866</v>
      </c>
      <c r="V446" s="26">
        <f t="shared" si="239"/>
        <v>-0.53350341032137039</v>
      </c>
      <c r="W446" s="26">
        <f t="shared" si="240"/>
        <v>0.36970014453304162</v>
      </c>
      <c r="X446" s="26">
        <f t="shared" si="241"/>
        <v>0.19863895390083428</v>
      </c>
      <c r="Y446" s="26">
        <f t="shared" si="242"/>
        <v>0.76567825695668379</v>
      </c>
      <c r="Z446" s="26">
        <f t="shared" si="243"/>
        <v>0.68258527331618513</v>
      </c>
      <c r="AA446" s="26">
        <f t="shared" si="244"/>
        <v>-0.19990181424027675</v>
      </c>
      <c r="AB446" s="26">
        <f t="shared" si="245"/>
        <v>0.45019030540915134</v>
      </c>
      <c r="AC446" s="26">
        <f t="shared" si="246"/>
        <v>1.9465868048238517</v>
      </c>
      <c r="AD446" s="26">
        <f t="shared" si="247"/>
        <v>0.87507399044708711</v>
      </c>
      <c r="AE446" s="26">
        <f t="shared" si="248"/>
        <v>7.8032539314072408E-3</v>
      </c>
      <c r="AF446" s="26">
        <f t="shared" si="249"/>
        <v>-3.9900639152908193</v>
      </c>
      <c r="AG446" s="26">
        <f t="shared" si="250"/>
        <v>1.8162551212852807E-2</v>
      </c>
      <c r="AH446" s="26">
        <f t="shared" si="251"/>
        <v>0.50288407512231725</v>
      </c>
      <c r="AI446" s="26">
        <f t="shared" si="252"/>
        <v>0.62313685980138822</v>
      </c>
      <c r="AJ446" s="26">
        <f t="shared" si="253"/>
        <v>-0.59865678031317671</v>
      </c>
      <c r="AK446" s="26">
        <f t="shared" si="254"/>
        <v>0.35465106135978902</v>
      </c>
      <c r="AL446" s="26">
        <f t="shared" si="255"/>
        <v>6.2888687661812423E-2</v>
      </c>
      <c r="AM446" s="27">
        <f t="shared" si="256"/>
        <v>0.33773217933476402</v>
      </c>
    </row>
    <row r="447" spans="1:39" ht="15" customHeight="1" x14ac:dyDescent="0.2">
      <c r="A447" s="24">
        <v>436</v>
      </c>
      <c r="B447" s="29">
        <f t="shared" si="257"/>
        <v>4.2123014319059608</v>
      </c>
      <c r="C447" s="29">
        <f t="shared" si="258"/>
        <v>-4.7614512832472489</v>
      </c>
      <c r="D447" s="29">
        <f t="shared" si="259"/>
        <v>-3.4447179454443586</v>
      </c>
      <c r="E447" s="29">
        <f t="shared" si="260"/>
        <v>-0.78331604905523622</v>
      </c>
      <c r="F447" s="29">
        <f t="shared" si="261"/>
        <v>0.70805391836262677</v>
      </c>
      <c r="G447" s="29">
        <f t="shared" si="262"/>
        <v>0.5606254946597663</v>
      </c>
      <c r="H447" s="29">
        <f t="shared" si="263"/>
        <v>4.0628190506079962</v>
      </c>
      <c r="I447" s="29">
        <f t="shared" si="264"/>
        <v>0.88674536597725795</v>
      </c>
      <c r="J447" s="29">
        <f t="shared" si="265"/>
        <v>-1.222261591984982</v>
      </c>
      <c r="K447" s="26">
        <f t="shared" si="228"/>
        <v>-3.4447179454443586</v>
      </c>
      <c r="L447" s="26">
        <f t="shared" si="229"/>
        <v>3.0926772531265294E-2</v>
      </c>
      <c r="M447" s="26">
        <f t="shared" si="230"/>
        <v>0.5606254946597663</v>
      </c>
      <c r="N447" s="26">
        <f t="shared" si="231"/>
        <v>0.63659725532025291</v>
      </c>
      <c r="O447" s="26">
        <f t="shared" si="232"/>
        <v>-0.53211204522206168</v>
      </c>
      <c r="P447" s="26">
        <f t="shared" si="233"/>
        <v>0.37002442187583628</v>
      </c>
      <c r="Q447" s="26">
        <f t="shared" si="234"/>
        <v>6.8459036392273437E-2</v>
      </c>
      <c r="R447" s="26">
        <f t="shared" si="235"/>
        <v>-8.206169228691607</v>
      </c>
      <c r="S447" s="26">
        <f t="shared" si="236"/>
        <v>2.7288989590661377E-4</v>
      </c>
      <c r="T447" s="26">
        <f t="shared" si="237"/>
        <v>1.2686794130223931</v>
      </c>
      <c r="U447" s="26">
        <f t="shared" si="238"/>
        <v>0.78051660138883228</v>
      </c>
      <c r="V447" s="26">
        <f t="shared" si="239"/>
        <v>-0.52903341036730855</v>
      </c>
      <c r="W447" s="26">
        <f t="shared" si="240"/>
        <v>0.37074235792016585</v>
      </c>
      <c r="X447" s="26">
        <f t="shared" si="241"/>
        <v>0.19798259005793634</v>
      </c>
      <c r="Y447" s="26">
        <f t="shared" si="242"/>
        <v>0.76758348646160224</v>
      </c>
      <c r="Z447" s="26">
        <f t="shared" si="243"/>
        <v>0.68299792165704964</v>
      </c>
      <c r="AA447" s="26">
        <f t="shared" si="244"/>
        <v>-0.22269055439546992</v>
      </c>
      <c r="AB447" s="26">
        <f t="shared" si="245"/>
        <v>0.44455629834854932</v>
      </c>
      <c r="AC447" s="26">
        <f t="shared" si="246"/>
        <v>1.9468436131255267</v>
      </c>
      <c r="AD447" s="26">
        <f t="shared" si="247"/>
        <v>0.87510206189860029</v>
      </c>
      <c r="AE447" s="26">
        <f t="shared" si="248"/>
        <v>7.7997474709905366E-3</v>
      </c>
      <c r="AF447" s="26">
        <f t="shared" si="249"/>
        <v>-3.9938677967856466</v>
      </c>
      <c r="AG447" s="26">
        <f t="shared" si="250"/>
        <v>1.8094842020837915E-2</v>
      </c>
      <c r="AH447" s="26">
        <f t="shared" si="251"/>
        <v>0.48536336396715685</v>
      </c>
      <c r="AI447" s="26">
        <f t="shared" si="252"/>
        <v>0.61901355272780978</v>
      </c>
      <c r="AJ447" s="26">
        <f t="shared" si="253"/>
        <v>-0.59983812374647527</v>
      </c>
      <c r="AK447" s="26">
        <f t="shared" si="254"/>
        <v>0.35438072938307086</v>
      </c>
      <c r="AL447" s="26">
        <f t="shared" si="255"/>
        <v>6.2792850679038656E-2</v>
      </c>
      <c r="AM447" s="27">
        <f t="shared" si="256"/>
        <v>0.33703422460023896</v>
      </c>
    </row>
    <row r="448" spans="1:39" ht="15" customHeight="1" x14ac:dyDescent="0.2">
      <c r="A448" s="24">
        <v>437</v>
      </c>
      <c r="B448" s="29">
        <f t="shared" si="257"/>
        <v>4.2184567754392557</v>
      </c>
      <c r="C448" s="29">
        <f t="shared" si="258"/>
        <v>-4.7671414338628635</v>
      </c>
      <c r="D448" s="29">
        <f t="shared" si="259"/>
        <v>-3.448902641016796</v>
      </c>
      <c r="E448" s="29">
        <f t="shared" si="260"/>
        <v>-0.79728306019239659</v>
      </c>
      <c r="F448" s="29">
        <f t="shared" si="261"/>
        <v>0.71339820888511507</v>
      </c>
      <c r="G448" s="29">
        <f t="shared" si="262"/>
        <v>0.55126442549042542</v>
      </c>
      <c r="H448" s="29">
        <f t="shared" si="263"/>
        <v>4.0680480885531471</v>
      </c>
      <c r="I448" s="29">
        <f t="shared" si="264"/>
        <v>0.90229505707067581</v>
      </c>
      <c r="J448" s="29">
        <f t="shared" si="265"/>
        <v>-1.2291449682350444</v>
      </c>
      <c r="K448" s="26">
        <f t="shared" si="228"/>
        <v>-3.448902641016796</v>
      </c>
      <c r="L448" s="26">
        <f t="shared" si="229"/>
        <v>3.0801601802991383E-2</v>
      </c>
      <c r="M448" s="26">
        <f t="shared" si="230"/>
        <v>0.55126442549042542</v>
      </c>
      <c r="N448" s="26">
        <f t="shared" si="231"/>
        <v>0.63442889760368293</v>
      </c>
      <c r="O448" s="26">
        <f t="shared" si="232"/>
        <v>-0.5314005125254091</v>
      </c>
      <c r="P448" s="26">
        <f t="shared" si="233"/>
        <v>0.37019029999873337</v>
      </c>
      <c r="Q448" s="26">
        <f t="shared" si="234"/>
        <v>6.8520429106576103E-2</v>
      </c>
      <c r="R448" s="26">
        <f t="shared" si="235"/>
        <v>-8.2160440748796599</v>
      </c>
      <c r="S448" s="26">
        <f t="shared" si="236"/>
        <v>2.7020913613235164E-4</v>
      </c>
      <c r="T448" s="26">
        <f t="shared" si="237"/>
        <v>1.2646626343755405</v>
      </c>
      <c r="U448" s="26">
        <f t="shared" si="238"/>
        <v>0.77982770998808582</v>
      </c>
      <c r="V448" s="26">
        <f t="shared" si="239"/>
        <v>-0.52441105638629726</v>
      </c>
      <c r="W448" s="26">
        <f t="shared" si="240"/>
        <v>0.37182136101620428</v>
      </c>
      <c r="X448" s="26">
        <f t="shared" si="241"/>
        <v>0.19730420123776701</v>
      </c>
      <c r="Y448" s="26">
        <f t="shared" si="242"/>
        <v>0.76955413442245968</v>
      </c>
      <c r="Z448" s="26">
        <f t="shared" si="243"/>
        <v>0.68342443616711113</v>
      </c>
      <c r="AA448" s="26">
        <f t="shared" si="244"/>
        <v>-0.24601863470197116</v>
      </c>
      <c r="AB448" s="26">
        <f t="shared" si="245"/>
        <v>0.43880369015881149</v>
      </c>
      <c r="AC448" s="26">
        <f t="shared" si="246"/>
        <v>1.9469889036397525</v>
      </c>
      <c r="AD448" s="26">
        <f t="shared" si="247"/>
        <v>0.87511794106018825</v>
      </c>
      <c r="AE448" s="26">
        <f t="shared" si="248"/>
        <v>7.7977643225233071E-3</v>
      </c>
      <c r="AF448" s="26">
        <f t="shared" si="249"/>
        <v>-3.9975872994404038</v>
      </c>
      <c r="AG448" s="26">
        <f t="shared" si="250"/>
        <v>1.8028874379354971E-2</v>
      </c>
      <c r="AH448" s="26">
        <f t="shared" si="251"/>
        <v>0.46737957418314391</v>
      </c>
      <c r="AI448" s="26">
        <f t="shared" si="252"/>
        <v>0.61476334951564127</v>
      </c>
      <c r="AJ448" s="26">
        <f t="shared" si="253"/>
        <v>-0.60110470874116928</v>
      </c>
      <c r="AK448" s="26">
        <f t="shared" si="254"/>
        <v>0.35409099451091064</v>
      </c>
      <c r="AL448" s="26">
        <f t="shared" si="255"/>
        <v>6.269021619686288E-2</v>
      </c>
      <c r="AM448" s="27">
        <f t="shared" si="256"/>
        <v>0.33631261086372932</v>
      </c>
    </row>
    <row r="449" spans="1:39" ht="15" customHeight="1" x14ac:dyDescent="0.2">
      <c r="A449" s="24">
        <v>438</v>
      </c>
      <c r="B449" s="29">
        <f t="shared" si="257"/>
        <v>4.2246364261690399</v>
      </c>
      <c r="C449" s="29">
        <f t="shared" si="258"/>
        <v>-4.7728126919494294</v>
      </c>
      <c r="D449" s="29">
        <f t="shared" si="259"/>
        <v>-3.4530434456849335</v>
      </c>
      <c r="E449" s="29">
        <f t="shared" si="260"/>
        <v>-0.81155610710458725</v>
      </c>
      <c r="F449" s="29">
        <f t="shared" si="261"/>
        <v>0.71882324774453066</v>
      </c>
      <c r="G449" s="29">
        <f t="shared" si="262"/>
        <v>0.54166008711797065</v>
      </c>
      <c r="H449" s="29">
        <f t="shared" si="263"/>
        <v>4.0732965289174397</v>
      </c>
      <c r="I449" s="29">
        <f t="shared" si="264"/>
        <v>0.91815957457502928</v>
      </c>
      <c r="J449" s="29">
        <f t="shared" si="265"/>
        <v>-1.2360672202349277</v>
      </c>
      <c r="K449" s="26">
        <f t="shared" si="228"/>
        <v>-3.4530434456849335</v>
      </c>
      <c r="L449" s="26">
        <f t="shared" si="229"/>
        <v>3.0678226804489055E-2</v>
      </c>
      <c r="M449" s="26">
        <f t="shared" si="230"/>
        <v>0.54166008711797065</v>
      </c>
      <c r="N449" s="26">
        <f t="shared" si="231"/>
        <v>0.63219851173580699</v>
      </c>
      <c r="O449" s="26">
        <f t="shared" si="232"/>
        <v>-0.53064658889654526</v>
      </c>
      <c r="P449" s="26">
        <f t="shared" si="233"/>
        <v>0.37036609406799298</v>
      </c>
      <c r="Q449" s="26">
        <f t="shared" si="234"/>
        <v>6.8585521817590714E-2</v>
      </c>
      <c r="R449" s="26">
        <f t="shared" si="235"/>
        <v>-8.2258561376343629</v>
      </c>
      <c r="S449" s="26">
        <f t="shared" si="236"/>
        <v>2.6757149804353678E-4</v>
      </c>
      <c r="T449" s="26">
        <f t="shared" si="237"/>
        <v>1.2604833348625013</v>
      </c>
      <c r="U449" s="26">
        <f t="shared" si="238"/>
        <v>0.77910929996361478</v>
      </c>
      <c r="V449" s="26">
        <f t="shared" si="239"/>
        <v>-0.51963065877866821</v>
      </c>
      <c r="W449" s="26">
        <f t="shared" si="240"/>
        <v>0.37293860207211782</v>
      </c>
      <c r="X449" s="26">
        <f t="shared" si="241"/>
        <v>0.19660299838563491</v>
      </c>
      <c r="Y449" s="26">
        <f t="shared" si="242"/>
        <v>0.77159298048410641</v>
      </c>
      <c r="Z449" s="26">
        <f t="shared" si="243"/>
        <v>0.68386538662087415</v>
      </c>
      <c r="AA449" s="26">
        <f t="shared" si="244"/>
        <v>-0.26989601998661661</v>
      </c>
      <c r="AB449" s="26">
        <f t="shared" si="245"/>
        <v>0.43293262215430156</v>
      </c>
      <c r="AC449" s="26">
        <f t="shared" si="246"/>
        <v>1.9470205175115074</v>
      </c>
      <c r="AD449" s="26">
        <f t="shared" si="247"/>
        <v>0.87512139598956962</v>
      </c>
      <c r="AE449" s="26">
        <f t="shared" si="248"/>
        <v>7.7973328697969399E-3</v>
      </c>
      <c r="AF449" s="26">
        <f t="shared" si="249"/>
        <v>-4.001219711465323</v>
      </c>
      <c r="AG449" s="26">
        <f t="shared" si="250"/>
        <v>1.7964679217790505E-2</v>
      </c>
      <c r="AH449" s="26">
        <f t="shared" si="251"/>
        <v>0.44892722775791405</v>
      </c>
      <c r="AI449" s="26">
        <f t="shared" si="252"/>
        <v>0.61038414248420203</v>
      </c>
      <c r="AJ449" s="26">
        <f t="shared" si="253"/>
        <v>-0.60246171014334737</v>
      </c>
      <c r="AK449" s="26">
        <f t="shared" si="254"/>
        <v>0.35378069544386104</v>
      </c>
      <c r="AL449" s="26">
        <f t="shared" si="255"/>
        <v>6.2580390234370981E-2</v>
      </c>
      <c r="AM449" s="27">
        <f t="shared" si="256"/>
        <v>0.3355662433073936</v>
      </c>
    </row>
    <row r="450" spans="1:39" ht="15" customHeight="1" x14ac:dyDescent="0.2">
      <c r="A450" s="24">
        <v>439</v>
      </c>
      <c r="B450" s="29">
        <f t="shared" si="257"/>
        <v>4.2308422470519753</v>
      </c>
      <c r="C450" s="29">
        <f t="shared" si="258"/>
        <v>-4.7784651134580756</v>
      </c>
      <c r="D450" s="29">
        <f t="shared" si="259"/>
        <v>-3.4571393632890368</v>
      </c>
      <c r="E450" s="29">
        <f t="shared" si="260"/>
        <v>-0.82614051754672801</v>
      </c>
      <c r="F450" s="29">
        <f t="shared" si="261"/>
        <v>0.7243339728952114</v>
      </c>
      <c r="G450" s="29">
        <f t="shared" si="262"/>
        <v>0.53180810514999144</v>
      </c>
      <c r="H450" s="29">
        <f t="shared" si="263"/>
        <v>4.0785660214880117</v>
      </c>
      <c r="I450" s="29">
        <f t="shared" si="264"/>
        <v>0.93434771109195602</v>
      </c>
      <c r="J450" s="29">
        <f t="shared" si="265"/>
        <v>-1.2430271523176555</v>
      </c>
      <c r="K450" s="26">
        <f t="shared" si="228"/>
        <v>-3.4571393632890368</v>
      </c>
      <c r="L450" s="26">
        <f t="shared" si="229"/>
        <v>3.0556660060965288E-2</v>
      </c>
      <c r="M450" s="26">
        <f t="shared" si="230"/>
        <v>0.53180810514999144</v>
      </c>
      <c r="N450" s="26">
        <f t="shared" si="231"/>
        <v>0.62990472496512739</v>
      </c>
      <c r="O450" s="26">
        <f t="shared" si="232"/>
        <v>-0.52984975888566777</v>
      </c>
      <c r="P450" s="26">
        <f t="shared" si="233"/>
        <v>0.37055193006888332</v>
      </c>
      <c r="Q450" s="26">
        <f t="shared" si="234"/>
        <v>6.8654366438887296E-2</v>
      </c>
      <c r="R450" s="26">
        <f t="shared" si="235"/>
        <v>-8.2356044767471133</v>
      </c>
      <c r="S450" s="26">
        <f t="shared" si="236"/>
        <v>2.6497648060779628E-4</v>
      </c>
      <c r="T450" s="26">
        <f t="shared" si="237"/>
        <v>1.2561420780452028</v>
      </c>
      <c r="U450" s="26">
        <f t="shared" si="238"/>
        <v>0.77836127315546</v>
      </c>
      <c r="V450" s="26">
        <f t="shared" si="239"/>
        <v>-0.51468635427193021</v>
      </c>
      <c r="W450" s="26">
        <f t="shared" si="240"/>
        <v>0.3740955788768322</v>
      </c>
      <c r="X450" s="26">
        <f t="shared" si="241"/>
        <v>0.19587817219076389</v>
      </c>
      <c r="Y450" s="26">
        <f t="shared" si="242"/>
        <v>0.7737028837629385</v>
      </c>
      <c r="Z450" s="26">
        <f t="shared" si="243"/>
        <v>0.68432135697928109</v>
      </c>
      <c r="AA450" s="26">
        <f t="shared" si="244"/>
        <v>-0.29433241239673658</v>
      </c>
      <c r="AB450" s="26">
        <f t="shared" si="245"/>
        <v>0.4269435531710431</v>
      </c>
      <c r="AC450" s="26">
        <f t="shared" si="246"/>
        <v>1.9469364137074394</v>
      </c>
      <c r="AD450" s="26">
        <f t="shared" si="247"/>
        <v>0.87511220450465943</v>
      </c>
      <c r="AE450" s="26">
        <f t="shared" si="248"/>
        <v>7.7984807318430046E-3</v>
      </c>
      <c r="AF450" s="26">
        <f t="shared" si="249"/>
        <v>-4.0047622296951371</v>
      </c>
      <c r="AG450" s="26">
        <f t="shared" si="250"/>
        <v>1.7902288894155589E-2</v>
      </c>
      <c r="AH450" s="26">
        <f t="shared" si="251"/>
        <v>0.43000156049847482</v>
      </c>
      <c r="AI450" s="26">
        <f t="shared" si="252"/>
        <v>0.60587404106432574</v>
      </c>
      <c r="AJ450" s="26">
        <f t="shared" si="253"/>
        <v>-0.60391446164860374</v>
      </c>
      <c r="AK450" s="26">
        <f t="shared" si="254"/>
        <v>0.35344863811237248</v>
      </c>
      <c r="AL450" s="26">
        <f t="shared" si="255"/>
        <v>6.2462969891745421E-2</v>
      </c>
      <c r="AM450" s="27">
        <f t="shared" si="256"/>
        <v>0.33479398925323967</v>
      </c>
    </row>
    <row r="451" spans="1:39" ht="15" customHeight="1" x14ac:dyDescent="0.2">
      <c r="A451" s="24">
        <v>440</v>
      </c>
      <c r="B451" s="29">
        <f t="shared" si="257"/>
        <v>4.2370761463416704</v>
      </c>
      <c r="C451" s="29">
        <f t="shared" si="258"/>
        <v>-4.784098742104903</v>
      </c>
      <c r="D451" s="29">
        <f t="shared" si="259"/>
        <v>-3.4611893661410842</v>
      </c>
      <c r="E451" s="29">
        <f t="shared" si="260"/>
        <v>-0.84104144535524994</v>
      </c>
      <c r="F451" s="29">
        <f t="shared" si="261"/>
        <v>0.72993580489333421</v>
      </c>
      <c r="G451" s="29">
        <f t="shared" si="262"/>
        <v>0.521704253074738</v>
      </c>
      <c r="H451" s="29">
        <f t="shared" si="263"/>
        <v>4.0838582602841234</v>
      </c>
      <c r="I451" s="29">
        <f t="shared" si="264"/>
        <v>0.95086837553384318</v>
      </c>
      <c r="J451" s="29">
        <f t="shared" si="265"/>
        <v>-1.250023497954226</v>
      </c>
      <c r="K451" s="26">
        <f t="shared" si="228"/>
        <v>-3.4611893661410842</v>
      </c>
      <c r="L451" s="26">
        <f t="shared" si="229"/>
        <v>3.0436914855475873E-2</v>
      </c>
      <c r="M451" s="26">
        <f t="shared" si="230"/>
        <v>0.521704253074738</v>
      </c>
      <c r="N451" s="26">
        <f t="shared" si="231"/>
        <v>0.6275461912497825</v>
      </c>
      <c r="O451" s="26">
        <f t="shared" si="232"/>
        <v>-0.52900962435799503</v>
      </c>
      <c r="P451" s="26">
        <f t="shared" si="233"/>
        <v>0.37074790703389943</v>
      </c>
      <c r="Q451" s="26">
        <f t="shared" si="234"/>
        <v>6.8727005285008469E-2</v>
      </c>
      <c r="R451" s="26">
        <f t="shared" si="235"/>
        <v>-8.2452881082459868</v>
      </c>
      <c r="S451" s="26">
        <f t="shared" si="236"/>
        <v>2.6242359990270224E-4</v>
      </c>
      <c r="T451" s="26">
        <f t="shared" si="237"/>
        <v>1.2516400579680722</v>
      </c>
      <c r="U451" s="26">
        <f t="shared" si="238"/>
        <v>0.77758363393989727</v>
      </c>
      <c r="V451" s="26">
        <f t="shared" si="239"/>
        <v>-0.50957211032193717</v>
      </c>
      <c r="W451" s="26">
        <f t="shared" si="240"/>
        <v>0.37529383821624374</v>
      </c>
      <c r="X451" s="26">
        <f t="shared" si="241"/>
        <v>0.19512889428529634</v>
      </c>
      <c r="Y451" s="26">
        <f t="shared" si="242"/>
        <v>0.77588678020058621</v>
      </c>
      <c r="Z451" s="26">
        <f t="shared" si="243"/>
        <v>0.68479294457943707</v>
      </c>
      <c r="AA451" s="26">
        <f t="shared" si="244"/>
        <v>-0.31933719228051194</v>
      </c>
      <c r="AB451" s="26">
        <f t="shared" si="245"/>
        <v>0.4208372876589197</v>
      </c>
      <c r="AC451" s="26">
        <f t="shared" si="246"/>
        <v>1.9467346934311016</v>
      </c>
      <c r="AD451" s="26">
        <f t="shared" si="247"/>
        <v>0.87509015665918166</v>
      </c>
      <c r="AE451" s="26">
        <f t="shared" si="248"/>
        <v>7.8012344817138899E-3</v>
      </c>
      <c r="AF451" s="26">
        <f t="shared" si="249"/>
        <v>-4.0082119619043173</v>
      </c>
      <c r="AG451" s="26">
        <f t="shared" si="250"/>
        <v>1.7841737167046262E-2</v>
      </c>
      <c r="AH451" s="26">
        <f t="shared" si="251"/>
        <v>0.41059861261282227</v>
      </c>
      <c r="AI451" s="26">
        <f t="shared" si="252"/>
        <v>0.60123140623391691</v>
      </c>
      <c r="AJ451" s="26">
        <f t="shared" si="253"/>
        <v>-0.60546844168119307</v>
      </c>
      <c r="AK451" s="26">
        <f t="shared" si="254"/>
        <v>0.35309359932940654</v>
      </c>
      <c r="AL451" s="26">
        <f t="shared" si="255"/>
        <v>6.233754494369774E-2</v>
      </c>
      <c r="AM451" s="27">
        <f t="shared" si="256"/>
        <v>0.33399467899571644</v>
      </c>
    </row>
    <row r="452" spans="1:39" ht="15" customHeight="1" x14ac:dyDescent="0.2">
      <c r="A452" s="24">
        <v>441</v>
      </c>
      <c r="B452" s="29">
        <f t="shared" si="257"/>
        <v>4.2433400755394173</v>
      </c>
      <c r="C452" s="29">
        <f t="shared" si="258"/>
        <v>-4.7897136090876646</v>
      </c>
      <c r="D452" s="29">
        <f t="shared" si="259"/>
        <v>-3.4651923964400795</v>
      </c>
      <c r="E452" s="29">
        <f t="shared" si="260"/>
        <v>-0.85626383362516445</v>
      </c>
      <c r="F452" s="29">
        <f t="shared" si="261"/>
        <v>0.73563467864943755</v>
      </c>
      <c r="G452" s="29">
        <f t="shared" si="262"/>
        <v>0.51134447845215858</v>
      </c>
      <c r="H452" s="29">
        <f t="shared" si="263"/>
        <v>4.0891749830085136</v>
      </c>
      <c r="I452" s="29">
        <f t="shared" si="264"/>
        <v>0.96773057112093175</v>
      </c>
      <c r="J452" s="29">
        <f t="shared" si="265"/>
        <v>-1.2570549250684142</v>
      </c>
      <c r="K452" s="26">
        <f t="shared" si="228"/>
        <v>-3.4651923964400795</v>
      </c>
      <c r="L452" s="26">
        <f t="shared" si="229"/>
        <v>3.031900518287697E-2</v>
      </c>
      <c r="M452" s="26">
        <f t="shared" si="230"/>
        <v>0.51134447845215858</v>
      </c>
      <c r="N452" s="26">
        <f t="shared" si="231"/>
        <v>0.62512159867783712</v>
      </c>
      <c r="O452" s="26">
        <f t="shared" si="232"/>
        <v>-0.52812592585635498</v>
      </c>
      <c r="P452" s="26">
        <f t="shared" si="233"/>
        <v>0.37095409203765506</v>
      </c>
      <c r="Q452" s="26">
        <f t="shared" si="234"/>
        <v>6.8803469199740536E-2</v>
      </c>
      <c r="R452" s="26">
        <f t="shared" si="235"/>
        <v>-8.2549060055277437</v>
      </c>
      <c r="S452" s="26">
        <f t="shared" si="236"/>
        <v>2.5991238832937463E-4</v>
      </c>
      <c r="T452" s="26">
        <f t="shared" si="237"/>
        <v>1.2469791571015962</v>
      </c>
      <c r="U452" s="26">
        <f t="shared" si="238"/>
        <v>0.77677650079805594</v>
      </c>
      <c r="V452" s="26">
        <f t="shared" si="239"/>
        <v>-0.50428173108166219</v>
      </c>
      <c r="W452" s="26">
        <f t="shared" si="240"/>
        <v>0.37653497495919308</v>
      </c>
      <c r="X452" s="26">
        <f t="shared" si="241"/>
        <v>0.19435431872456699</v>
      </c>
      <c r="Y452" s="26">
        <f t="shared" si="242"/>
        <v>0.7781476790993378</v>
      </c>
      <c r="Z452" s="26">
        <f t="shared" si="243"/>
        <v>0.68528075913517228</v>
      </c>
      <c r="AA452" s="26">
        <f t="shared" si="244"/>
        <v>-0.34491935517300587</v>
      </c>
      <c r="AB452" s="26">
        <f t="shared" si="245"/>
        <v>0.41461500399351753</v>
      </c>
      <c r="AC452" s="26">
        <f t="shared" si="246"/>
        <v>1.9464136261341694</v>
      </c>
      <c r="AD452" s="26">
        <f t="shared" si="247"/>
        <v>0.87505505740928302</v>
      </c>
      <c r="AE452" s="26">
        <f t="shared" si="248"/>
        <v>7.8056193394987804E-3</v>
      </c>
      <c r="AF452" s="26">
        <f t="shared" si="249"/>
        <v>-4.0115659299883273</v>
      </c>
      <c r="AG452" s="26">
        <f t="shared" si="250"/>
        <v>1.7783059156350926E-2</v>
      </c>
      <c r="AH452" s="26">
        <f t="shared" si="251"/>
        <v>0.39071532347643168</v>
      </c>
      <c r="AI452" s="26">
        <f t="shared" si="252"/>
        <v>0.59645488699457905</v>
      </c>
      <c r="AJ452" s="26">
        <f t="shared" si="253"/>
        <v>-0.60712925600576872</v>
      </c>
      <c r="AK452" s="26">
        <f t="shared" si="254"/>
        <v>0.3527143312195522</v>
      </c>
      <c r="AL452" s="26">
        <f t="shared" si="255"/>
        <v>6.2203699723827992E-2</v>
      </c>
      <c r="AM452" s="27">
        <f t="shared" si="256"/>
        <v>0.33316710698763435</v>
      </c>
    </row>
    <row r="453" spans="1:39" ht="15" customHeight="1" x14ac:dyDescent="0.2">
      <c r="A453" s="24">
        <v>442</v>
      </c>
      <c r="B453" s="29">
        <f t="shared" si="257"/>
        <v>4.2496360268040592</v>
      </c>
      <c r="C453" s="29">
        <f t="shared" si="258"/>
        <v>-4.79530973286065</v>
      </c>
      <c r="D453" s="29">
        <f t="shared" si="259"/>
        <v>-3.46914736803835</v>
      </c>
      <c r="E453" s="29">
        <f t="shared" si="260"/>
        <v>-0.87181237542125545</v>
      </c>
      <c r="F453" s="29">
        <f t="shared" si="261"/>
        <v>0.74143707507430301</v>
      </c>
      <c r="G453" s="29">
        <f t="shared" si="262"/>
        <v>0.5007249302593122</v>
      </c>
      <c r="H453" s="29">
        <f t="shared" si="263"/>
        <v>4.0945179701861161</v>
      </c>
      <c r="I453" s="29">
        <f t="shared" si="264"/>
        <v>0.98494337025297851</v>
      </c>
      <c r="J453" s="29">
        <f t="shared" si="265"/>
        <v>-1.2641200429017345</v>
      </c>
      <c r="K453" s="26">
        <f t="shared" si="228"/>
        <v>-3.46914736803835</v>
      </c>
      <c r="L453" s="26">
        <f t="shared" si="229"/>
        <v>3.020294569527418E-2</v>
      </c>
      <c r="M453" s="26">
        <f t="shared" si="230"/>
        <v>0.5007249302593122</v>
      </c>
      <c r="N453" s="26">
        <f t="shared" si="231"/>
        <v>0.62262967737402819</v>
      </c>
      <c r="O453" s="26">
        <f t="shared" si="232"/>
        <v>-0.52719856614757898</v>
      </c>
      <c r="P453" s="26">
        <f t="shared" si="233"/>
        <v>0.37117051467031048</v>
      </c>
      <c r="Q453" s="26">
        <f t="shared" si="234"/>
        <v>6.888377548031159E-2</v>
      </c>
      <c r="R453" s="26">
        <f t="shared" si="235"/>
        <v>-8.2644571008989995</v>
      </c>
      <c r="S453" s="26">
        <f t="shared" si="236"/>
        <v>2.574423937612225E-4</v>
      </c>
      <c r="T453" s="26">
        <f t="shared" si="237"/>
        <v>1.2421620053336153</v>
      </c>
      <c r="U453" s="26">
        <f t="shared" si="238"/>
        <v>0.77594011837197163</v>
      </c>
      <c r="V453" s="26">
        <f t="shared" si="239"/>
        <v>-0.49880886509040667</v>
      </c>
      <c r="W453" s="26">
        <f t="shared" si="240"/>
        <v>0.37782063072734229</v>
      </c>
      <c r="X453" s="26">
        <f t="shared" si="241"/>
        <v>0.19355358377426107</v>
      </c>
      <c r="Y453" s="26">
        <f t="shared" si="242"/>
        <v>0.78048865876570916</v>
      </c>
      <c r="Z453" s="26">
        <f t="shared" si="243"/>
        <v>0.68578542153314981</v>
      </c>
      <c r="AA453" s="26">
        <f t="shared" si="244"/>
        <v>-0.37108744516194325</v>
      </c>
      <c r="AB453" s="26">
        <f t="shared" si="245"/>
        <v>0.40827828263494681</v>
      </c>
      <c r="AC453" s="26">
        <f t="shared" si="246"/>
        <v>1.9459716769569708</v>
      </c>
      <c r="AD453" s="26">
        <f t="shared" si="247"/>
        <v>0.87500672945897318</v>
      </c>
      <c r="AE453" s="26">
        <f t="shared" si="248"/>
        <v>7.8116588402711616E-3</v>
      </c>
      <c r="AF453" s="26">
        <f t="shared" si="249"/>
        <v>-4.0148210740949413</v>
      </c>
      <c r="AG453" s="26">
        <f t="shared" si="250"/>
        <v>1.7726291291603073E-2</v>
      </c>
      <c r="AH453" s="26">
        <f t="shared" si="251"/>
        <v>0.37034962991235976</v>
      </c>
      <c r="AI453" s="26">
        <f t="shared" si="252"/>
        <v>0.59154345864363411</v>
      </c>
      <c r="AJ453" s="26">
        <f t="shared" si="253"/>
        <v>-0.6089026168559476</v>
      </c>
      <c r="AK453" s="26">
        <f t="shared" si="254"/>
        <v>0.35230956647176209</v>
      </c>
      <c r="AL453" s="26">
        <f t="shared" si="255"/>
        <v>6.2061015313760473E-2</v>
      </c>
      <c r="AM453" s="27">
        <f t="shared" si="256"/>
        <v>0.33231003340860432</v>
      </c>
    </row>
    <row r="454" spans="1:39" ht="15" customHeight="1" x14ac:dyDescent="0.2">
      <c r="A454" s="24">
        <v>443</v>
      </c>
      <c r="B454" s="29">
        <f t="shared" si="257"/>
        <v>4.2559660297750082</v>
      </c>
      <c r="C454" s="29">
        <f t="shared" si="258"/>
        <v>-4.8008871189788174</v>
      </c>
      <c r="D454" s="29">
        <f t="shared" si="259"/>
        <v>-3.4730531685831467</v>
      </c>
      <c r="E454" s="29">
        <f t="shared" si="260"/>
        <v>-0.88769147218253397</v>
      </c>
      <c r="F454" s="29">
        <f t="shared" si="261"/>
        <v>0.74735005214269112</v>
      </c>
      <c r="G454" s="29">
        <f t="shared" si="262"/>
        <v>0.48984198715934629</v>
      </c>
      <c r="H454" s="29">
        <f t="shared" si="263"/>
        <v>4.0998890439611451</v>
      </c>
      <c r="I454" s="29">
        <f t="shared" si="264"/>
        <v>1.0025158861261894</v>
      </c>
      <c r="J454" s="29">
        <f t="shared" si="265"/>
        <v>-1.2712174105857716</v>
      </c>
      <c r="K454" s="26">
        <f t="shared" si="228"/>
        <v>-3.4730531685831467</v>
      </c>
      <c r="L454" s="26">
        <f t="shared" si="229"/>
        <v>3.0088751638488342E-2</v>
      </c>
      <c r="M454" s="26">
        <f t="shared" si="230"/>
        <v>0.48984198715934629</v>
      </c>
      <c r="N454" s="26">
        <f t="shared" si="231"/>
        <v>0.62006920784948216</v>
      </c>
      <c r="O454" s="26">
        <f t="shared" si="232"/>
        <v>-0.52622763602987743</v>
      </c>
      <c r="P454" s="26">
        <f t="shared" si="233"/>
        <v>0.37139716096945452</v>
      </c>
      <c r="Q454" s="26">
        <f t="shared" si="234"/>
        <v>6.8967925588085455E-2</v>
      </c>
      <c r="R454" s="26">
        <f t="shared" si="235"/>
        <v>-8.2739402875619632</v>
      </c>
      <c r="S454" s="26">
        <f t="shared" si="236"/>
        <v>2.5501317862421677E-4</v>
      </c>
      <c r="T454" s="26">
        <f t="shared" si="237"/>
        <v>1.2371920393020375</v>
      </c>
      <c r="U454" s="26">
        <f t="shared" si="238"/>
        <v>0.77507486990178565</v>
      </c>
      <c r="V454" s="26">
        <f t="shared" si="239"/>
        <v>-0.49314701483493495</v>
      </c>
      <c r="W454" s="26">
        <f t="shared" si="240"/>
        <v>0.37915249210497259</v>
      </c>
      <c r="X454" s="26">
        <f t="shared" si="241"/>
        <v>0.19272581402973307</v>
      </c>
      <c r="Y454" s="26">
        <f t="shared" si="242"/>
        <v>0.78291286119186143</v>
      </c>
      <c r="Z454" s="26">
        <f t="shared" si="243"/>
        <v>0.68630756241021951</v>
      </c>
      <c r="AA454" s="26">
        <f t="shared" si="244"/>
        <v>-0.39784948502318768</v>
      </c>
      <c r="AB454" s="26">
        <f t="shared" si="245"/>
        <v>0.40182913369922091</v>
      </c>
      <c r="AC454" s="26">
        <f t="shared" si="246"/>
        <v>1.9454075353693607</v>
      </c>
      <c r="AD454" s="26">
        <f t="shared" si="247"/>
        <v>0.87494501626591492</v>
      </c>
      <c r="AE454" s="26">
        <f t="shared" si="248"/>
        <v>7.8193744783661423E-3</v>
      </c>
      <c r="AF454" s="26">
        <f t="shared" si="249"/>
        <v>-4.0179742577869559</v>
      </c>
      <c r="AG454" s="26">
        <f t="shared" si="250"/>
        <v>1.7671471246916981E-2</v>
      </c>
      <c r="AH454" s="26">
        <f t="shared" si="251"/>
        <v>0.34950056711950345</v>
      </c>
      <c r="AI454" s="26">
        <f t="shared" si="252"/>
        <v>0.58649646250788301</v>
      </c>
      <c r="AJ454" s="26">
        <f t="shared" si="253"/>
        <v>-0.61079431840889653</v>
      </c>
      <c r="AK454" s="26">
        <f t="shared" si="254"/>
        <v>0.35187802445142752</v>
      </c>
      <c r="AL454" s="26">
        <f t="shared" si="255"/>
        <v>6.1909072045919708E-2</v>
      </c>
      <c r="AM454" s="27">
        <f t="shared" si="256"/>
        <v>0.33142218614210434</v>
      </c>
    </row>
    <row r="455" spans="1:39" ht="15" customHeight="1" x14ac:dyDescent="0.2">
      <c r="A455" s="24">
        <v>444</v>
      </c>
      <c r="B455" s="29">
        <f t="shared" si="257"/>
        <v>4.2623321477648473</v>
      </c>
      <c r="C455" s="29">
        <f t="shared" si="258"/>
        <v>-4.8064457600226405</v>
      </c>
      <c r="D455" s="29">
        <f t="shared" si="259"/>
        <v>-3.4769086620545222</v>
      </c>
      <c r="E455" s="29">
        <f t="shared" si="260"/>
        <v>-0.9039051900486178</v>
      </c>
      <c r="F455" s="29">
        <f t="shared" si="261"/>
        <v>0.7533812748162193</v>
      </c>
      <c r="G455" s="29">
        <f t="shared" si="262"/>
        <v>0.47869228640463873</v>
      </c>
      <c r="H455" s="29">
        <f t="shared" si="263"/>
        <v>4.1052900665247911</v>
      </c>
      <c r="I455" s="29">
        <f t="shared" si="264"/>
        <v>1.0204572410029411</v>
      </c>
      <c r="J455" s="29">
        <f t="shared" si="265"/>
        <v>-1.278345547571776</v>
      </c>
      <c r="K455" s="26">
        <f t="shared" si="228"/>
        <v>-3.4769086620545222</v>
      </c>
      <c r="L455" s="26">
        <f t="shared" si="229"/>
        <v>2.9976438779157111E-2</v>
      </c>
      <c r="M455" s="26">
        <f t="shared" si="230"/>
        <v>0.47869228640463873</v>
      </c>
      <c r="N455" s="26">
        <f t="shared" si="231"/>
        <v>0.6174390297345479</v>
      </c>
      <c r="O455" s="26">
        <f t="shared" si="232"/>
        <v>-0.52521344245146406</v>
      </c>
      <c r="P455" s="26">
        <f t="shared" si="233"/>
        <v>0.37163396679650834</v>
      </c>
      <c r="Q455" s="26">
        <f t="shared" si="234"/>
        <v>6.9055902638454139E-2</v>
      </c>
      <c r="R455" s="26">
        <f t="shared" si="235"/>
        <v>-8.2833544220771635</v>
      </c>
      <c r="S455" s="26">
        <f t="shared" si="236"/>
        <v>2.5262431890611339E-4</v>
      </c>
      <c r="T455" s="26">
        <f t="shared" si="237"/>
        <v>1.232073561220858</v>
      </c>
      <c r="U455" s="26">
        <f t="shared" si="238"/>
        <v>0.77418128990785762</v>
      </c>
      <c r="V455" s="26">
        <f t="shared" si="239"/>
        <v>-0.48728954832933757</v>
      </c>
      <c r="W455" s="26">
        <f t="shared" si="240"/>
        <v>0.38053228834449287</v>
      </c>
      <c r="X455" s="26">
        <f t="shared" si="241"/>
        <v>0.19187012289185529</v>
      </c>
      <c r="Y455" s="26">
        <f t="shared" si="242"/>
        <v>0.78542348571032505</v>
      </c>
      <c r="Z455" s="26">
        <f t="shared" si="243"/>
        <v>0.68684782049927384</v>
      </c>
      <c r="AA455" s="26">
        <f t="shared" si="244"/>
        <v>-0.42521290364397907</v>
      </c>
      <c r="AB455" s="26">
        <f t="shared" si="245"/>
        <v>0.39527002344594608</v>
      </c>
      <c r="AC455" s="26">
        <f t="shared" si="246"/>
        <v>1.9447201447149134</v>
      </c>
      <c r="AD455" s="26">
        <f t="shared" si="247"/>
        <v>0.87486978518206082</v>
      </c>
      <c r="AE455" s="26">
        <f t="shared" si="248"/>
        <v>7.8287853301918023E-3</v>
      </c>
      <c r="AF455" s="26">
        <f t="shared" si="249"/>
        <v>-4.0210222743123154</v>
      </c>
      <c r="AG455" s="26">
        <f t="shared" si="250"/>
        <v>1.7618637861518856E-2</v>
      </c>
      <c r="AH455" s="26">
        <f t="shared" si="251"/>
        <v>0.32816837117224024</v>
      </c>
      <c r="AI455" s="26">
        <f t="shared" si="252"/>
        <v>0.58131364670834929</v>
      </c>
      <c r="AJ455" s="26">
        <f t="shared" si="253"/>
        <v>-0.61281020849582457</v>
      </c>
      <c r="AK455" s="26">
        <f t="shared" si="254"/>
        <v>0.35141841819236691</v>
      </c>
      <c r="AL455" s="26">
        <f t="shared" si="255"/>
        <v>6.174745232241264E-2</v>
      </c>
      <c r="AM455" s="27">
        <f t="shared" si="256"/>
        <v>0.33050226318291387</v>
      </c>
    </row>
    <row r="456" spans="1:39" ht="15" customHeight="1" x14ac:dyDescent="0.2">
      <c r="A456" s="24">
        <v>445</v>
      </c>
      <c r="B456" s="29">
        <f t="shared" si="257"/>
        <v>4.2687364732818338</v>
      </c>
      <c r="C456" s="29">
        <f t="shared" si="258"/>
        <v>-4.8119856356153052</v>
      </c>
      <c r="D456" s="29">
        <f t="shared" si="259"/>
        <v>-3.4807126917158504</v>
      </c>
      <c r="E456" s="29">
        <f t="shared" si="260"/>
        <v>-0.92045721441336525</v>
      </c>
      <c r="F456" s="29">
        <f t="shared" si="261"/>
        <v>0.75953904318030263</v>
      </c>
      <c r="G456" s="29">
        <f t="shared" si="262"/>
        <v>0.46727275302292548</v>
      </c>
      <c r="H456" s="29">
        <f t="shared" si="263"/>
        <v>4.1107229381479069</v>
      </c>
      <c r="I456" s="29">
        <f t="shared" si="264"/>
        <v>1.0387765310878065</v>
      </c>
      <c r="J456" s="29">
        <f t="shared" si="265"/>
        <v>-1.2855029460538472</v>
      </c>
      <c r="K456" s="26">
        <f t="shared" si="228"/>
        <v>-3.4807126917158504</v>
      </c>
      <c r="L456" s="26">
        <f t="shared" si="229"/>
        <v>2.9866023322223365E-2</v>
      </c>
      <c r="M456" s="26">
        <f t="shared" si="230"/>
        <v>0.46727275302292548</v>
      </c>
      <c r="N456" s="26">
        <f t="shared" si="231"/>
        <v>0.61473805081706201</v>
      </c>
      <c r="O456" s="26">
        <f t="shared" si="232"/>
        <v>-0.52415653895649583</v>
      </c>
      <c r="P456" s="26">
        <f t="shared" si="233"/>
        <v>0.37188081065162448</v>
      </c>
      <c r="Q456" s="26">
        <f t="shared" si="234"/>
        <v>6.9147668665454687E-2</v>
      </c>
      <c r="R456" s="26">
        <f t="shared" si="235"/>
        <v>-8.2926983273311556</v>
      </c>
      <c r="S456" s="26">
        <f t="shared" si="236"/>
        <v>2.5027540309333036E-4</v>
      </c>
      <c r="T456" s="26">
        <f t="shared" si="237"/>
        <v>1.2268117962032281</v>
      </c>
      <c r="U456" s="26">
        <f t="shared" si="238"/>
        <v>0.77326007694890697</v>
      </c>
      <c r="V456" s="26">
        <f t="shared" si="239"/>
        <v>-0.48122971285182126</v>
      </c>
      <c r="W456" s="26">
        <f t="shared" si="240"/>
        <v>0.38196178852409024</v>
      </c>
      <c r="X456" s="26">
        <f t="shared" si="241"/>
        <v>0.19098561542217068</v>
      </c>
      <c r="Y456" s="26">
        <f t="shared" si="242"/>
        <v>0.78802378156598341</v>
      </c>
      <c r="Z456" s="26">
        <f t="shared" si="243"/>
        <v>0.68740684073303693</v>
      </c>
      <c r="AA456" s="26">
        <f t="shared" si="244"/>
        <v>-0.45318446139043977</v>
      </c>
      <c r="AB456" s="26">
        <f t="shared" si="245"/>
        <v>0.38860389912648752</v>
      </c>
      <c r="AC456" s="26">
        <f t="shared" si="246"/>
        <v>1.9439087322890412</v>
      </c>
      <c r="AD456" s="26">
        <f t="shared" si="247"/>
        <v>0.87478093069594876</v>
      </c>
      <c r="AE456" s="26">
        <f t="shared" si="248"/>
        <v>7.8399076586863937E-3</v>
      </c>
      <c r="AF456" s="26">
        <f t="shared" si="249"/>
        <v>-4.0239618540493218</v>
      </c>
      <c r="AG456" s="26">
        <f t="shared" si="250"/>
        <v>1.7567831045001394E-2</v>
      </c>
      <c r="AH456" s="26">
        <f t="shared" si="251"/>
        <v>0.30635458178986286</v>
      </c>
      <c r="AI456" s="26">
        <f t="shared" si="252"/>
        <v>0.57599520742067623</v>
      </c>
      <c r="AJ456" s="26">
        <f t="shared" si="253"/>
        <v>-0.61495615651600133</v>
      </c>
      <c r="AK456" s="26">
        <f t="shared" si="254"/>
        <v>0.35092946227014804</v>
      </c>
      <c r="AL456" s="26">
        <f t="shared" si="255"/>
        <v>6.1575743744607628E-2</v>
      </c>
      <c r="AM456" s="27">
        <f t="shared" si="256"/>
        <v>0.3295489354909194</v>
      </c>
    </row>
    <row r="457" spans="1:39" ht="15" customHeight="1" x14ac:dyDescent="0.2">
      <c r="A457" s="24">
        <v>446</v>
      </c>
      <c r="B457" s="29">
        <f t="shared" si="257"/>
        <v>4.2751811228482497</v>
      </c>
      <c r="C457" s="29">
        <f t="shared" si="258"/>
        <v>-4.8175067125437661</v>
      </c>
      <c r="D457" s="29">
        <f t="shared" si="259"/>
        <v>-3.4844640834873379</v>
      </c>
      <c r="E457" s="29">
        <f t="shared" si="260"/>
        <v>-0.9373508030937</v>
      </c>
      <c r="F457" s="29">
        <f t="shared" si="261"/>
        <v>0.76583231806288055</v>
      </c>
      <c r="G457" s="29">
        <f t="shared" si="262"/>
        <v>0.45558062887200113</v>
      </c>
      <c r="H457" s="29">
        <f t="shared" si="263"/>
        <v>4.1161895947962082</v>
      </c>
      <c r="I457" s="29">
        <f t="shared" si="264"/>
        <v>1.0574827880189848</v>
      </c>
      <c r="J457" s="29">
        <f t="shared" si="265"/>
        <v>-1.2926880855011296</v>
      </c>
      <c r="K457" s="26">
        <f t="shared" si="228"/>
        <v>-3.4844640834873379</v>
      </c>
      <c r="L457" s="26">
        <f t="shared" si="229"/>
        <v>2.9757521818727411E-2</v>
      </c>
      <c r="M457" s="26">
        <f t="shared" si="230"/>
        <v>0.45558062887200113</v>
      </c>
      <c r="N457" s="26">
        <f t="shared" si="231"/>
        <v>0.61196525628947795</v>
      </c>
      <c r="O457" s="26">
        <f t="shared" si="232"/>
        <v>-0.52305775843221303</v>
      </c>
      <c r="P457" s="26">
        <f t="shared" si="233"/>
        <v>0.37213750593088318</v>
      </c>
      <c r="Q457" s="26">
        <f t="shared" si="234"/>
        <v>6.9243161660229063E-2</v>
      </c>
      <c r="R457" s="26">
        <f t="shared" si="235"/>
        <v>-8.3019707960311031</v>
      </c>
      <c r="S457" s="26">
        <f t="shared" si="236"/>
        <v>2.4796603103575108E-4</v>
      </c>
      <c r="T457" s="26">
        <f t="shared" si="237"/>
        <v>1.2214129469348816</v>
      </c>
      <c r="U457" s="26">
        <f t="shared" si="238"/>
        <v>0.77231210625251823</v>
      </c>
      <c r="V457" s="26">
        <f t="shared" si="239"/>
        <v>-0.47496065096358997</v>
      </c>
      <c r="W457" s="26">
        <f t="shared" si="240"/>
        <v>0.38344279811558263</v>
      </c>
      <c r="X457" s="26">
        <f t="shared" si="241"/>
        <v>0.19007139159777114</v>
      </c>
      <c r="Y457" s="26">
        <f t="shared" si="242"/>
        <v>0.79071703936091176</v>
      </c>
      <c r="Z457" s="26">
        <f t="shared" si="243"/>
        <v>0.68798527209810145</v>
      </c>
      <c r="AA457" s="26">
        <f t="shared" si="244"/>
        <v>-0.48177017422169888</v>
      </c>
      <c r="AB457" s="26">
        <f t="shared" si="245"/>
        <v>0.38183421158224351</v>
      </c>
      <c r="AC457" s="26">
        <f t="shared" si="246"/>
        <v>1.9429728395071357</v>
      </c>
      <c r="AD457" s="26">
        <f t="shared" si="247"/>
        <v>0.87467837773535295</v>
      </c>
      <c r="AE457" s="26">
        <f t="shared" si="248"/>
        <v>7.8527545035214398E-3</v>
      </c>
      <c r="AF457" s="26">
        <f t="shared" si="249"/>
        <v>-4.0267896731828543</v>
      </c>
      <c r="AG457" s="26">
        <f t="shared" si="250"/>
        <v>1.7519091666591595E-2</v>
      </c>
      <c r="AH457" s="26">
        <f t="shared" si="251"/>
        <v>0.28406214384118167</v>
      </c>
      <c r="AI457" s="26">
        <f t="shared" si="252"/>
        <v>0.57054182998627812</v>
      </c>
      <c r="AJ457" s="26">
        <f t="shared" si="253"/>
        <v>-0.61723801761748132</v>
      </c>
      <c r="AK457" s="26">
        <f t="shared" si="254"/>
        <v>0.35040988153485109</v>
      </c>
      <c r="AL457" s="26">
        <f t="shared" si="255"/>
        <v>6.1393542538634188E-2</v>
      </c>
      <c r="AM457" s="27">
        <f t="shared" si="256"/>
        <v>0.32856085030015592</v>
      </c>
    </row>
    <row r="458" spans="1:39" ht="15" customHeight="1" x14ac:dyDescent="0.2">
      <c r="A458" s="24">
        <v>447</v>
      </c>
      <c r="B458" s="29">
        <f t="shared" si="257"/>
        <v>4.2816682310880605</v>
      </c>
      <c r="C458" s="29">
        <f t="shared" si="258"/>
        <v>-4.8230089449946458</v>
      </c>
      <c r="D458" s="29">
        <f t="shared" si="259"/>
        <v>-3.4881616497453707</v>
      </c>
      <c r="E458" s="29">
        <f t="shared" si="260"/>
        <v>-0.95458873858832827</v>
      </c>
      <c r="F458" s="29">
        <f t="shared" si="261"/>
        <v>0.77227074331765777</v>
      </c>
      <c r="G458" s="29">
        <f t="shared" si="262"/>
        <v>0.44361350108614617</v>
      </c>
      <c r="H458" s="29">
        <f t="shared" si="263"/>
        <v>4.1216920053097672</v>
      </c>
      <c r="I458" s="29">
        <f t="shared" si="264"/>
        <v>1.0765849370494367</v>
      </c>
      <c r="J458" s="29">
        <f t="shared" si="265"/>
        <v>-1.2998994493851754</v>
      </c>
      <c r="K458" s="26">
        <f t="shared" si="228"/>
        <v>-3.4881616497453707</v>
      </c>
      <c r="L458" s="26">
        <f t="shared" si="229"/>
        <v>2.9650951064021651E-2</v>
      </c>
      <c r="M458" s="26">
        <f t="shared" si="230"/>
        <v>0.44361350108614617</v>
      </c>
      <c r="N458" s="26">
        <f t="shared" si="231"/>
        <v>0.60911971808886523</v>
      </c>
      <c r="O458" s="26">
        <f t="shared" si="232"/>
        <v>-0.5219182480804947</v>
      </c>
      <c r="P458" s="26">
        <f t="shared" si="233"/>
        <v>0.37240379264148787</v>
      </c>
      <c r="Q458" s="26">
        <f t="shared" si="234"/>
        <v>6.9342292386882151E-2</v>
      </c>
      <c r="R458" s="26">
        <f t="shared" si="235"/>
        <v>-8.3111705947400161</v>
      </c>
      <c r="S458" s="26">
        <f t="shared" si="236"/>
        <v>2.4569581274164209E-4</v>
      </c>
      <c r="T458" s="26">
        <f t="shared" si="237"/>
        <v>1.2158842444038038</v>
      </c>
      <c r="U458" s="26">
        <f t="shared" si="238"/>
        <v>0.77133844197834267</v>
      </c>
      <c r="V458" s="26">
        <f t="shared" si="239"/>
        <v>-0.46847541891699551</v>
      </c>
      <c r="W458" s="26">
        <f t="shared" si="240"/>
        <v>0.38497715492332912</v>
      </c>
      <c r="X458" s="26">
        <f t="shared" si="241"/>
        <v>0.18912654998310133</v>
      </c>
      <c r="Y458" s="26">
        <f t="shared" si="242"/>
        <v>0.79350658134268981</v>
      </c>
      <c r="Z458" s="26">
        <f t="shared" si="243"/>
        <v>0.68858376523516174</v>
      </c>
      <c r="AA458" s="26">
        <f t="shared" si="244"/>
        <v>-0.5109752375021821</v>
      </c>
      <c r="AB458" s="26">
        <f t="shared" si="245"/>
        <v>0.37496493493642247</v>
      </c>
      <c r="AC458" s="26">
        <f t="shared" si="246"/>
        <v>1.941912351644963</v>
      </c>
      <c r="AD458" s="26">
        <f t="shared" si="247"/>
        <v>0.87456208498066279</v>
      </c>
      <c r="AE458" s="26">
        <f t="shared" si="248"/>
        <v>7.8673352621992324E-3</v>
      </c>
      <c r="AF458" s="26">
        <f t="shared" si="249"/>
        <v>-4.0295023636519556</v>
      </c>
      <c r="AG458" s="26">
        <f t="shared" si="250"/>
        <v>1.7472461427934839E-2</v>
      </c>
      <c r="AH458" s="26">
        <f t="shared" si="251"/>
        <v>0.26129550581547567</v>
      </c>
      <c r="AI458" s="26">
        <f t="shared" si="252"/>
        <v>0.56495472911821998</v>
      </c>
      <c r="AJ458" s="26">
        <f t="shared" si="253"/>
        <v>-0.61966159332105275</v>
      </c>
      <c r="AK458" s="26">
        <f t="shared" si="254"/>
        <v>0.34985842065397393</v>
      </c>
      <c r="AL458" s="26">
        <f t="shared" si="255"/>
        <v>6.1200457251246489E-2</v>
      </c>
      <c r="AM458" s="27">
        <f t="shared" si="256"/>
        <v>0.32753663488342921</v>
      </c>
    </row>
    <row r="459" spans="1:39" ht="15" customHeight="1" x14ac:dyDescent="0.2">
      <c r="A459" s="24">
        <v>448</v>
      </c>
      <c r="B459" s="29">
        <f t="shared" si="257"/>
        <v>4.2881999440668546</v>
      </c>
      <c r="C459" s="29">
        <f t="shared" si="258"/>
        <v>-4.8284922749150319</v>
      </c>
      <c r="D459" s="29">
        <f t="shared" si="259"/>
        <v>-3.4918041935414745</v>
      </c>
      <c r="E459" s="29">
        <f t="shared" si="260"/>
        <v>-0.97217327998955971</v>
      </c>
      <c r="F459" s="29">
        <f t="shared" si="261"/>
        <v>0.77886466387549036</v>
      </c>
      <c r="G459" s="29">
        <f t="shared" si="262"/>
        <v>0.43136932937862671</v>
      </c>
      <c r="H459" s="29">
        <f t="shared" si="263"/>
        <v>4.1272321681340296</v>
      </c>
      <c r="I459" s="29">
        <f t="shared" si="264"/>
        <v>1.0960917520664335</v>
      </c>
      <c r="J459" s="29">
        <f t="shared" si="265"/>
        <v>-1.3071355441501087</v>
      </c>
      <c r="K459" s="26">
        <f t="shared" si="228"/>
        <v>-3.4918041935414745</v>
      </c>
      <c r="L459" s="26">
        <f t="shared" si="229"/>
        <v>2.9546327986765125E-2</v>
      </c>
      <c r="M459" s="26">
        <f t="shared" si="230"/>
        <v>0.43136932937862671</v>
      </c>
      <c r="N459" s="26">
        <f t="shared" si="231"/>
        <v>0.60620060419454491</v>
      </c>
      <c r="O459" s="26">
        <f t="shared" si="232"/>
        <v>-0.52073950647756351</v>
      </c>
      <c r="P459" s="26">
        <f t="shared" si="233"/>
        <v>0.37267932860472636</v>
      </c>
      <c r="Q459" s="26">
        <f t="shared" si="234"/>
        <v>6.9444940984634801E-2</v>
      </c>
      <c r="R459" s="26">
        <f t="shared" si="235"/>
        <v>-8.3202964684565064</v>
      </c>
      <c r="S459" s="26">
        <f t="shared" si="236"/>
        <v>2.4346436710704405E-4</v>
      </c>
      <c r="T459" s="26">
        <f t="shared" si="237"/>
        <v>1.2102339932541171</v>
      </c>
      <c r="U459" s="26">
        <f t="shared" si="238"/>
        <v>0.7703403488382331</v>
      </c>
      <c r="V459" s="26">
        <f t="shared" si="239"/>
        <v>-0.46176700753682365</v>
      </c>
      <c r="W459" s="26">
        <f t="shared" si="240"/>
        <v>0.38656672435912176</v>
      </c>
      <c r="X459" s="26">
        <f t="shared" si="241"/>
        <v>0.18815019183174886</v>
      </c>
      <c r="Y459" s="26">
        <f t="shared" si="242"/>
        <v>0.79639575052538003</v>
      </c>
      <c r="Z459" s="26">
        <f t="shared" si="243"/>
        <v>0.68920296978579809</v>
      </c>
      <c r="AA459" s="26">
        <f t="shared" si="244"/>
        <v>-0.540803950610933</v>
      </c>
      <c r="AB459" s="26">
        <f t="shared" si="245"/>
        <v>0.36800058268842656</v>
      </c>
      <c r="AC459" s="26">
        <f t="shared" si="246"/>
        <v>1.9407275265637689</v>
      </c>
      <c r="AD459" s="26">
        <f t="shared" si="247"/>
        <v>0.87443204813118369</v>
      </c>
      <c r="AE459" s="26">
        <f t="shared" si="248"/>
        <v>7.8836552682646846E-3</v>
      </c>
      <c r="AF459" s="26">
        <f t="shared" si="249"/>
        <v>-4.0320965243896518</v>
      </c>
      <c r="AG459" s="26">
        <f t="shared" si="250"/>
        <v>1.7427982719164285E-2</v>
      </c>
      <c r="AH459" s="26">
        <f t="shared" si="251"/>
        <v>0.23806071326455736</v>
      </c>
      <c r="AI459" s="26">
        <f t="shared" si="252"/>
        <v>0.55923568733755458</v>
      </c>
      <c r="AJ459" s="26">
        <f t="shared" si="253"/>
        <v>-0.62223258889399347</v>
      </c>
      <c r="AK459" s="26">
        <f t="shared" si="254"/>
        <v>0.3492738543850013</v>
      </c>
      <c r="AL459" s="26">
        <f t="shared" si="255"/>
        <v>6.099611267847755E-2</v>
      </c>
      <c r="AM459" s="27">
        <f t="shared" si="256"/>
        <v>0.32647490076312591</v>
      </c>
    </row>
    <row r="460" spans="1:39" ht="15" customHeight="1" x14ac:dyDescent="0.2">
      <c r="A460" s="24">
        <v>449</v>
      </c>
      <c r="B460" s="29">
        <f t="shared" si="257"/>
        <v>4.294778411878684</v>
      </c>
      <c r="C460" s="29">
        <f t="shared" si="258"/>
        <v>-4.8339566325067675</v>
      </c>
      <c r="D460" s="29">
        <f t="shared" si="259"/>
        <v>-3.4953905132240894</v>
      </c>
      <c r="E460" s="29">
        <f t="shared" si="260"/>
        <v>-0.99010611519861658</v>
      </c>
      <c r="F460" s="29">
        <f t="shared" si="261"/>
        <v>0.78562513859874739</v>
      </c>
      <c r="G460" s="29">
        <f t="shared" si="262"/>
        <v>0.41884647161280431</v>
      </c>
      <c r="H460" s="29">
        <f t="shared" si="263"/>
        <v>4.1328121075962354</v>
      </c>
      <c r="I460" s="29">
        <f t="shared" si="264"/>
        <v>1.1160118076808878</v>
      </c>
      <c r="J460" s="29">
        <f t="shared" si="265"/>
        <v>-1.314394920424752</v>
      </c>
      <c r="K460" s="26">
        <f t="shared" ref="K460:K523" si="266">0*B460+0*C460+D460</f>
        <v>-3.4953905132240894</v>
      </c>
      <c r="L460" s="26">
        <f t="shared" ref="L460:L523" si="267">1/(1+EXP(-K460))</f>
        <v>2.944366952932808E-2</v>
      </c>
      <c r="M460" s="26">
        <f t="shared" ref="M460:M523" si="268">0*E460+0*F460+G460</f>
        <v>0.41884647161280431</v>
      </c>
      <c r="N460" s="26">
        <f t="shared" ref="N460:N523" si="269">1/(1+EXP(-M460))</f>
        <v>0.60320718772994819</v>
      </c>
      <c r="O460" s="26">
        <f t="shared" ref="O460:O523" si="270">L460*H460+N460*I460+J460</f>
        <v>-0.51952342251727845</v>
      </c>
      <c r="P460" s="26">
        <f t="shared" ref="P460:P523" si="271">1/(1+EXP(-O460))</f>
        <v>0.3729636801927238</v>
      </c>
      <c r="Q460" s="26">
        <f t="shared" ref="Q460:Q523" si="272">0.5*(0-P460)^2</f>
        <v>6.9550953371450175E-2</v>
      </c>
      <c r="R460" s="26">
        <f t="shared" ref="R460:R523" si="273">0*B460+1*C460+D460</f>
        <v>-8.329347145730857</v>
      </c>
      <c r="S460" s="26">
        <f t="shared" ref="S460:S523" si="274">1/(1+EXP(-R460))</f>
        <v>2.412713205864827E-4</v>
      </c>
      <c r="T460" s="26">
        <f t="shared" ref="T460:T523" si="275">0*E460+1*F460+G460</f>
        <v>1.2044716102115518</v>
      </c>
      <c r="U460" s="26">
        <f t="shared" ref="U460:U523" si="276">1/(1+EXP(-T460))</f>
        <v>0.76931930276290306</v>
      </c>
      <c r="V460" s="26">
        <f t="shared" ref="V460:V523" si="277">S460*H460+U460*I460+J460</f>
        <v>-0.45482836562958884</v>
      </c>
      <c r="W460" s="26">
        <f t="shared" ref="W460:W523" si="278">1/(1+EXP(-V460))</f>
        <v>0.3882133940234786</v>
      </c>
      <c r="X460" s="26">
        <f t="shared" ref="X460:X523" si="279">0.5*(1-W460)^2</f>
        <v>0.1871414256261357</v>
      </c>
      <c r="Y460" s="26">
        <f t="shared" ref="Y460:Y523" si="280">1*B460+0*C460+D460</f>
        <v>0.79938789865459459</v>
      </c>
      <c r="Z460" s="26">
        <f t="shared" ref="Z460:Z523" si="281">1/(1+EXP(-Y460))</f>
        <v>0.6898435314913659</v>
      </c>
      <c r="AA460" s="26">
        <f t="shared" ref="AA460:AA523" si="282">1*E460+0*F460+G460</f>
        <v>-0.57125964358581227</v>
      </c>
      <c r="AB460" s="26">
        <f t="shared" ref="AB460:AB523" si="283">1/(1+EXP(-AA460))</f>
        <v>0.3609462195014887</v>
      </c>
      <c r="AC460" s="26">
        <f t="shared" ref="AC460:AC523" si="284">Z460*H460+AB460*I460+J460</f>
        <v>1.9394190217711489</v>
      </c>
      <c r="AD460" s="26">
        <f t="shared" ref="AD460:AD523" si="285">1/(1+EXP(-AC460))</f>
        <v>0.87428830305893579</v>
      </c>
      <c r="AE460" s="26">
        <f t="shared" ref="AE460:AE523" si="286">0.5*(1-AD460)^2</f>
        <v>7.9017153739009867E-3</v>
      </c>
      <c r="AF460" s="26">
        <f t="shared" ref="AF460:AF523" si="287">1*B460+1*C460+D460</f>
        <v>-4.034568733852173</v>
      </c>
      <c r="AG460" s="26">
        <f t="shared" ref="AG460:AG523" si="288">1/(1+EXP(-AF460))</f>
        <v>1.7385698458347431E-2</v>
      </c>
      <c r="AH460" s="26">
        <f t="shared" ref="AH460:AH523" si="289">1*E460+1*F460+G460</f>
        <v>0.21436549501293511</v>
      </c>
      <c r="AI460" s="26">
        <f t="shared" ref="AI460:AI523" si="290">1/(1+EXP(-AH460))</f>
        <v>0.55338709067588232</v>
      </c>
      <c r="AJ460" s="26">
        <f t="shared" ref="AJ460:AJ523" si="291">AG460*H460+AI460*I460+J460</f>
        <v>-0.62495656792461773</v>
      </c>
      <c r="AK460" s="26">
        <f t="shared" ref="AK460:AK523" si="292">1/(1+EXP(-AJ460))</f>
        <v>0.34865499846282877</v>
      </c>
      <c r="AL460" s="26">
        <f t="shared" ref="AL460:AL523" si="293">0.5*(0-AK460)^2</f>
        <v>6.0780153976557567E-2</v>
      </c>
      <c r="AM460" s="27">
        <f t="shared" ref="AM460:AM523" si="294">Q460+X460+AE460+AL460</f>
        <v>0.32537424834804446</v>
      </c>
    </row>
    <row r="461" spans="1:39" ht="15" customHeight="1" x14ac:dyDescent="0.2">
      <c r="A461" s="24">
        <v>450</v>
      </c>
      <c r="B461" s="29">
        <f t="shared" ref="B461:B524" si="295">B460-$C$6*(((((P460)-0)*(P460)*(1-(P460)))*H460*(L460)*(1-(L460))*0)+((((W460)-1)*(W460)*(1-(W460)))*H460*(S460)*(1-(S460))*0)+((((AD460)-1)*(AD460)*(1-(AD460)))*H460*(Z460)*(1-(Z460))*1)+((((AK460)-0)*(AK460)*(1-(AK460)))*H460*(AG460)*(1-(AG460))*1))</f>
        <v>4.301405780488091</v>
      </c>
      <c r="C461" s="29">
        <f t="shared" ref="C461:C524" si="296">C460-$C$6*(((((P460)-0)*(P460)*(1-(P460)))*H460*(L460)*(1-(L460))*0)+((((W460)-1)*(W460)*(1-(W460)))*H460*(S460)*(1-(S460))*1)+((((AD460)-1)*(AD460)*(1-(AD460)))*H460*(Z460)*(1-(Z460))*0)+((((AK460)-0)*(AK460)*(1-(AK460)))*H460*(AG460)*(1-(AG460))*1))</f>
        <v>-4.8394019368608401</v>
      </c>
      <c r="D461" s="29">
        <f t="shared" ref="D461:D524" si="297">D460-$C$6*(((((P460)-0)*(P460)*(1-(P460)))*H460*(L460)*(1-(L460)))+((((W460)-1)*(W460)*(1-(W460)))*H460*(S460)*(1-(S460)))+((((AD460)-1)*(AD460)*(1-(AD460)))*H460*(Z460)*(1-(Z460)))+((((AK460)-0)*(AK460)*(1-(AK460)))*H460*(AG460)*(1-(AG460))))</f>
        <v>-3.4989194074343493</v>
      </c>
      <c r="E461" s="29">
        <f t="shared" ref="E461:E524" si="298">E460-$C$6*(((((P460)-0)*(P460)*(1-(P460)))*I460*(N460)*(1-(N460))*0)+((((W460)-1)*(W460)*(1-(W460)))*I460*(U460)*(1-(U460))*0)+((((AD460)-1)*(AD460)*(1-(AD460)))*I460*(AB460)*(1-(AB460))*1)+((((AK460)-0)*(AK460)*(1-(AK460)))*I460*(AI460)*(1-(AI460))*1))</f>
        <v>-1.0083883141769279</v>
      </c>
      <c r="F461" s="29">
        <f t="shared" ref="F461:F524" si="299">F460-$C$6*(((((P460)-0)*(P460)*(1-(P460)))*I460*(N460)*(1-(N460))*0)+((((W460)-1)*(W460)*(1-(W460)))*I460*(U460)*(1-(U460))*1)+((((AD460)-1)*(AD460)*(1-(AD460)))*I460*(AB460)*(1-(AB460))*0)+((((AK460)-0)*(AK460)*(1-(AK460)))*I460*(AI460)*(1-(AI460))*1))</f>
        <v>0.79256394691994603</v>
      </c>
      <c r="G461" s="29">
        <f t="shared" ref="G461:G524" si="300">G460-$C$6*(((((P460)-0)*(P460)*(1-(P460)))*I460*(N460)*(1-(N460)))+((((W460)-1)*(W460)*(1-(W460)))*I460*(U460)*(1-(U460)))+((((AD460)-1)*(AD460)*(1-(AD460)))*I460*(AB460)*(1-(AB460)))+((((AK460)-0)*(AK460)*(1-(AK460)))*I460*(AI460)*(1-(AI460))))</f>
        <v>0.40604370701343295</v>
      </c>
      <c r="H461" s="29">
        <f t="shared" ref="H461:H524" si="301">H460-$C$6*((((P460)-0)*(P460)*(1-(P460))*L460)+(((W460)-1)*(W460)*(1-(W460))*S460)+(((AD460)-1)*(AD460)*(1-(AD460))*Z460)+(((AK460)-0)*(AK460)*(1-(AK460))*AG460))</f>
        <v>4.1384338697290239</v>
      </c>
      <c r="I461" s="29">
        <f t="shared" ref="I461:I524" si="302">I460-$C$6*((((P460)-0)*(P460)*(1-(P460))*N460)+(((W460)-1)*(W460)*(1-(W460))*U460)+(((AD460)-1)*(AD460)*(1-(AD460))*AB460)+(((AK460)-0)*(AK460)*(1-(AK460))*AI460))</f>
        <v>1.1363534287071697</v>
      </c>
      <c r="J461" s="29">
        <f t="shared" ref="J461:J524" si="303">J460-$C$6*((((P460)-0)*(P460)*(1-(P460)))+(((W460)-1)*(W460)*(1-(W460)))+(((AD460)-1)*(AD460)*(1-(AD460)))+(((AK460)-0)*(AK460)*(1-(AK460))))</f>
        <v>-1.3216761964171417</v>
      </c>
      <c r="K461" s="26">
        <f t="shared" si="266"/>
        <v>-3.4989194074343493</v>
      </c>
      <c r="L461" s="26">
        <f t="shared" si="267"/>
        <v>2.9342992520541185E-2</v>
      </c>
      <c r="M461" s="26">
        <f t="shared" si="268"/>
        <v>0.40604370701343295</v>
      </c>
      <c r="N461" s="26">
        <f t="shared" si="269"/>
        <v>0.6001388556992151</v>
      </c>
      <c r="O461" s="26">
        <f t="shared" si="270"/>
        <v>-0.51827231595672818</v>
      </c>
      <c r="P461" s="26">
        <f t="shared" si="271"/>
        <v>0.37325631266340464</v>
      </c>
      <c r="Q461" s="26">
        <f t="shared" si="272"/>
        <v>6.9660137471540637E-2</v>
      </c>
      <c r="R461" s="26">
        <f t="shared" si="273"/>
        <v>-8.3383213442951885</v>
      </c>
      <c r="S461" s="26">
        <f t="shared" si="274"/>
        <v>2.3911630581457122E-4</v>
      </c>
      <c r="T461" s="26">
        <f t="shared" si="275"/>
        <v>1.198607653933379</v>
      </c>
      <c r="U461" s="26">
        <f t="shared" si="276"/>
        <v>0.76827700027328905</v>
      </c>
      <c r="V461" s="26">
        <f t="shared" si="277"/>
        <v>-0.44765242594094312</v>
      </c>
      <c r="W461" s="26">
        <f t="shared" si="278"/>
        <v>0.38991906757074174</v>
      </c>
      <c r="X461" s="26">
        <f t="shared" si="279"/>
        <v>0.18609937205687654</v>
      </c>
      <c r="Y461" s="26">
        <f t="shared" si="280"/>
        <v>0.80248637305374171</v>
      </c>
      <c r="Z461" s="26">
        <f t="shared" si="281"/>
        <v>0.69050608905546673</v>
      </c>
      <c r="AA461" s="26">
        <f t="shared" si="282"/>
        <v>-0.60234460716349492</v>
      </c>
      <c r="AB461" s="26">
        <f t="shared" si="283"/>
        <v>0.35380746797554613</v>
      </c>
      <c r="AC461" s="26">
        <f t="shared" si="284"/>
        <v>1.9379879191203413</v>
      </c>
      <c r="AD461" s="26">
        <f t="shared" si="285"/>
        <v>0.87413092877795606</v>
      </c>
      <c r="AE461" s="26">
        <f t="shared" si="286"/>
        <v>7.9215115451499851E-3</v>
      </c>
      <c r="AF461" s="26">
        <f t="shared" si="287"/>
        <v>-4.0369155638070984</v>
      </c>
      <c r="AG461" s="26">
        <f t="shared" si="288"/>
        <v>1.7345651914776807E-2</v>
      </c>
      <c r="AH461" s="26">
        <f t="shared" si="289"/>
        <v>0.19021933975645111</v>
      </c>
      <c r="AI461" s="26">
        <f t="shared" si="290"/>
        <v>0.54741196059458508</v>
      </c>
      <c r="AJ461" s="26">
        <f t="shared" si="291"/>
        <v>-0.62783890470352854</v>
      </c>
      <c r="AK461" s="26">
        <f t="shared" si="292"/>
        <v>0.34800072095073714</v>
      </c>
      <c r="AL461" s="26">
        <f t="shared" si="293"/>
        <v>6.0552250891116412E-2</v>
      </c>
      <c r="AM461" s="27">
        <f t="shared" si="294"/>
        <v>0.3242332719646836</v>
      </c>
    </row>
    <row r="462" spans="1:39" ht="15" customHeight="1" x14ac:dyDescent="0.2">
      <c r="A462" s="24">
        <v>451</v>
      </c>
      <c r="B462" s="29">
        <f t="shared" si="295"/>
        <v>4.3080841828512844</v>
      </c>
      <c r="C462" s="29">
        <f t="shared" si="296"/>
        <v>-4.8448280967359105</v>
      </c>
      <c r="D462" s="29">
        <f t="shared" si="297"/>
        <v>-3.5023896804338244</v>
      </c>
      <c r="E462" s="29">
        <f t="shared" si="298"/>
        <v>-1.0270202840386591</v>
      </c>
      <c r="F462" s="29">
        <f t="shared" si="299"/>
        <v>0.79969358821314784</v>
      </c>
      <c r="G462" s="29">
        <f t="shared" si="300"/>
        <v>0.39296025636383175</v>
      </c>
      <c r="H462" s="29">
        <f t="shared" si="301"/>
        <v>4.1440995176519664</v>
      </c>
      <c r="I462" s="29">
        <f t="shared" si="302"/>
        <v>1.1571246374478366</v>
      </c>
      <c r="J462" s="29">
        <f t="shared" si="303"/>
        <v>-1.3289780833629425</v>
      </c>
      <c r="K462" s="26">
        <f t="shared" si="266"/>
        <v>-3.5023896804338244</v>
      </c>
      <c r="L462" s="26">
        <f t="shared" si="267"/>
        <v>2.9244313542053837E-2</v>
      </c>
      <c r="M462" s="26">
        <f t="shared" si="268"/>
        <v>0.39296025636383175</v>
      </c>
      <c r="N462" s="26">
        <f t="shared" si="269"/>
        <v>0.59699511717629328</v>
      </c>
      <c r="O462" s="26">
        <f t="shared" si="270"/>
        <v>-0.51698897919850728</v>
      </c>
      <c r="P462" s="26">
        <f t="shared" si="271"/>
        <v>0.37355658017843563</v>
      </c>
      <c r="Q462" s="26">
        <f t="shared" si="272"/>
        <v>6.9772259297304004E-2</v>
      </c>
      <c r="R462" s="26">
        <f t="shared" si="273"/>
        <v>-8.3472177771697353</v>
      </c>
      <c r="S462" s="26">
        <f t="shared" si="274"/>
        <v>2.3699896019097543E-4</v>
      </c>
      <c r="T462" s="26">
        <f t="shared" si="275"/>
        <v>1.1926538445769796</v>
      </c>
      <c r="U462" s="26">
        <f t="shared" si="276"/>
        <v>0.76721536618874486</v>
      </c>
      <c r="V462" s="26">
        <f t="shared" si="277"/>
        <v>-0.44023213364077063</v>
      </c>
      <c r="W462" s="26">
        <f t="shared" si="278"/>
        <v>0.39168565784393566</v>
      </c>
      <c r="X462" s="26">
        <f t="shared" si="279"/>
        <v>0.1850231694363827</v>
      </c>
      <c r="Y462" s="26">
        <f t="shared" si="280"/>
        <v>0.80569450241745999</v>
      </c>
      <c r="Z462" s="26">
        <f t="shared" si="281"/>
        <v>0.69119127078806553</v>
      </c>
      <c r="AA462" s="26">
        <f t="shared" si="282"/>
        <v>-0.63406002767482739</v>
      </c>
      <c r="AB462" s="26">
        <f t="shared" si="283"/>
        <v>0.34659050972226407</v>
      </c>
      <c r="AC462" s="26">
        <f t="shared" si="284"/>
        <v>1.936435746420365</v>
      </c>
      <c r="AD462" s="26">
        <f t="shared" si="285"/>
        <v>0.87396005015214695</v>
      </c>
      <c r="AE462" s="26">
        <f t="shared" si="286"/>
        <v>7.9430344788246569E-3</v>
      </c>
      <c r="AF462" s="26">
        <f t="shared" si="287"/>
        <v>-4.0391335943184501</v>
      </c>
      <c r="AG462" s="26">
        <f t="shared" si="288"/>
        <v>1.7307886516998709E-2</v>
      </c>
      <c r="AH462" s="26">
        <f t="shared" si="289"/>
        <v>0.16563356053832051</v>
      </c>
      <c r="AI462" s="26">
        <f t="shared" si="290"/>
        <v>0.54131398100754169</v>
      </c>
      <c r="AJ462" s="26">
        <f t="shared" si="291"/>
        <v>-0.63088473517747645</v>
      </c>
      <c r="AK462" s="26">
        <f t="shared" si="292"/>
        <v>0.34730995386631275</v>
      </c>
      <c r="AL462" s="26">
        <f t="shared" si="293"/>
        <v>6.0312102027310147E-2</v>
      </c>
      <c r="AM462" s="27">
        <f t="shared" si="294"/>
        <v>0.32305056523982151</v>
      </c>
    </row>
    <row r="463" spans="1:39" ht="15" customHeight="1" x14ac:dyDescent="0.2">
      <c r="A463" s="24">
        <v>452</v>
      </c>
      <c r="B463" s="29">
        <f t="shared" si="295"/>
        <v>4.314815729357778</v>
      </c>
      <c r="C463" s="29">
        <f t="shared" si="296"/>
        <v>-4.8502350114818542</v>
      </c>
      <c r="D463" s="29">
        <f t="shared" si="297"/>
        <v>-3.5058001477080625</v>
      </c>
      <c r="E463" s="29">
        <f t="shared" si="298"/>
        <v>-1.0460017268483692</v>
      </c>
      <c r="F463" s="29">
        <f t="shared" si="299"/>
        <v>0.80702727284017373</v>
      </c>
      <c r="G463" s="29">
        <f t="shared" si="300"/>
        <v>0.37959579852819031</v>
      </c>
      <c r="H463" s="29">
        <f t="shared" si="301"/>
        <v>4.1498111265317554</v>
      </c>
      <c r="I463" s="29">
        <f t="shared" si="302"/>
        <v>1.1783330992928214</v>
      </c>
      <c r="J463" s="29">
        <f t="shared" si="303"/>
        <v>-1.3362994128208854</v>
      </c>
      <c r="K463" s="26">
        <f t="shared" si="266"/>
        <v>-3.5058001477080625</v>
      </c>
      <c r="L463" s="26">
        <f t="shared" si="267"/>
        <v>2.914764878991111E-2</v>
      </c>
      <c r="M463" s="26">
        <f t="shared" si="268"/>
        <v>0.37959579852819031</v>
      </c>
      <c r="N463" s="26">
        <f t="shared" si="269"/>
        <v>0.59377561075613017</v>
      </c>
      <c r="O463" s="26">
        <f t="shared" si="270"/>
        <v>-0.5156767198535136</v>
      </c>
      <c r="P463" s="26">
        <f t="shared" si="271"/>
        <v>0.37386371561094123</v>
      </c>
      <c r="Q463" s="26">
        <f t="shared" si="272"/>
        <v>6.9887038925209366E-2</v>
      </c>
      <c r="R463" s="26">
        <f t="shared" si="273"/>
        <v>-8.3560351591899167</v>
      </c>
      <c r="S463" s="26">
        <f t="shared" si="274"/>
        <v>2.349189244442224E-4</v>
      </c>
      <c r="T463" s="26">
        <f t="shared" si="275"/>
        <v>1.1866230713683641</v>
      </c>
      <c r="U463" s="26">
        <f t="shared" si="276"/>
        <v>0.76613655928584457</v>
      </c>
      <c r="V463" s="26">
        <f t="shared" si="277"/>
        <v>-0.43256047726956626</v>
      </c>
      <c r="W463" s="26">
        <f t="shared" si="278"/>
        <v>0.39351507927543627</v>
      </c>
      <c r="X463" s="26">
        <f t="shared" si="279"/>
        <v>0.18391197953314017</v>
      </c>
      <c r="Y463" s="26">
        <f t="shared" si="280"/>
        <v>0.80901558164971554</v>
      </c>
      <c r="Z463" s="26">
        <f t="shared" si="281"/>
        <v>0.6918996910564118</v>
      </c>
      <c r="AA463" s="26">
        <f t="shared" si="282"/>
        <v>-0.66640592832017886</v>
      </c>
      <c r="AB463" s="26">
        <f t="shared" si="283"/>
        <v>0.33930208011095264</v>
      </c>
      <c r="AC463" s="26">
        <f t="shared" si="284"/>
        <v>1.9347644952225362</v>
      </c>
      <c r="AD463" s="26">
        <f t="shared" si="285"/>
        <v>0.87377584026192479</v>
      </c>
      <c r="AE463" s="26">
        <f t="shared" si="286"/>
        <v>7.9662692507915644E-3</v>
      </c>
      <c r="AF463" s="26">
        <f t="shared" si="287"/>
        <v>-4.0412194298321387</v>
      </c>
      <c r="AG463" s="26">
        <f t="shared" si="288"/>
        <v>1.7272445646941428E-2</v>
      </c>
      <c r="AH463" s="26">
        <f t="shared" si="289"/>
        <v>0.14062134451999481</v>
      </c>
      <c r="AI463" s="26">
        <f t="shared" si="290"/>
        <v>0.5350975192596783</v>
      </c>
      <c r="AJ463" s="26">
        <f t="shared" si="291"/>
        <v>-0.63409890739963592</v>
      </c>
      <c r="AK463" s="26">
        <f t="shared" si="292"/>
        <v>0.34658170485736334</v>
      </c>
      <c r="AL463" s="26">
        <f t="shared" si="293"/>
        <v>6.0059439070918257E-2</v>
      </c>
      <c r="AM463" s="27">
        <f t="shared" si="294"/>
        <v>0.32182472678005936</v>
      </c>
    </row>
    <row r="464" spans="1:39" ht="15" customHeight="1" x14ac:dyDescent="0.2">
      <c r="A464" s="24">
        <v>453</v>
      </c>
      <c r="B464" s="29">
        <f t="shared" si="295"/>
        <v>4.3216024976524956</v>
      </c>
      <c r="C464" s="29">
        <f t="shared" si="296"/>
        <v>-4.8556225721054842</v>
      </c>
      <c r="D464" s="29">
        <f t="shared" si="297"/>
        <v>-3.5091496417751862</v>
      </c>
      <c r="E464" s="29">
        <f t="shared" si="298"/>
        <v>-1.0653316010272287</v>
      </c>
      <c r="F464" s="29">
        <f t="shared" si="299"/>
        <v>0.81457890383926701</v>
      </c>
      <c r="G464" s="29">
        <f t="shared" si="300"/>
        <v>0.36595048265561064</v>
      </c>
      <c r="H464" s="29">
        <f t="shared" si="301"/>
        <v>4.1555707781524527</v>
      </c>
      <c r="I464" s="29">
        <f t="shared" si="302"/>
        <v>1.1999860672354186</v>
      </c>
      <c r="J464" s="29">
        <f t="shared" si="303"/>
        <v>-1.34363916552184</v>
      </c>
      <c r="K464" s="26">
        <f t="shared" si="266"/>
        <v>-3.5091496417751862</v>
      </c>
      <c r="L464" s="26">
        <f t="shared" si="267"/>
        <v>2.9053013933308478E-2</v>
      </c>
      <c r="M464" s="26">
        <f t="shared" si="268"/>
        <v>0.36595048265561064</v>
      </c>
      <c r="N464" s="26">
        <f t="shared" si="269"/>
        <v>0.59048011107530818</v>
      </c>
      <c r="O464" s="26">
        <f t="shared" si="270"/>
        <v>-0.51433940353333507</v>
      </c>
      <c r="P464" s="26">
        <f t="shared" si="271"/>
        <v>0.3741768202730214</v>
      </c>
      <c r="Q464" s="26">
        <f t="shared" si="272"/>
        <v>7.0004146414814478E-2</v>
      </c>
      <c r="R464" s="26">
        <f t="shared" si="273"/>
        <v>-8.3647722138806699</v>
      </c>
      <c r="S464" s="26">
        <f t="shared" si="274"/>
        <v>2.3287584119279682E-4</v>
      </c>
      <c r="T464" s="26">
        <f t="shared" si="275"/>
        <v>1.1805293864948776</v>
      </c>
      <c r="U464" s="26">
        <f t="shared" si="276"/>
        <v>0.76504297551339762</v>
      </c>
      <c r="V464" s="26">
        <f t="shared" si="277"/>
        <v>-0.424630522028837</v>
      </c>
      <c r="W464" s="26">
        <f t="shared" si="278"/>
        <v>0.39540923956111435</v>
      </c>
      <c r="X464" s="26">
        <f t="shared" si="279"/>
        <v>0.18276499380403499</v>
      </c>
      <c r="Y464" s="26">
        <f t="shared" si="280"/>
        <v>0.81245285587730942</v>
      </c>
      <c r="Z464" s="26">
        <f t="shared" si="281"/>
        <v>0.69263194657532379</v>
      </c>
      <c r="AA464" s="26">
        <f t="shared" si="282"/>
        <v>-0.69938111837161809</v>
      </c>
      <c r="AB464" s="26">
        <f t="shared" si="283"/>
        <v>0.33194945613537463</v>
      </c>
      <c r="AC464" s="26">
        <f t="shared" si="284"/>
        <v>1.9329766340702508</v>
      </c>
      <c r="AD464" s="26">
        <f t="shared" si="285"/>
        <v>0.8735785223499225</v>
      </c>
      <c r="AE464" s="26">
        <f t="shared" si="286"/>
        <v>7.9911950056145223E-3</v>
      </c>
      <c r="AF464" s="26">
        <f t="shared" si="287"/>
        <v>-4.0431697162281743</v>
      </c>
      <c r="AG464" s="26">
        <f t="shared" si="288"/>
        <v>1.7239372422002599E-2</v>
      </c>
      <c r="AH464" s="26">
        <f t="shared" si="289"/>
        <v>0.11519778546764897</v>
      </c>
      <c r="AI464" s="26">
        <f t="shared" si="290"/>
        <v>0.5287676399158775</v>
      </c>
      <c r="AJ464" s="26">
        <f t="shared" si="291"/>
        <v>-0.63748593254727104</v>
      </c>
      <c r="AK464" s="26">
        <f t="shared" si="292"/>
        <v>0.34581506866958062</v>
      </c>
      <c r="AL464" s="26">
        <f t="shared" si="293"/>
        <v>5.9794030859473379E-2</v>
      </c>
      <c r="AM464" s="27">
        <f t="shared" si="294"/>
        <v>0.32055436608393734</v>
      </c>
    </row>
    <row r="465" spans="1:39" ht="15" customHeight="1" x14ac:dyDescent="0.2">
      <c r="A465" s="24">
        <v>454</v>
      </c>
      <c r="B465" s="29">
        <f t="shared" si="295"/>
        <v>4.3284465219178081</v>
      </c>
      <c r="C465" s="29">
        <f t="shared" si="296"/>
        <v>-4.8609906624713792</v>
      </c>
      <c r="D465" s="29">
        <f t="shared" si="297"/>
        <v>-3.5124370181143556</v>
      </c>
      <c r="E465" s="29">
        <f t="shared" si="298"/>
        <v>-1.0850080872867331</v>
      </c>
      <c r="F465" s="29">
        <f t="shared" si="299"/>
        <v>0.82236304828654994</v>
      </c>
      <c r="G465" s="29">
        <f t="shared" si="300"/>
        <v>0.35202493546752089</v>
      </c>
      <c r="H465" s="29">
        <f t="shared" si="301"/>
        <v>4.1613805551382503</v>
      </c>
      <c r="I465" s="29">
        <f t="shared" si="302"/>
        <v>1.2220903259935412</v>
      </c>
      <c r="J465" s="29">
        <f t="shared" si="303"/>
        <v>-1.3509965013856513</v>
      </c>
      <c r="K465" s="26">
        <f t="shared" si="266"/>
        <v>-3.5124370181143556</v>
      </c>
      <c r="L465" s="26">
        <f t="shared" si="267"/>
        <v>2.8960423972821229E-2</v>
      </c>
      <c r="M465" s="26">
        <f t="shared" si="268"/>
        <v>0.35202493546752089</v>
      </c>
      <c r="N465" s="26">
        <f t="shared" si="269"/>
        <v>0.58710853421442655</v>
      </c>
      <c r="O465" s="26">
        <f t="shared" si="270"/>
        <v>-0.51298149622489475</v>
      </c>
      <c r="P465" s="26">
        <f t="shared" si="271"/>
        <v>0.37449485371696523</v>
      </c>
      <c r="Q465" s="26">
        <f t="shared" si="272"/>
        <v>7.0123197730245598E-2</v>
      </c>
      <c r="R465" s="26">
        <f t="shared" si="273"/>
        <v>-8.3734276805857348</v>
      </c>
      <c r="S465" s="26">
        <f t="shared" si="274"/>
        <v>2.3086935352481449E-4</v>
      </c>
      <c r="T465" s="26">
        <f t="shared" si="275"/>
        <v>1.1743879837540709</v>
      </c>
      <c r="U465" s="26">
        <f t="shared" si="276"/>
        <v>0.76393724837376065</v>
      </c>
      <c r="V465" s="26">
        <f t="shared" si="277"/>
        <v>-0.41643544524341791</v>
      </c>
      <c r="W465" s="26">
        <f t="shared" si="278"/>
        <v>0.39737003062858006</v>
      </c>
      <c r="X465" s="26">
        <f t="shared" si="279"/>
        <v>0.18158143999229923</v>
      </c>
      <c r="Y465" s="26">
        <f t="shared" si="280"/>
        <v>0.8160095038034525</v>
      </c>
      <c r="Z465" s="26">
        <f t="shared" si="281"/>
        <v>0.69338861257684936</v>
      </c>
      <c r="AA465" s="26">
        <f t="shared" si="282"/>
        <v>-0.73298315181921225</v>
      </c>
      <c r="AB465" s="26">
        <f t="shared" si="283"/>
        <v>0.32454043696345758</v>
      </c>
      <c r="AC465" s="26">
        <f t="shared" si="284"/>
        <v>1.9310751165526974</v>
      </c>
      <c r="AD465" s="26">
        <f t="shared" si="285"/>
        <v>0.87336837126927169</v>
      </c>
      <c r="AE465" s="26">
        <f t="shared" si="286"/>
        <v>8.0177846974985069E-3</v>
      </c>
      <c r="AF465" s="26">
        <f t="shared" si="287"/>
        <v>-4.0449811586679267</v>
      </c>
      <c r="AG465" s="26">
        <f t="shared" si="288"/>
        <v>1.72087094674667E-2</v>
      </c>
      <c r="AH465" s="26">
        <f t="shared" si="289"/>
        <v>8.9379896467337683E-2</v>
      </c>
      <c r="AI465" s="26">
        <f t="shared" si="290"/>
        <v>0.52233011026051712</v>
      </c>
      <c r="AJ465" s="26">
        <f t="shared" si="291"/>
        <v>-0.64104993770419416</v>
      </c>
      <c r="AK465" s="26">
        <f t="shared" si="292"/>
        <v>0.34500923811984568</v>
      </c>
      <c r="AL465" s="26">
        <f t="shared" si="293"/>
        <v>5.9515687194018188E-2</v>
      </c>
      <c r="AM465" s="27">
        <f t="shared" si="294"/>
        <v>0.31923810961406152</v>
      </c>
    </row>
    <row r="466" spans="1:39" ht="15" customHeight="1" x14ac:dyDescent="0.2">
      <c r="A466" s="24">
        <v>455</v>
      </c>
      <c r="B466" s="29">
        <f t="shared" si="295"/>
        <v>4.3353497817145685</v>
      </c>
      <c r="C466" s="29">
        <f t="shared" si="296"/>
        <v>-4.8663391606261133</v>
      </c>
      <c r="D466" s="29">
        <f t="shared" si="297"/>
        <v>-3.5156611611152941</v>
      </c>
      <c r="E466" s="29">
        <f t="shared" si="298"/>
        <v>-1.1050285599957275</v>
      </c>
      <c r="F466" s="29">
        <f t="shared" si="299"/>
        <v>0.83039489746475159</v>
      </c>
      <c r="G466" s="29">
        <f t="shared" si="300"/>
        <v>0.33782026310595198</v>
      </c>
      <c r="H466" s="29">
        <f t="shared" si="301"/>
        <v>4.1672425348822513</v>
      </c>
      <c r="I466" s="29">
        <f t="shared" si="302"/>
        <v>1.2446521364993619</v>
      </c>
      <c r="J466" s="29">
        <f t="shared" si="303"/>
        <v>-1.3583707902243689</v>
      </c>
      <c r="K466" s="26">
        <f t="shared" si="266"/>
        <v>-3.5156611611152941</v>
      </c>
      <c r="L466" s="26">
        <f t="shared" si="267"/>
        <v>2.8869893100713674E-2</v>
      </c>
      <c r="M466" s="26">
        <f t="shared" si="268"/>
        <v>0.33782026310595198</v>
      </c>
      <c r="N466" s="26">
        <f t="shared" si="269"/>
        <v>0.58366094180779993</v>
      </c>
      <c r="O466" s="26">
        <f t="shared" si="270"/>
        <v>-0.51160810550526326</v>
      </c>
      <c r="P466" s="26">
        <f t="shared" si="271"/>
        <v>0.37481662378778158</v>
      </c>
      <c r="Q466" s="26">
        <f t="shared" si="272"/>
        <v>7.0243750733835694E-2</v>
      </c>
      <c r="R466" s="26">
        <f t="shared" si="273"/>
        <v>-8.3820003217414083</v>
      </c>
      <c r="S466" s="26">
        <f t="shared" si="274"/>
        <v>2.2889910362004496E-4</v>
      </c>
      <c r="T466" s="26">
        <f t="shared" si="275"/>
        <v>1.1682151605707036</v>
      </c>
      <c r="U466" s="26">
        <f t="shared" si="276"/>
        <v>0.76282224609997773</v>
      </c>
      <c r="V466" s="26">
        <f t="shared" si="277"/>
        <v>-0.40796857376598772</v>
      </c>
      <c r="W466" s="26">
        <f t="shared" si="278"/>
        <v>0.39939931893428704</v>
      </c>
      <c r="X466" s="26">
        <f t="shared" si="279"/>
        <v>0.18036058904829913</v>
      </c>
      <c r="Y466" s="26">
        <f t="shared" si="280"/>
        <v>0.81968862059927439</v>
      </c>
      <c r="Z466" s="26">
        <f t="shared" si="281"/>
        <v>0.69417023890650098</v>
      </c>
      <c r="AA466" s="26">
        <f t="shared" si="282"/>
        <v>-0.76720829688977554</v>
      </c>
      <c r="AB466" s="26">
        <f t="shared" si="283"/>
        <v>0.31708331687452751</v>
      </c>
      <c r="AC466" s="26">
        <f t="shared" si="284"/>
        <v>1.9290633835923612</v>
      </c>
      <c r="AD466" s="26">
        <f t="shared" si="285"/>
        <v>0.87314571436502697</v>
      </c>
      <c r="AE466" s="26">
        <f t="shared" si="286"/>
        <v>8.0460048919796627E-3</v>
      </c>
      <c r="AF466" s="26">
        <f t="shared" si="287"/>
        <v>-4.0466505400268389</v>
      </c>
      <c r="AG466" s="26">
        <f t="shared" si="288"/>
        <v>1.7180498682129324E-2</v>
      </c>
      <c r="AH466" s="26">
        <f t="shared" si="289"/>
        <v>6.3186600574976104E-2</v>
      </c>
      <c r="AI466" s="26">
        <f t="shared" si="290"/>
        <v>0.51579139650293115</v>
      </c>
      <c r="AJ466" s="26">
        <f t="shared" si="291"/>
        <v>-0.6447946217003484</v>
      </c>
      <c r="AK466" s="26">
        <f t="shared" si="292"/>
        <v>0.34416351426918979</v>
      </c>
      <c r="AL466" s="26">
        <f t="shared" si="293"/>
        <v>5.9224262277059403E-2</v>
      </c>
      <c r="AM466" s="27">
        <f t="shared" si="294"/>
        <v>0.31787460695117387</v>
      </c>
    </row>
    <row r="467" spans="1:39" ht="15" customHeight="1" x14ac:dyDescent="0.2">
      <c r="A467" s="24">
        <v>456</v>
      </c>
      <c r="B467" s="29">
        <f t="shared" si="295"/>
        <v>4.34231419050003</v>
      </c>
      <c r="C467" s="29">
        <f t="shared" si="296"/>
        <v>-4.8716679402292762</v>
      </c>
      <c r="D467" s="29">
        <f t="shared" si="297"/>
        <v>-3.5188209899380904</v>
      </c>
      <c r="E467" s="29">
        <f t="shared" si="298"/>
        <v>-1.1253895648410284</v>
      </c>
      <c r="F467" s="29">
        <f t="shared" si="299"/>
        <v>0.83869021512211006</v>
      </c>
      <c r="G467" s="29">
        <f t="shared" si="300"/>
        <v>0.3233380471287946</v>
      </c>
      <c r="H467" s="29">
        <f t="shared" si="301"/>
        <v>4.1731587832452339</v>
      </c>
      <c r="I467" s="29">
        <f t="shared" si="302"/>
        <v>1.2676771815785322</v>
      </c>
      <c r="J467" s="29">
        <f t="shared" si="303"/>
        <v>-1.3657616425557804</v>
      </c>
      <c r="K467" s="26">
        <f t="shared" si="266"/>
        <v>-3.5188209899380904</v>
      </c>
      <c r="L467" s="26">
        <f t="shared" si="267"/>
        <v>2.8781434566191672E-2</v>
      </c>
      <c r="M467" s="26">
        <f t="shared" si="268"/>
        <v>0.3233380471287946</v>
      </c>
      <c r="N467" s="26">
        <f t="shared" si="269"/>
        <v>0.58013754370846271</v>
      </c>
      <c r="O467" s="26">
        <f t="shared" si="270"/>
        <v>-0.51022501976524304</v>
      </c>
      <c r="P467" s="26">
        <f t="shared" si="271"/>
        <v>0.37514077712735666</v>
      </c>
      <c r="Q467" s="26">
        <f t="shared" si="272"/>
        <v>7.0365301331858546E-2</v>
      </c>
      <c r="R467" s="26">
        <f t="shared" si="273"/>
        <v>-8.3904889301673666</v>
      </c>
      <c r="S467" s="26">
        <f t="shared" si="274"/>
        <v>2.2696473144006205E-4</v>
      </c>
      <c r="T467" s="26">
        <f t="shared" si="275"/>
        <v>1.1620282622509046</v>
      </c>
      <c r="U467" s="26">
        <f t="shared" si="276"/>
        <v>0.76170106529460591</v>
      </c>
      <c r="V467" s="26">
        <f t="shared" si="277"/>
        <v>-0.39922342303525293</v>
      </c>
      <c r="W467" s="26">
        <f t="shared" si="278"/>
        <v>0.40149893513923834</v>
      </c>
      <c r="X467" s="26">
        <f t="shared" si="279"/>
        <v>0.17910176231973279</v>
      </c>
      <c r="Y467" s="26">
        <f t="shared" si="280"/>
        <v>0.82349320056193953</v>
      </c>
      <c r="Z467" s="26">
        <f t="shared" si="281"/>
        <v>0.69497734609980566</v>
      </c>
      <c r="AA467" s="26">
        <f t="shared" si="282"/>
        <v>-0.80205151771223382</v>
      </c>
      <c r="AB467" s="26">
        <f t="shared" si="283"/>
        <v>0.30958685045988854</v>
      </c>
      <c r="AC467" s="26">
        <f t="shared" si="284"/>
        <v>1.9269453595218524</v>
      </c>
      <c r="AD467" s="26">
        <f t="shared" si="285"/>
        <v>0.87291093173030354</v>
      </c>
      <c r="AE467" s="26">
        <f t="shared" si="286"/>
        <v>8.0758156368297834E-3</v>
      </c>
      <c r="AF467" s="26">
        <f t="shared" si="287"/>
        <v>-4.0481747396673367</v>
      </c>
      <c r="AG467" s="26">
        <f t="shared" si="288"/>
        <v>1.7154781000476679E-2</v>
      </c>
      <c r="AH467" s="26">
        <f t="shared" si="289"/>
        <v>3.6638697409876297E-2</v>
      </c>
      <c r="AI467" s="26">
        <f t="shared" si="290"/>
        <v>0.50915864983222925</v>
      </c>
      <c r="AJ467" s="26">
        <f t="shared" si="291"/>
        <v>-0.64872321535334154</v>
      </c>
      <c r="AK467" s="26">
        <f t="shared" si="292"/>
        <v>0.34327731548005064</v>
      </c>
      <c r="AL467" s="26">
        <f t="shared" si="293"/>
        <v>5.8919657661595105E-2</v>
      </c>
      <c r="AM467" s="27">
        <f t="shared" si="294"/>
        <v>0.31646253695001625</v>
      </c>
    </row>
    <row r="468" spans="1:39" ht="15" customHeight="1" x14ac:dyDescent="0.2">
      <c r="A468" s="24">
        <v>457</v>
      </c>
      <c r="B468" s="29">
        <f t="shared" si="295"/>
        <v>4.3493415839577558</v>
      </c>
      <c r="C468" s="29">
        <f t="shared" si="296"/>
        <v>-4.8769768720696787</v>
      </c>
      <c r="D468" s="29">
        <f t="shared" si="297"/>
        <v>-3.521915464163039</v>
      </c>
      <c r="E468" s="29">
        <f t="shared" si="298"/>
        <v>-1.1460868035614165</v>
      </c>
      <c r="F468" s="29">
        <f t="shared" si="299"/>
        <v>0.84726527329808043</v>
      </c>
      <c r="G468" s="29">
        <f t="shared" si="300"/>
        <v>0.30858033437990623</v>
      </c>
      <c r="H468" s="29">
        <f t="shared" si="301"/>
        <v>4.179131348097731</v>
      </c>
      <c r="I468" s="29">
        <f t="shared" si="302"/>
        <v>1.2911705136766432</v>
      </c>
      <c r="J468" s="29">
        <f t="shared" si="303"/>
        <v>-1.3731689398617457</v>
      </c>
      <c r="K468" s="26">
        <f t="shared" si="266"/>
        <v>-3.521915464163039</v>
      </c>
      <c r="L468" s="26">
        <f t="shared" si="267"/>
        <v>2.8695060548648496E-2</v>
      </c>
      <c r="M468" s="26">
        <f t="shared" si="268"/>
        <v>0.30858033437990623</v>
      </c>
      <c r="N468" s="26">
        <f t="shared" si="269"/>
        <v>0.57653869908847466</v>
      </c>
      <c r="O468" s="26">
        <f t="shared" si="270"/>
        <v>-0.50883874453079692</v>
      </c>
      <c r="P468" s="26">
        <f t="shared" si="271"/>
        <v>0.37546579035116273</v>
      </c>
      <c r="Q468" s="26">
        <f t="shared" si="272"/>
        <v>7.0487279862011643E-2</v>
      </c>
      <c r="R468" s="26">
        <f t="shared" si="273"/>
        <v>-8.3988923362327181</v>
      </c>
      <c r="S468" s="26">
        <f t="shared" si="274"/>
        <v>2.2506587351361315E-4</v>
      </c>
      <c r="T468" s="26">
        <f t="shared" si="275"/>
        <v>1.1558456076779866</v>
      </c>
      <c r="U468" s="26">
        <f t="shared" si="276"/>
        <v>0.76057702075062572</v>
      </c>
      <c r="V468" s="26">
        <f t="shared" si="277"/>
        <v>-0.39019373744112174</v>
      </c>
      <c r="W468" s="26">
        <f t="shared" si="278"/>
        <v>0.40367066322850553</v>
      </c>
      <c r="X468" s="26">
        <f t="shared" si="279"/>
        <v>0.17780433894716524</v>
      </c>
      <c r="Y468" s="26">
        <f t="shared" si="280"/>
        <v>0.82742611979471681</v>
      </c>
      <c r="Z468" s="26">
        <f t="shared" si="281"/>
        <v>0.69581042149841921</v>
      </c>
      <c r="AA468" s="26">
        <f t="shared" si="282"/>
        <v>-0.83750646918151017</v>
      </c>
      <c r="AB468" s="26">
        <f t="shared" si="283"/>
        <v>0.30206021015835455</v>
      </c>
      <c r="AC468" s="26">
        <f t="shared" si="284"/>
        <v>1.9247254416668309</v>
      </c>
      <c r="AD468" s="26">
        <f t="shared" si="285"/>
        <v>0.87266445579376828</v>
      </c>
      <c r="AE468" s="26">
        <f t="shared" si="286"/>
        <v>8.1071704091485956E-3</v>
      </c>
      <c r="AF468" s="26">
        <f t="shared" si="287"/>
        <v>-4.0495507522749623</v>
      </c>
      <c r="AG468" s="26">
        <f t="shared" si="288"/>
        <v>1.7131596155183722E-2</v>
      </c>
      <c r="AH468" s="26">
        <f t="shared" si="289"/>
        <v>9.7588041165702077E-3</v>
      </c>
      <c r="AI468" s="26">
        <f t="shared" si="290"/>
        <v>0.5024396816674005</v>
      </c>
      <c r="AJ468" s="26">
        <f t="shared" si="291"/>
        <v>-0.65283844745664021</v>
      </c>
      <c r="AK468" s="26">
        <f t="shared" si="292"/>
        <v>0.34235018504590453</v>
      </c>
      <c r="AL468" s="26">
        <f t="shared" si="293"/>
        <v>5.8601824600482535E-2</v>
      </c>
      <c r="AM468" s="27">
        <f t="shared" si="294"/>
        <v>0.31500061381880801</v>
      </c>
    </row>
    <row r="469" spans="1:39" ht="15" customHeight="1" x14ac:dyDescent="0.2">
      <c r="A469" s="24">
        <v>458</v>
      </c>
      <c r="B469" s="29">
        <f t="shared" si="295"/>
        <v>4.356433708289158</v>
      </c>
      <c r="C469" s="29">
        <f t="shared" si="296"/>
        <v>-4.8822658256402987</v>
      </c>
      <c r="D469" s="29">
        <f t="shared" si="297"/>
        <v>-3.5249435891042165</v>
      </c>
      <c r="E469" s="29">
        <f t="shared" si="298"/>
        <v>-1.1671151264182691</v>
      </c>
      <c r="F469" s="29">
        <f t="shared" si="299"/>
        <v>0.85613677543019884</v>
      </c>
      <c r="G469" s="29">
        <f t="shared" si="300"/>
        <v>0.29354962063520118</v>
      </c>
      <c r="H469" s="29">
        <f t="shared" si="301"/>
        <v>4.1851622527864061</v>
      </c>
      <c r="I469" s="29">
        <f t="shared" si="302"/>
        <v>1.3151365055008402</v>
      </c>
      <c r="J469" s="29">
        <f t="shared" si="303"/>
        <v>-1.3805928635468705</v>
      </c>
      <c r="K469" s="26">
        <f t="shared" si="266"/>
        <v>-3.5249435891042165</v>
      </c>
      <c r="L469" s="26">
        <f t="shared" si="267"/>
        <v>2.8610782042047839E-2</v>
      </c>
      <c r="M469" s="26">
        <f t="shared" si="268"/>
        <v>0.29354962063520118</v>
      </c>
      <c r="N469" s="26">
        <f t="shared" si="269"/>
        <v>0.57286491589604915</v>
      </c>
      <c r="O469" s="26">
        <f t="shared" si="270"/>
        <v>-0.50745653490622988</v>
      </c>
      <c r="P469" s="26">
        <f t="shared" si="271"/>
        <v>0.37578996213586302</v>
      </c>
      <c r="Q469" s="26">
        <f t="shared" si="272"/>
        <v>7.0609047821036677E-2</v>
      </c>
      <c r="R469" s="26">
        <f t="shared" si="273"/>
        <v>-8.4072094147445142</v>
      </c>
      <c r="S469" s="26">
        <f t="shared" si="274"/>
        <v>2.2320216184474814E-4</v>
      </c>
      <c r="T469" s="26">
        <f t="shared" si="275"/>
        <v>1.1496863960654</v>
      </c>
      <c r="U469" s="26">
        <f t="shared" si="276"/>
        <v>0.75945363124805321</v>
      </c>
      <c r="V469" s="26">
        <f t="shared" si="277"/>
        <v>-0.38087353159488924</v>
      </c>
      <c r="W469" s="26">
        <f t="shared" si="278"/>
        <v>0.40591622915523856</v>
      </c>
      <c r="X469" s="26">
        <f t="shared" si="279"/>
        <v>0.17646776339056555</v>
      </c>
      <c r="Y469" s="26">
        <f t="shared" si="280"/>
        <v>0.83149011918494153</v>
      </c>
      <c r="Z469" s="26">
        <f t="shared" si="281"/>
        <v>0.6966699154691065</v>
      </c>
      <c r="AA469" s="26">
        <f t="shared" si="282"/>
        <v>-0.87356550578306791</v>
      </c>
      <c r="AB469" s="26">
        <f t="shared" si="283"/>
        <v>0.29451293641257165</v>
      </c>
      <c r="AC469" s="26">
        <f t="shared" si="284"/>
        <v>1.9224084833447508</v>
      </c>
      <c r="AD469" s="26">
        <f t="shared" si="285"/>
        <v>0.87240677021399515</v>
      </c>
      <c r="AE469" s="26">
        <f t="shared" si="286"/>
        <v>8.1400161436121169E-3</v>
      </c>
      <c r="AF469" s="26">
        <f t="shared" si="287"/>
        <v>-4.0507757064553571</v>
      </c>
      <c r="AG469" s="26">
        <f t="shared" si="288"/>
        <v>1.7110982444018819E-2</v>
      </c>
      <c r="AH469" s="26">
        <f t="shared" si="289"/>
        <v>-1.7428730352869071E-2</v>
      </c>
      <c r="AI469" s="26">
        <f t="shared" si="290"/>
        <v>0.49564292770348073</v>
      </c>
      <c r="AJ469" s="26">
        <f t="shared" si="291"/>
        <v>-0.65714251779791077</v>
      </c>
      <c r="AK469" s="26">
        <f t="shared" si="292"/>
        <v>0.34138179709946453</v>
      </c>
      <c r="AL469" s="26">
        <f t="shared" si="293"/>
        <v>5.8270765695429987E-2</v>
      </c>
      <c r="AM469" s="27">
        <f t="shared" si="294"/>
        <v>0.31348759305064433</v>
      </c>
    </row>
    <row r="470" spans="1:39" ht="15" customHeight="1" x14ac:dyDescent="0.2">
      <c r="A470" s="24">
        <v>459</v>
      </c>
      <c r="B470" s="29">
        <f t="shared" si="295"/>
        <v>4.3635922086271774</v>
      </c>
      <c r="C470" s="29">
        <f t="shared" si="296"/>
        <v>-4.8875346707410445</v>
      </c>
      <c r="D470" s="29">
        <f t="shared" si="297"/>
        <v>-3.5279044206587318</v>
      </c>
      <c r="E470" s="29">
        <f t="shared" si="298"/>
        <v>-1.1884685329146163</v>
      </c>
      <c r="F470" s="29">
        <f t="shared" si="299"/>
        <v>0.86532176673419192</v>
      </c>
      <c r="G470" s="29">
        <f t="shared" si="300"/>
        <v>0.2782488281267837</v>
      </c>
      <c r="H470" s="29">
        <f t="shared" si="301"/>
        <v>4.1912534896110003</v>
      </c>
      <c r="I470" s="29">
        <f t="shared" si="302"/>
        <v>1.3395788044246877</v>
      </c>
      <c r="J470" s="29">
        <f t="shared" si="303"/>
        <v>-1.3880339217900437</v>
      </c>
      <c r="K470" s="26">
        <f t="shared" si="266"/>
        <v>-3.5279044206587318</v>
      </c>
      <c r="L470" s="26">
        <f t="shared" si="267"/>
        <v>2.8528608753567285E-2</v>
      </c>
      <c r="M470" s="26">
        <f t="shared" si="268"/>
        <v>0.2782488281267837</v>
      </c>
      <c r="N470" s="26">
        <f t="shared" si="269"/>
        <v>0.56911684864133938</v>
      </c>
      <c r="O470" s="26">
        <f t="shared" si="270"/>
        <v>-0.50608642311699648</v>
      </c>
      <c r="P470" s="26">
        <f t="shared" si="271"/>
        <v>0.37611140646920677</v>
      </c>
      <c r="Q470" s="26">
        <f t="shared" si="272"/>
        <v>7.0729895038122437E-2</v>
      </c>
      <c r="R470" s="26">
        <f t="shared" si="273"/>
        <v>-8.4154390913997759</v>
      </c>
      <c r="S470" s="26">
        <f t="shared" si="274"/>
        <v>2.2137322297064813E-4</v>
      </c>
      <c r="T470" s="26">
        <f t="shared" si="275"/>
        <v>1.1435705948609756</v>
      </c>
      <c r="U470" s="26">
        <f t="shared" si="276"/>
        <v>0.75833460121123764</v>
      </c>
      <c r="V470" s="26">
        <f t="shared" si="277"/>
        <v>-0.37125713205233946</v>
      </c>
      <c r="W470" s="26">
        <f t="shared" si="278"/>
        <v>0.408237289104801</v>
      </c>
      <c r="X470" s="26">
        <f t="shared" si="279"/>
        <v>0.17509155300301746</v>
      </c>
      <c r="Y470" s="26">
        <f t="shared" si="280"/>
        <v>0.83568778796844567</v>
      </c>
      <c r="Z470" s="26">
        <f t="shared" si="281"/>
        <v>0.69755623779108433</v>
      </c>
      <c r="AA470" s="26">
        <f t="shared" si="282"/>
        <v>-0.91021970478783265</v>
      </c>
      <c r="AB470" s="26">
        <f t="shared" si="283"/>
        <v>0.28695488095651944</v>
      </c>
      <c r="AC470" s="26">
        <f t="shared" si="284"/>
        <v>1.9199997704073224</v>
      </c>
      <c r="AD470" s="26">
        <f t="shared" si="285"/>
        <v>0.87213840807835141</v>
      </c>
      <c r="AE470" s="26">
        <f t="shared" si="286"/>
        <v>8.1742933443690949E-3</v>
      </c>
      <c r="AF470" s="26">
        <f t="shared" si="287"/>
        <v>-4.0518468827725993</v>
      </c>
      <c r="AG470" s="26">
        <f t="shared" si="288"/>
        <v>1.7092976505450053E-2</v>
      </c>
      <c r="AH470" s="26">
        <f t="shared" si="289"/>
        <v>-4.4897938053640674E-2</v>
      </c>
      <c r="AI470" s="26">
        <f t="shared" si="290"/>
        <v>0.48877740065613312</v>
      </c>
      <c r="AJ470" s="26">
        <f t="shared" si="291"/>
        <v>-0.66163707836298802</v>
      </c>
      <c r="AK470" s="26">
        <f t="shared" si="292"/>
        <v>0.34037196053954183</v>
      </c>
      <c r="AL470" s="26">
        <f t="shared" si="293"/>
        <v>5.7926535760765709E-2</v>
      </c>
      <c r="AM470" s="27">
        <f t="shared" si="294"/>
        <v>0.31192227714627474</v>
      </c>
    </row>
    <row r="471" spans="1:39" ht="15" customHeight="1" x14ac:dyDescent="0.2">
      <c r="A471" s="24">
        <v>460</v>
      </c>
      <c r="B471" s="29">
        <f t="shared" si="295"/>
        <v>4.3708186177388919</v>
      </c>
      <c r="C471" s="29">
        <f t="shared" si="296"/>
        <v>-4.8927832790746431</v>
      </c>
      <c r="D471" s="29">
        <f t="shared" si="297"/>
        <v>-3.5307970695668329</v>
      </c>
      <c r="E471" s="29">
        <f t="shared" si="298"/>
        <v>-1.2101401810911123</v>
      </c>
      <c r="F471" s="29">
        <f t="shared" si="299"/>
        <v>0.87483753216033389</v>
      </c>
      <c r="G471" s="29">
        <f t="shared" si="300"/>
        <v>0.26268127726952939</v>
      </c>
      <c r="H471" s="29">
        <f t="shared" si="301"/>
        <v>4.197407013400559</v>
      </c>
      <c r="I471" s="29">
        <f t="shared" si="302"/>
        <v>1.3645002914519375</v>
      </c>
      <c r="J471" s="29">
        <f t="shared" si="303"/>
        <v>-1.3954929734398434</v>
      </c>
      <c r="K471" s="26">
        <f t="shared" si="266"/>
        <v>-3.5307970695668329</v>
      </c>
      <c r="L471" s="26">
        <f t="shared" si="267"/>
        <v>2.8448549019475571E-2</v>
      </c>
      <c r="M471" s="26">
        <f t="shared" si="268"/>
        <v>0.26268127726952939</v>
      </c>
      <c r="N471" s="26">
        <f t="shared" si="269"/>
        <v>0.56529529454044747</v>
      </c>
      <c r="O471" s="26">
        <f t="shared" si="270"/>
        <v>-0.50473724010757759</v>
      </c>
      <c r="P471" s="26">
        <f t="shared" si="271"/>
        <v>0.37642804732115237</v>
      </c>
      <c r="Q471" s="26">
        <f t="shared" si="272"/>
        <v>7.0849037405007864E-2</v>
      </c>
      <c r="R471" s="26">
        <f t="shared" si="273"/>
        <v>-8.423580348641476</v>
      </c>
      <c r="S471" s="26">
        <f t="shared" si="274"/>
        <v>2.1957867719435851E-4</v>
      </c>
      <c r="T471" s="26">
        <f t="shared" si="275"/>
        <v>1.1375188094298632</v>
      </c>
      <c r="U471" s="26">
        <f t="shared" si="276"/>
        <v>0.75722379821956887</v>
      </c>
      <c r="V471" s="26">
        <f t="shared" si="277"/>
        <v>-0.36133921899524979</v>
      </c>
      <c r="W471" s="26">
        <f t="shared" si="278"/>
        <v>0.41063541748849663</v>
      </c>
      <c r="X471" s="26">
        <f t="shared" si="279"/>
        <v>0.17367530555947933</v>
      </c>
      <c r="Y471" s="26">
        <f t="shared" si="280"/>
        <v>0.84002154817205898</v>
      </c>
      <c r="Z471" s="26">
        <f t="shared" si="281"/>
        <v>0.69846975427722058</v>
      </c>
      <c r="AA471" s="26">
        <f t="shared" si="282"/>
        <v>-0.94745890382158293</v>
      </c>
      <c r="AB471" s="26">
        <f t="shared" si="283"/>
        <v>0.2793961439695829</v>
      </c>
      <c r="AC471" s="26">
        <f t="shared" si="284"/>
        <v>1.9175049916885709</v>
      </c>
      <c r="AD471" s="26">
        <f t="shared" si="285"/>
        <v>0.87185994942861722</v>
      </c>
      <c r="AE471" s="26">
        <f t="shared" si="286"/>
        <v>8.209936280218268E-3</v>
      </c>
      <c r="AF471" s="26">
        <f t="shared" si="287"/>
        <v>-4.0527617309025841</v>
      </c>
      <c r="AG471" s="26">
        <f t="shared" si="288"/>
        <v>1.7077613107310013E-2</v>
      </c>
      <c r="AH471" s="26">
        <f t="shared" si="289"/>
        <v>-7.2621371661249046E-2</v>
      </c>
      <c r="AI471" s="26">
        <f t="shared" si="290"/>
        <v>0.48185263194575995</v>
      </c>
      <c r="AJ471" s="26">
        <f t="shared" si="291"/>
        <v>-0.66632322368420638</v>
      </c>
      <c r="AK471" s="26">
        <f t="shared" si="292"/>
        <v>0.33932062076659614</v>
      </c>
      <c r="AL471" s="26">
        <f t="shared" si="293"/>
        <v>5.7569241838714078E-2</v>
      </c>
      <c r="AM471" s="27">
        <f t="shared" si="294"/>
        <v>0.31030352108341958</v>
      </c>
    </row>
    <row r="472" spans="1:39" ht="15" customHeight="1" x14ac:dyDescent="0.2">
      <c r="A472" s="24">
        <v>461</v>
      </c>
      <c r="B472" s="29">
        <f t="shared" si="295"/>
        <v>4.378114345184688</v>
      </c>
      <c r="C472" s="29">
        <f t="shared" si="296"/>
        <v>-4.8980115257980721</v>
      </c>
      <c r="D472" s="29">
        <f t="shared" si="297"/>
        <v>-3.5336207049668977</v>
      </c>
      <c r="E472" s="29">
        <f t="shared" si="298"/>
        <v>-1.2321224055178419</v>
      </c>
      <c r="F472" s="29">
        <f t="shared" si="299"/>
        <v>0.88470148256346126</v>
      </c>
      <c r="G472" s="29">
        <f t="shared" si="300"/>
        <v>0.24685065314971372</v>
      </c>
      <c r="H472" s="29">
        <f t="shared" si="301"/>
        <v>4.2036247352767004</v>
      </c>
      <c r="I472" s="29">
        <f t="shared" si="302"/>
        <v>1.3899030454487831</v>
      </c>
      <c r="J472" s="29">
        <f t="shared" si="303"/>
        <v>-1.4029712480899523</v>
      </c>
      <c r="K472" s="26">
        <f t="shared" si="266"/>
        <v>-3.5336207049668977</v>
      </c>
      <c r="L472" s="26">
        <f t="shared" si="267"/>
        <v>2.8370609740924469E-2</v>
      </c>
      <c r="M472" s="26">
        <f t="shared" si="268"/>
        <v>0.24685065314971372</v>
      </c>
      <c r="N472" s="26">
        <f t="shared" si="269"/>
        <v>0.56140118811024531</v>
      </c>
      <c r="O472" s="26">
        <f t="shared" si="270"/>
        <v>-0.503418630155125</v>
      </c>
      <c r="P472" s="26">
        <f t="shared" si="271"/>
        <v>0.3767376149961395</v>
      </c>
      <c r="Q472" s="26">
        <f t="shared" si="272"/>
        <v>7.0965615276489716E-2</v>
      </c>
      <c r="R472" s="26">
        <f t="shared" si="273"/>
        <v>-8.4316322307649703</v>
      </c>
      <c r="S472" s="26">
        <f t="shared" si="274"/>
        <v>2.1781813801462395E-4</v>
      </c>
      <c r="T472" s="26">
        <f t="shared" si="275"/>
        <v>1.131552135713175</v>
      </c>
      <c r="U472" s="26">
        <f t="shared" si="276"/>
        <v>0.75612522648540581</v>
      </c>
      <c r="V472" s="26">
        <f t="shared" si="277"/>
        <v>-0.35111486734448571</v>
      </c>
      <c r="W472" s="26">
        <f t="shared" si="278"/>
        <v>0.41311209478846522</v>
      </c>
      <c r="X472" s="26">
        <f t="shared" si="279"/>
        <v>0.1722187066417917</v>
      </c>
      <c r="Y472" s="26">
        <f t="shared" si="280"/>
        <v>0.84449364021779028</v>
      </c>
      <c r="Z472" s="26">
        <f t="shared" si="281"/>
        <v>0.69941078369208809</v>
      </c>
      <c r="AA472" s="26">
        <f t="shared" si="282"/>
        <v>-0.98527175236812825</v>
      </c>
      <c r="AB472" s="26">
        <f t="shared" si="283"/>
        <v>0.27184700604699269</v>
      </c>
      <c r="AC472" s="26">
        <f t="shared" si="284"/>
        <v>1.9149302039582199</v>
      </c>
      <c r="AD472" s="26">
        <f t="shared" si="285"/>
        <v>0.87157201816131624</v>
      </c>
      <c r="AE472" s="26">
        <f t="shared" si="286"/>
        <v>8.2468732595786434E-3</v>
      </c>
      <c r="AF472" s="26">
        <f t="shared" si="287"/>
        <v>-4.0535178855802823</v>
      </c>
      <c r="AG472" s="26">
        <f t="shared" si="288"/>
        <v>1.7064924952769355E-2</v>
      </c>
      <c r="AH472" s="26">
        <f t="shared" si="289"/>
        <v>-0.10057026980466693</v>
      </c>
      <c r="AI472" s="26">
        <f t="shared" si="290"/>
        <v>0.47487860292494272</v>
      </c>
      <c r="AJ472" s="26">
        <f t="shared" si="291"/>
        <v>-0.67120149102900928</v>
      </c>
      <c r="AK472" s="26">
        <f t="shared" si="292"/>
        <v>0.33822785908203368</v>
      </c>
      <c r="AL472" s="26">
        <f t="shared" si="293"/>
        <v>5.7199042329608013E-2</v>
      </c>
      <c r="AM472" s="27">
        <f t="shared" si="294"/>
        <v>0.3086302375074681</v>
      </c>
    </row>
    <row r="473" spans="1:39" ht="15" customHeight="1" x14ac:dyDescent="0.2">
      <c r="A473" s="24">
        <v>462</v>
      </c>
      <c r="B473" s="29">
        <f t="shared" si="295"/>
        <v>4.3854806670964974</v>
      </c>
      <c r="C473" s="29">
        <f t="shared" si="296"/>
        <v>-4.9032192909903101</v>
      </c>
      <c r="D473" s="29">
        <f t="shared" si="297"/>
        <v>-3.5363745571440721</v>
      </c>
      <c r="E473" s="29">
        <f t="shared" si="298"/>
        <v>-1.2544067438727471</v>
      </c>
      <c r="F473" s="29">
        <f t="shared" si="299"/>
        <v>0.89493103006969565</v>
      </c>
      <c r="G473" s="29">
        <f t="shared" si="300"/>
        <v>0.23076096757266659</v>
      </c>
      <c r="H473" s="29">
        <f t="shared" si="301"/>
        <v>4.209908516687074</v>
      </c>
      <c r="I473" s="29">
        <f t="shared" si="302"/>
        <v>1.4157883132354447</v>
      </c>
      <c r="J473" s="29">
        <f t="shared" si="303"/>
        <v>-1.4104703614869347</v>
      </c>
      <c r="K473" s="26">
        <f t="shared" si="266"/>
        <v>-3.5363745571440721</v>
      </c>
      <c r="L473" s="26">
        <f t="shared" si="267"/>
        <v>2.8294796341897899E-2</v>
      </c>
      <c r="M473" s="26">
        <f t="shared" si="268"/>
        <v>0.23076096757266659</v>
      </c>
      <c r="N473" s="26">
        <f t="shared" si="269"/>
        <v>0.55743559437215917</v>
      </c>
      <c r="O473" s="26">
        <f t="shared" si="270"/>
        <v>-0.50214105749569571</v>
      </c>
      <c r="P473" s="26">
        <f t="shared" si="271"/>
        <v>0.37703764441998422</v>
      </c>
      <c r="Q473" s="26">
        <f t="shared" si="272"/>
        <v>7.1078692654885228E-2</v>
      </c>
      <c r="R473" s="26">
        <f t="shared" si="273"/>
        <v>-8.4395938481343826</v>
      </c>
      <c r="S473" s="26">
        <f t="shared" si="274"/>
        <v>2.1609121177078704E-4</v>
      </c>
      <c r="T473" s="26">
        <f t="shared" si="275"/>
        <v>1.1256919976423623</v>
      </c>
      <c r="U473" s="26">
        <f t="shared" si="276"/>
        <v>0.75504299654316753</v>
      </c>
      <c r="V473" s="26">
        <f t="shared" si="277"/>
        <v>-0.34057958675803279</v>
      </c>
      <c r="W473" s="26">
        <f t="shared" si="278"/>
        <v>0.4156686953850986</v>
      </c>
      <c r="X473" s="26">
        <f t="shared" si="279"/>
        <v>0.17072153677647639</v>
      </c>
      <c r="Y473" s="26">
        <f t="shared" si="280"/>
        <v>0.8491061099524253</v>
      </c>
      <c r="Z473" s="26">
        <f t="shared" si="281"/>
        <v>0.70037959502475655</v>
      </c>
      <c r="AA473" s="26">
        <f t="shared" si="282"/>
        <v>-1.0236457763000806</v>
      </c>
      <c r="AB473" s="26">
        <f t="shared" si="283"/>
        <v>0.26431785612862913</v>
      </c>
      <c r="AC473" s="26">
        <f t="shared" si="284"/>
        <v>1.9122817922079927</v>
      </c>
      <c r="AD473" s="26">
        <f t="shared" si="285"/>
        <v>0.87127527837627849</v>
      </c>
      <c r="AE473" s="26">
        <f t="shared" si="286"/>
        <v>8.2850269785522974E-3</v>
      </c>
      <c r="AF473" s="26">
        <f t="shared" si="287"/>
        <v>-4.0541131810378843</v>
      </c>
      <c r="AG473" s="26">
        <f t="shared" si="288"/>
        <v>1.7054942507579766E-2</v>
      </c>
      <c r="AH473" s="26">
        <f t="shared" si="289"/>
        <v>-0.12871474623038484</v>
      </c>
      <c r="AI473" s="26">
        <f t="shared" si="290"/>
        <v>0.46786566662309426</v>
      </c>
      <c r="AJ473" s="26">
        <f t="shared" si="291"/>
        <v>-0.67627187080357876</v>
      </c>
      <c r="AK473" s="26">
        <f t="shared" si="292"/>
        <v>0.33709388968434378</v>
      </c>
      <c r="AL473" s="26">
        <f t="shared" si="293"/>
        <v>5.6816145231260266E-2</v>
      </c>
      <c r="AM473" s="27">
        <f t="shared" si="294"/>
        <v>0.30690140164117419</v>
      </c>
    </row>
    <row r="474" spans="1:39" ht="15" customHeight="1" x14ac:dyDescent="0.2">
      <c r="A474" s="24">
        <v>463</v>
      </c>
      <c r="B474" s="29">
        <f t="shared" si="295"/>
        <v>4.3929187167262018</v>
      </c>
      <c r="C474" s="29">
        <f t="shared" si="296"/>
        <v>-4.9084064609969049</v>
      </c>
      <c r="D474" s="29">
        <f t="shared" si="297"/>
        <v>-3.5390579193919023</v>
      </c>
      <c r="E474" s="29">
        <f t="shared" si="298"/>
        <v>-1.2769839717604241</v>
      </c>
      <c r="F474" s="29">
        <f t="shared" si="299"/>
        <v>0.90554345396546887</v>
      </c>
      <c r="G474" s="29">
        <f t="shared" si="300"/>
        <v>0.21441651769374964</v>
      </c>
      <c r="H474" s="29">
        <f t="shared" si="301"/>
        <v>4.2162601637837422</v>
      </c>
      <c r="I474" s="29">
        <f t="shared" si="302"/>
        <v>1.4421564859795704</v>
      </c>
      <c r="J474" s="29">
        <f t="shared" si="303"/>
        <v>-1.4179923254731532</v>
      </c>
      <c r="K474" s="26">
        <f t="shared" si="266"/>
        <v>-3.5390579193919023</v>
      </c>
      <c r="L474" s="26">
        <f t="shared" si="267"/>
        <v>2.8221112750979941E-2</v>
      </c>
      <c r="M474" s="26">
        <f t="shared" si="268"/>
        <v>0.21441651769374964</v>
      </c>
      <c r="N474" s="26">
        <f t="shared" si="269"/>
        <v>0.55339970088783519</v>
      </c>
      <c r="O474" s="26">
        <f t="shared" si="270"/>
        <v>-0.50091580402900138</v>
      </c>
      <c r="P474" s="26">
        <f t="shared" si="271"/>
        <v>0.37732547560036894</v>
      </c>
      <c r="Q474" s="26">
        <f t="shared" si="272"/>
        <v>7.1187257268522305E-2</v>
      </c>
      <c r="R474" s="26">
        <f t="shared" si="273"/>
        <v>-8.4474643803888068</v>
      </c>
      <c r="S474" s="26">
        <f t="shared" si="274"/>
        <v>2.1439749751526609E-4</v>
      </c>
      <c r="T474" s="26">
        <f t="shared" si="275"/>
        <v>1.1199599716592186</v>
      </c>
      <c r="U474" s="26">
        <f t="shared" si="276"/>
        <v>0.75398129152726123</v>
      </c>
      <c r="V474" s="26">
        <f t="shared" si="277"/>
        <v>-0.32972935996187158</v>
      </c>
      <c r="W474" s="26">
        <f t="shared" si="278"/>
        <v>0.41830647550519701</v>
      </c>
      <c r="X474" s="26">
        <f t="shared" si="279"/>
        <v>0.16918367821959296</v>
      </c>
      <c r="Y474" s="26">
        <f t="shared" si="280"/>
        <v>0.85386079733429954</v>
      </c>
      <c r="Z474" s="26">
        <f t="shared" si="281"/>
        <v>0.7013764051664364</v>
      </c>
      <c r="AA474" s="26">
        <f t="shared" si="282"/>
        <v>-1.0625674540666745</v>
      </c>
      <c r="AB474" s="26">
        <f t="shared" si="283"/>
        <v>0.25681911668689361</v>
      </c>
      <c r="AC474" s="26">
        <f t="shared" si="284"/>
        <v>1.909566426301486</v>
      </c>
      <c r="AD474" s="26">
        <f t="shared" si="285"/>
        <v>0.87097043027067111</v>
      </c>
      <c r="AE474" s="26">
        <f t="shared" si="286"/>
        <v>8.3243149322678733E-3</v>
      </c>
      <c r="AF474" s="26">
        <f t="shared" si="287"/>
        <v>-4.0545456636626049</v>
      </c>
      <c r="AG474" s="26">
        <f t="shared" si="288"/>
        <v>1.7047693852066739E-2</v>
      </c>
      <c r="AH474" s="26">
        <f t="shared" si="289"/>
        <v>-0.1570240001012056</v>
      </c>
      <c r="AI474" s="26">
        <f t="shared" si="290"/>
        <v>0.46082446134080007</v>
      </c>
      <c r="AJ474" s="26">
        <f t="shared" si="291"/>
        <v>-0.68153382717962663</v>
      </c>
      <c r="AK474" s="26">
        <f t="shared" si="292"/>
        <v>0.33591905428286961</v>
      </c>
      <c r="AL474" s="26">
        <f t="shared" si="293"/>
        <v>5.6420805515148748E-2</v>
      </c>
      <c r="AM474" s="27">
        <f t="shared" si="294"/>
        <v>0.30511605593553193</v>
      </c>
    </row>
    <row r="475" spans="1:39" ht="15" customHeight="1" x14ac:dyDescent="0.2">
      <c r="A475" s="24">
        <v>464</v>
      </c>
      <c r="B475" s="29">
        <f t="shared" si="295"/>
        <v>4.4004294758977247</v>
      </c>
      <c r="C475" s="29">
        <f t="shared" si="296"/>
        <v>-4.9135729296131574</v>
      </c>
      <c r="D475" s="29">
        <f t="shared" si="297"/>
        <v>-3.5416701489323481</v>
      </c>
      <c r="E475" s="29">
        <f t="shared" si="298"/>
        <v>-1.2998441451901492</v>
      </c>
      <c r="F475" s="29">
        <f t="shared" si="299"/>
        <v>0.91655575875831108</v>
      </c>
      <c r="G475" s="29">
        <f t="shared" si="300"/>
        <v>0.19782184246107393</v>
      </c>
      <c r="H475" s="29">
        <f t="shared" si="301"/>
        <v>4.2226814222091047</v>
      </c>
      <c r="I475" s="29">
        <f t="shared" si="302"/>
        <v>1.4690070821611654</v>
      </c>
      <c r="J475" s="29">
        <f t="shared" si="303"/>
        <v>-1.4255395517537619</v>
      </c>
      <c r="K475" s="26">
        <f t="shared" si="266"/>
        <v>-3.5416701489323481</v>
      </c>
      <c r="L475" s="26">
        <f t="shared" si="267"/>
        <v>2.8149561407894565E-2</v>
      </c>
      <c r="M475" s="26">
        <f t="shared" si="268"/>
        <v>0.19782184246107393</v>
      </c>
      <c r="N475" s="26">
        <f t="shared" si="269"/>
        <v>0.5492948089098878</v>
      </c>
      <c r="O475" s="26">
        <f t="shared" si="270"/>
        <v>-0.49975495727032204</v>
      </c>
      <c r="P475" s="26">
        <f t="shared" si="271"/>
        <v>0.37759825647705736</v>
      </c>
      <c r="Q475" s="26">
        <f t="shared" si="272"/>
        <v>7.1290221647256791E-2</v>
      </c>
      <c r="R475" s="26">
        <f t="shared" si="273"/>
        <v>-8.4552430785455055</v>
      </c>
      <c r="S475" s="26">
        <f t="shared" si="274"/>
        <v>2.1273658711965087E-4</v>
      </c>
      <c r="T475" s="26">
        <f t="shared" si="275"/>
        <v>1.1143776012193851</v>
      </c>
      <c r="U475" s="26">
        <f t="shared" si="276"/>
        <v>0.75294433054754351</v>
      </c>
      <c r="V475" s="26">
        <f t="shared" si="277"/>
        <v>-0.31856067887206851</v>
      </c>
      <c r="W475" s="26">
        <f t="shared" si="278"/>
        <v>0.42102656143257644</v>
      </c>
      <c r="X475" s="26">
        <f t="shared" si="279"/>
        <v>0.16760512128329308</v>
      </c>
      <c r="Y475" s="26">
        <f t="shared" si="280"/>
        <v>0.8587593269653766</v>
      </c>
      <c r="Z475" s="26">
        <f t="shared" si="281"/>
        <v>0.70240137703283545</v>
      </c>
      <c r="AA475" s="26">
        <f t="shared" si="282"/>
        <v>-1.1020223027290754</v>
      </c>
      <c r="AB475" s="26">
        <f t="shared" si="283"/>
        <v>0.24936116758948346</v>
      </c>
      <c r="AC475" s="26">
        <f t="shared" si="284"/>
        <v>1.9067910151818137</v>
      </c>
      <c r="AD475" s="26">
        <f t="shared" si="285"/>
        <v>0.87065820569594699</v>
      </c>
      <c r="AE475" s="26">
        <f t="shared" si="286"/>
        <v>8.3646498768959812E-3</v>
      </c>
      <c r="AF475" s="26">
        <f t="shared" si="287"/>
        <v>-4.0548136026477808</v>
      </c>
      <c r="AG475" s="26">
        <f t="shared" si="288"/>
        <v>1.7043204560689088E-2</v>
      </c>
      <c r="AH475" s="26">
        <f t="shared" si="289"/>
        <v>-0.18546654397076423</v>
      </c>
      <c r="AI475" s="26">
        <f t="shared" si="290"/>
        <v>0.4537658177534229</v>
      </c>
      <c r="AJ475" s="26">
        <f t="shared" si="291"/>
        <v>-0.68698632855799968</v>
      </c>
      <c r="AK475" s="26">
        <f t="shared" si="292"/>
        <v>0.33470381444302916</v>
      </c>
      <c r="AL475" s="26">
        <f t="shared" si="293"/>
        <v>5.6013321701356845E-2</v>
      </c>
      <c r="AM475" s="27">
        <f t="shared" si="294"/>
        <v>0.30327331450880268</v>
      </c>
    </row>
    <row r="476" spans="1:39" ht="15" customHeight="1" x14ac:dyDescent="0.2">
      <c r="A476" s="24">
        <v>465</v>
      </c>
      <c r="B476" s="29">
        <f t="shared" si="295"/>
        <v>4.4080137674730837</v>
      </c>
      <c r="C476" s="29">
        <f t="shared" si="296"/>
        <v>-4.9187185990706457</v>
      </c>
      <c r="D476" s="29">
        <f t="shared" si="297"/>
        <v>-3.5442106668702147</v>
      </c>
      <c r="E476" s="29">
        <f t="shared" si="298"/>
        <v>-1.3229766499110129</v>
      </c>
      <c r="F476" s="29">
        <f t="shared" si="299"/>
        <v>0.9279845263481542</v>
      </c>
      <c r="G476" s="29">
        <f t="shared" si="300"/>
        <v>0.18098167826614583</v>
      </c>
      <c r="H476" s="29">
        <f t="shared" si="301"/>
        <v>4.2291739723365183</v>
      </c>
      <c r="I476" s="29">
        <f t="shared" si="302"/>
        <v>1.4963387371887622</v>
      </c>
      <c r="J476" s="29">
        <f t="shared" si="303"/>
        <v>-1.4331148488981418</v>
      </c>
      <c r="K476" s="26">
        <f t="shared" si="266"/>
        <v>-3.5442106668702147</v>
      </c>
      <c r="L476" s="26">
        <f t="shared" si="267"/>
        <v>2.8080143294956519E-2</v>
      </c>
      <c r="M476" s="26">
        <f t="shared" si="268"/>
        <v>0.18098167826614583</v>
      </c>
      <c r="N476" s="26">
        <f t="shared" si="269"/>
        <v>0.54512232398288796</v>
      </c>
      <c r="O476" s="26">
        <f t="shared" si="270"/>
        <v>-0.49867138785367404</v>
      </c>
      <c r="P476" s="26">
        <f t="shared" si="271"/>
        <v>0.37785294834685235</v>
      </c>
      <c r="Q476" s="26">
        <f t="shared" si="272"/>
        <v>7.1386425287204527E-2</v>
      </c>
      <c r="R476" s="26">
        <f t="shared" si="273"/>
        <v>-8.4629292659408613</v>
      </c>
      <c r="S476" s="26">
        <f t="shared" si="274"/>
        <v>2.1110806561316543E-4</v>
      </c>
      <c r="T476" s="26">
        <f t="shared" si="275"/>
        <v>1.1089662046143001</v>
      </c>
      <c r="U476" s="26">
        <f t="shared" si="276"/>
        <v>0.75193632979250635</v>
      </c>
      <c r="V476" s="26">
        <f t="shared" si="277"/>
        <v>-0.30707057799362869</v>
      </c>
      <c r="W476" s="26">
        <f t="shared" si="278"/>
        <v>0.42382993812258801</v>
      </c>
      <c r="X476" s="26">
        <f t="shared" si="279"/>
        <v>0.16598597010191035</v>
      </c>
      <c r="Y476" s="26">
        <f t="shared" si="280"/>
        <v>0.86380310060286902</v>
      </c>
      <c r="Z476" s="26">
        <f t="shared" si="281"/>
        <v>0.70345461815869281</v>
      </c>
      <c r="AA476" s="26">
        <f t="shared" si="282"/>
        <v>-1.1419949716448672</v>
      </c>
      <c r="AB476" s="26">
        <f t="shared" si="283"/>
        <v>0.24195427011646731</v>
      </c>
      <c r="AC476" s="26">
        <f t="shared" si="284"/>
        <v>1.903962659942029</v>
      </c>
      <c r="AD476" s="26">
        <f t="shared" si="285"/>
        <v>0.8703393635102844</v>
      </c>
      <c r="AE476" s="26">
        <f t="shared" si="286"/>
        <v>8.4059403274590831E-3</v>
      </c>
      <c r="AF476" s="26">
        <f t="shared" si="287"/>
        <v>-4.0549154984677767</v>
      </c>
      <c r="AG476" s="26">
        <f t="shared" si="288"/>
        <v>1.7041497611150227E-2</v>
      </c>
      <c r="AH476" s="26">
        <f t="shared" si="289"/>
        <v>-0.2140104452967129</v>
      </c>
      <c r="AI476" s="26">
        <f t="shared" si="290"/>
        <v>0.44670066145948406</v>
      </c>
      <c r="AJ476" s="26">
        <f t="shared" si="291"/>
        <v>-0.69262788708176115</v>
      </c>
      <c r="AK476" s="26">
        <f t="shared" si="292"/>
        <v>0.33344874186993084</v>
      </c>
      <c r="AL476" s="26">
        <f t="shared" si="293"/>
        <v>5.5594031727319887E-2</v>
      </c>
      <c r="AM476" s="27">
        <f t="shared" si="294"/>
        <v>0.30137236744389384</v>
      </c>
    </row>
    <row r="477" spans="1:39" ht="15" customHeight="1" x14ac:dyDescent="0.2">
      <c r="A477" s="24">
        <v>466</v>
      </c>
      <c r="B477" s="29">
        <f t="shared" si="295"/>
        <v>4.4156722489146114</v>
      </c>
      <c r="C477" s="29">
        <f t="shared" si="296"/>
        <v>-4.9238433807963666</v>
      </c>
      <c r="D477" s="29">
        <f t="shared" si="297"/>
        <v>-3.5466789571921291</v>
      </c>
      <c r="E477" s="29">
        <f t="shared" si="298"/>
        <v>-1.3463702566066023</v>
      </c>
      <c r="F477" s="29">
        <f t="shared" si="299"/>
        <v>0.93984576448758328</v>
      </c>
      <c r="G477" s="29">
        <f t="shared" si="300"/>
        <v>0.16390091531787024</v>
      </c>
      <c r="H477" s="29">
        <f t="shared" si="301"/>
        <v>4.2357394249946028</v>
      </c>
      <c r="I477" s="29">
        <f t="shared" si="302"/>
        <v>1.524149199548124</v>
      </c>
      <c r="J477" s="29">
        <f t="shared" si="303"/>
        <v>-1.4407214121402288</v>
      </c>
      <c r="K477" s="26">
        <f t="shared" si="266"/>
        <v>-3.5466789571921291</v>
      </c>
      <c r="L477" s="26">
        <f t="shared" si="267"/>
        <v>2.8012857992687767E-2</v>
      </c>
      <c r="M477" s="26">
        <f t="shared" si="268"/>
        <v>0.16390091531787024</v>
      </c>
      <c r="N477" s="26">
        <f t="shared" si="269"/>
        <v>0.5408837463696804</v>
      </c>
      <c r="O477" s="26">
        <f t="shared" si="270"/>
        <v>-0.49767871605588709</v>
      </c>
      <c r="P477" s="26">
        <f t="shared" si="271"/>
        <v>0.37808633400942998</v>
      </c>
      <c r="Q477" s="26">
        <f t="shared" si="272"/>
        <v>7.1474637982345129E-2</v>
      </c>
      <c r="R477" s="26">
        <f t="shared" si="273"/>
        <v>-8.4705223379884949</v>
      </c>
      <c r="S477" s="26">
        <f t="shared" si="274"/>
        <v>2.0951151174445056E-4</v>
      </c>
      <c r="T477" s="26">
        <f t="shared" si="275"/>
        <v>1.1037466798054536</v>
      </c>
      <c r="U477" s="26">
        <f t="shared" si="276"/>
        <v>0.75096146209546766</v>
      </c>
      <c r="V477" s="26">
        <f t="shared" si="277"/>
        <v>-0.2952566646256467</v>
      </c>
      <c r="W477" s="26">
        <f t="shared" si="278"/>
        <v>0.42671743835782283</v>
      </c>
      <c r="X477" s="26">
        <f t="shared" si="279"/>
        <v>0.16432644774150834</v>
      </c>
      <c r="Y477" s="26">
        <f t="shared" si="280"/>
        <v>0.8689932917224823</v>
      </c>
      <c r="Z477" s="26">
        <f t="shared" si="281"/>
        <v>0.70453617977789551</v>
      </c>
      <c r="AA477" s="26">
        <f t="shared" si="282"/>
        <v>-1.1824693412887319</v>
      </c>
      <c r="AB477" s="26">
        <f t="shared" si="283"/>
        <v>0.23460849261793515</v>
      </c>
      <c r="AC477" s="26">
        <f t="shared" si="284"/>
        <v>1.9010886071109063</v>
      </c>
      <c r="AD477" s="26">
        <f t="shared" si="285"/>
        <v>0.87001468486778433</v>
      </c>
      <c r="AE477" s="26">
        <f t="shared" si="286"/>
        <v>8.448091075010709E-3</v>
      </c>
      <c r="AF477" s="26">
        <f t="shared" si="287"/>
        <v>-4.0548500890738843</v>
      </c>
      <c r="AG477" s="26">
        <f t="shared" si="288"/>
        <v>1.7042593324078377E-2</v>
      </c>
      <c r="AH477" s="26">
        <f t="shared" si="289"/>
        <v>-0.24262357680114874</v>
      </c>
      <c r="AI477" s="26">
        <f t="shared" si="290"/>
        <v>0.43963991311642542</v>
      </c>
      <c r="AJ477" s="26">
        <f t="shared" si="291"/>
        <v>-0.6984566060274735</v>
      </c>
      <c r="AK477" s="26">
        <f t="shared" si="292"/>
        <v>0.33215450692496667</v>
      </c>
      <c r="AL477" s="26">
        <f t="shared" si="293"/>
        <v>5.516330823528387E-2</v>
      </c>
      <c r="AM477" s="27">
        <f t="shared" si="294"/>
        <v>0.29941248503414808</v>
      </c>
    </row>
    <row r="478" spans="1:39" ht="15" customHeight="1" x14ac:dyDescent="0.2">
      <c r="A478" s="24">
        <v>467</v>
      </c>
      <c r="B478" s="29">
        <f t="shared" si="295"/>
        <v>4.4234054069940223</v>
      </c>
      <c r="C478" s="29">
        <f t="shared" si="296"/>
        <v>-4.9289471959197924</v>
      </c>
      <c r="D478" s="29">
        <f t="shared" si="297"/>
        <v>-3.5490745648561282</v>
      </c>
      <c r="E478" s="29">
        <f t="shared" si="298"/>
        <v>-1.3700131807923932</v>
      </c>
      <c r="F478" s="29">
        <f t="shared" si="299"/>
        <v>0.95215475388645221</v>
      </c>
      <c r="G478" s="29">
        <f t="shared" si="300"/>
        <v>0.1465845563158362</v>
      </c>
      <c r="H478" s="29">
        <f t="shared" si="301"/>
        <v>4.242379317684156</v>
      </c>
      <c r="I478" s="29">
        <f t="shared" si="302"/>
        <v>1.5524353331678917</v>
      </c>
      <c r="J478" s="29">
        <f t="shared" si="303"/>
        <v>-1.4483628057240996</v>
      </c>
      <c r="K478" s="26">
        <f t="shared" si="266"/>
        <v>-3.5490745648561282</v>
      </c>
      <c r="L478" s="26">
        <f t="shared" si="267"/>
        <v>2.7947703757939368E-2</v>
      </c>
      <c r="M478" s="26">
        <f t="shared" si="268"/>
        <v>0.1465845563158362</v>
      </c>
      <c r="N478" s="26">
        <f t="shared" si="269"/>
        <v>0.53658066170276197</v>
      </c>
      <c r="O478" s="26">
        <f t="shared" si="270"/>
        <v>-0.49679126700267873</v>
      </c>
      <c r="P478" s="26">
        <f t="shared" si="271"/>
        <v>0.37829502873440396</v>
      </c>
      <c r="Q478" s="26">
        <f t="shared" si="272"/>
        <v>7.1553564382581758E-2</v>
      </c>
      <c r="R478" s="26">
        <f t="shared" si="273"/>
        <v>-8.4780217607759205</v>
      </c>
      <c r="S478" s="26">
        <f t="shared" si="274"/>
        <v>2.0794649874970866E-4</v>
      </c>
      <c r="T478" s="26">
        <f t="shared" si="275"/>
        <v>1.0987393102022884</v>
      </c>
      <c r="U478" s="26">
        <f t="shared" si="276"/>
        <v>0.75002381578134725</v>
      </c>
      <c r="V478" s="26">
        <f t="shared" si="277"/>
        <v>-0.28311714546224986</v>
      </c>
      <c r="W478" s="26">
        <f t="shared" si="278"/>
        <v>0.42968973257415272</v>
      </c>
      <c r="X478" s="26">
        <f t="shared" si="279"/>
        <v>0.16262690056567075</v>
      </c>
      <c r="Y478" s="26">
        <f t="shared" si="280"/>
        <v>0.87433084213789414</v>
      </c>
      <c r="Z478" s="26">
        <f t="shared" si="281"/>
        <v>0.70564605638756195</v>
      </c>
      <c r="AA478" s="26">
        <f t="shared" si="282"/>
        <v>-1.2234286244765571</v>
      </c>
      <c r="AB478" s="26">
        <f t="shared" si="283"/>
        <v>0.22733363924698027</v>
      </c>
      <c r="AC478" s="26">
        <f t="shared" si="284"/>
        <v>1.898176203484536</v>
      </c>
      <c r="AD478" s="26">
        <f t="shared" si="285"/>
        <v>0.86968496858698952</v>
      </c>
      <c r="AE478" s="26">
        <f t="shared" si="286"/>
        <v>8.491003706086955E-3</v>
      </c>
      <c r="AF478" s="26">
        <f t="shared" si="287"/>
        <v>-4.0546163537818982</v>
      </c>
      <c r="AG478" s="26">
        <f t="shared" si="288"/>
        <v>1.7046509333230309E-2</v>
      </c>
      <c r="AH478" s="26">
        <f t="shared" si="289"/>
        <v>-0.27127387059010477</v>
      </c>
      <c r="AI478" s="26">
        <f t="shared" si="290"/>
        <v>0.43259438843044107</v>
      </c>
      <c r="AJ478" s="26">
        <f t="shared" si="291"/>
        <v>-0.7044702335605213</v>
      </c>
      <c r="AK478" s="26">
        <f t="shared" si="292"/>
        <v>0.33082186574650546</v>
      </c>
      <c r="AL478" s="26">
        <f t="shared" si="293"/>
        <v>5.4721553427999441E-2</v>
      </c>
      <c r="AM478" s="27">
        <f t="shared" si="294"/>
        <v>0.29739302208233892</v>
      </c>
    </row>
    <row r="479" spans="1:39" ht="15" customHeight="1" x14ac:dyDescent="0.2">
      <c r="A479" s="24">
        <v>468</v>
      </c>
      <c r="B479" s="29">
        <f t="shared" si="295"/>
        <v>4.431213553665529</v>
      </c>
      <c r="C479" s="29">
        <f t="shared" si="296"/>
        <v>-4.934029975510474</v>
      </c>
      <c r="D479" s="29">
        <f t="shared" si="297"/>
        <v>-3.5513970930539345</v>
      </c>
      <c r="E479" s="29">
        <f t="shared" si="298"/>
        <v>-1.393893146144646</v>
      </c>
      <c r="F479" s="29">
        <f t="shared" si="299"/>
        <v>0.96492589642054905</v>
      </c>
      <c r="G479" s="29">
        <f t="shared" si="300"/>
        <v>0.12903767899320961</v>
      </c>
      <c r="H479" s="29">
        <f t="shared" si="301"/>
        <v>4.2490951112757411</v>
      </c>
      <c r="I479" s="29">
        <f t="shared" si="302"/>
        <v>1.5811931255015963</v>
      </c>
      <c r="J479" s="29">
        <f t="shared" si="303"/>
        <v>-1.4560429377440973</v>
      </c>
      <c r="K479" s="26">
        <f t="shared" si="266"/>
        <v>-3.5513970930539345</v>
      </c>
      <c r="L479" s="26">
        <f t="shared" si="267"/>
        <v>2.7884677621960462E-2</v>
      </c>
      <c r="M479" s="26">
        <f t="shared" si="268"/>
        <v>0.12903767899320961</v>
      </c>
      <c r="N479" s="26">
        <f t="shared" si="269"/>
        <v>0.53221473226725735</v>
      </c>
      <c r="O479" s="26">
        <f t="shared" si="270"/>
        <v>-0.49602401442946509</v>
      </c>
      <c r="P479" s="26">
        <f t="shared" si="271"/>
        <v>0.37847549409856751</v>
      </c>
      <c r="Q479" s="26">
        <f t="shared" si="272"/>
        <v>7.1621849816577404E-2</v>
      </c>
      <c r="R479" s="26">
        <f t="shared" si="273"/>
        <v>-8.4854270685644089</v>
      </c>
      <c r="S479" s="26">
        <f t="shared" si="274"/>
        <v>2.0641259530262266E-4</v>
      </c>
      <c r="T479" s="26">
        <f t="shared" si="275"/>
        <v>1.0939635754137587</v>
      </c>
      <c r="U479" s="26">
        <f t="shared" si="276"/>
        <v>0.74912735366569294</v>
      </c>
      <c r="V479" s="26">
        <f t="shared" si="277"/>
        <v>-0.27065084925309457</v>
      </c>
      <c r="W479" s="26">
        <f t="shared" si="278"/>
        <v>0.43274731947440009</v>
      </c>
      <c r="X479" s="26">
        <f t="shared" si="279"/>
        <v>0.1608878017817392</v>
      </c>
      <c r="Y479" s="26">
        <f t="shared" si="280"/>
        <v>0.87981646061159458</v>
      </c>
      <c r="Z479" s="26">
        <f t="shared" si="281"/>
        <v>0.70678418577922142</v>
      </c>
      <c r="AA479" s="26">
        <f t="shared" si="282"/>
        <v>-1.2648554671514365</v>
      </c>
      <c r="AB479" s="26">
        <f t="shared" si="283"/>
        <v>0.22013918309487446</v>
      </c>
      <c r="AC479" s="26">
        <f t="shared" si="284"/>
        <v>1.8952328537405505</v>
      </c>
      <c r="AD479" s="26">
        <f t="shared" si="285"/>
        <v>0.86935102673470876</v>
      </c>
      <c r="AE479" s="26">
        <f t="shared" si="286"/>
        <v>8.5345771076373918E-3</v>
      </c>
      <c r="AF479" s="26">
        <f t="shared" si="287"/>
        <v>-4.0542135148988798</v>
      </c>
      <c r="AG479" s="26">
        <f t="shared" si="288"/>
        <v>1.7053260585066034E-2</v>
      </c>
      <c r="AH479" s="26">
        <f t="shared" si="289"/>
        <v>-0.29992957073088733</v>
      </c>
      <c r="AI479" s="26">
        <f t="shared" si="290"/>
        <v>0.42557470029882299</v>
      </c>
      <c r="AJ479" s="26">
        <f t="shared" si="291"/>
        <v>-0.71066622106088095</v>
      </c>
      <c r="AK479" s="26">
        <f t="shared" si="292"/>
        <v>0.32945164640615909</v>
      </c>
      <c r="AL479" s="26">
        <f t="shared" si="293"/>
        <v>5.4269193659864441E-2</v>
      </c>
      <c r="AM479" s="27">
        <f t="shared" si="294"/>
        <v>0.29531342236581842</v>
      </c>
    </row>
    <row r="480" spans="1:39" ht="15" customHeight="1" x14ac:dyDescent="0.2">
      <c r="A480" s="24">
        <v>469</v>
      </c>
      <c r="B480" s="29">
        <f t="shared" si="295"/>
        <v>4.4390968230866381</v>
      </c>
      <c r="C480" s="29">
        <f t="shared" si="296"/>
        <v>-4.9390916605370858</v>
      </c>
      <c r="D480" s="29">
        <f t="shared" si="297"/>
        <v>-3.5536461997621216</v>
      </c>
      <c r="E480" s="29">
        <f t="shared" si="298"/>
        <v>-1.4179974499262908</v>
      </c>
      <c r="F480" s="29">
        <f t="shared" si="299"/>
        <v>0.97817256692939925</v>
      </c>
      <c r="G480" s="29">
        <f t="shared" si="300"/>
        <v>0.11126540402409774</v>
      </c>
      <c r="H480" s="29">
        <f t="shared" si="301"/>
        <v>4.2558881871554837</v>
      </c>
      <c r="I480" s="29">
        <f t="shared" si="302"/>
        <v>1.610417700662448</v>
      </c>
      <c r="J480" s="29">
        <f t="shared" si="303"/>
        <v>-1.4637660276441671</v>
      </c>
      <c r="K480" s="26">
        <f t="shared" si="266"/>
        <v>-3.5536461997621216</v>
      </c>
      <c r="L480" s="26">
        <f t="shared" si="267"/>
        <v>2.7823775505024025E-2</v>
      </c>
      <c r="M480" s="26">
        <f t="shared" si="268"/>
        <v>0.11126540402409774</v>
      </c>
      <c r="N480" s="26">
        <f t="shared" si="269"/>
        <v>0.52778768930940534</v>
      </c>
      <c r="O480" s="26">
        <f t="shared" si="270"/>
        <v>-0.49539251309467014</v>
      </c>
      <c r="P480" s="26">
        <f t="shared" si="271"/>
        <v>0.37862405468679006</v>
      </c>
      <c r="Q480" s="26">
        <f t="shared" si="272"/>
        <v>7.1678087393732701E-2</v>
      </c>
      <c r="R480" s="26">
        <f t="shared" si="273"/>
        <v>-8.4927378602992079</v>
      </c>
      <c r="S480" s="26">
        <f t="shared" si="274"/>
        <v>2.0490936661452135E-4</v>
      </c>
      <c r="T480" s="26">
        <f t="shared" si="275"/>
        <v>1.0894379709534969</v>
      </c>
      <c r="U480" s="26">
        <f t="shared" si="276"/>
        <v>0.74827587309954313</v>
      </c>
      <c r="V480" s="26">
        <f t="shared" si="277"/>
        <v>-0.25785724527320286</v>
      </c>
      <c r="W480" s="26">
        <f t="shared" si="278"/>
        <v>0.43589051753174679</v>
      </c>
      <c r="X480" s="26">
        <f t="shared" si="279"/>
        <v>0.15910975410530023</v>
      </c>
      <c r="Y480" s="26">
        <f t="shared" si="280"/>
        <v>0.88545062332451652</v>
      </c>
      <c r="Z480" s="26">
        <f t="shared" si="281"/>
        <v>0.70795044950558506</v>
      </c>
      <c r="AA480" s="26">
        <f t="shared" si="282"/>
        <v>-1.3067320459021932</v>
      </c>
      <c r="AB480" s="26">
        <f t="shared" si="283"/>
        <v>0.2130342048966615</v>
      </c>
      <c r="AC480" s="26">
        <f t="shared" si="284"/>
        <v>1.8922659819102017</v>
      </c>
      <c r="AD480" s="26">
        <f t="shared" si="285"/>
        <v>0.86901368054678541</v>
      </c>
      <c r="AE480" s="26">
        <f t="shared" si="286"/>
        <v>8.5787079419497921E-3</v>
      </c>
      <c r="AF480" s="26">
        <f t="shared" si="287"/>
        <v>-4.0536410372125697</v>
      </c>
      <c r="AG480" s="26">
        <f t="shared" si="288"/>
        <v>1.7062859365450132E-2</v>
      </c>
      <c r="AH480" s="26">
        <f t="shared" si="289"/>
        <v>-0.32855947897279386</v>
      </c>
      <c r="AI480" s="26">
        <f t="shared" si="290"/>
        <v>0.41859116533917279</v>
      </c>
      <c r="AJ480" s="26">
        <f t="shared" si="291"/>
        <v>-0.71704178402852736</v>
      </c>
      <c r="AK480" s="26">
        <f t="shared" si="292"/>
        <v>0.32804473457211875</v>
      </c>
      <c r="AL480" s="26">
        <f t="shared" si="293"/>
        <v>5.3806673940245922E-2</v>
      </c>
      <c r="AM480" s="27">
        <f t="shared" si="294"/>
        <v>0.29317322338122864</v>
      </c>
    </row>
    <row r="481" spans="1:39" ht="15" customHeight="1" x14ac:dyDescent="0.2">
      <c r="A481" s="24">
        <v>470</v>
      </c>
      <c r="B481" s="29">
        <f t="shared" si="295"/>
        <v>4.4470551697384373</v>
      </c>
      <c r="C481" s="29">
        <f t="shared" si="296"/>
        <v>-4.944132201547685</v>
      </c>
      <c r="D481" s="29">
        <f t="shared" si="297"/>
        <v>-3.5558215937286279</v>
      </c>
      <c r="E481" s="29">
        <f t="shared" si="298"/>
        <v>-1.4423130291660835</v>
      </c>
      <c r="F481" s="29">
        <f t="shared" si="299"/>
        <v>0.9919069710331595</v>
      </c>
      <c r="G481" s="29">
        <f t="shared" si="300"/>
        <v>9.3272869645191436E-2</v>
      </c>
      <c r="H481" s="29">
        <f t="shared" si="301"/>
        <v>4.2627598447676593</v>
      </c>
      <c r="I481" s="29">
        <f t="shared" si="302"/>
        <v>1.6401033368153082</v>
      </c>
      <c r="J481" s="29">
        <f t="shared" si="303"/>
        <v>-1.4715365667592768</v>
      </c>
      <c r="K481" s="26">
        <f t="shared" si="266"/>
        <v>-3.5558215937286279</v>
      </c>
      <c r="L481" s="26">
        <f t="shared" si="267"/>
        <v>2.7764992343501622E-2</v>
      </c>
      <c r="M481" s="26">
        <f t="shared" si="268"/>
        <v>9.3272869645191436E-2</v>
      </c>
      <c r="N481" s="26">
        <f t="shared" si="269"/>
        <v>0.52330132673193952</v>
      </c>
      <c r="O481" s="26">
        <f t="shared" si="270"/>
        <v>-0.49491282017418481</v>
      </c>
      <c r="P481" s="26">
        <f t="shared" si="271"/>
        <v>0.37873691759226863</v>
      </c>
      <c r="Q481" s="26">
        <f t="shared" si="272"/>
        <v>7.1720826373646435E-2</v>
      </c>
      <c r="R481" s="26">
        <f t="shared" si="273"/>
        <v>-8.499953795276312</v>
      </c>
      <c r="S481" s="26">
        <f t="shared" si="274"/>
        <v>2.0343637564746619E-4</v>
      </c>
      <c r="T481" s="26">
        <f t="shared" si="275"/>
        <v>1.085179840678351</v>
      </c>
      <c r="U481" s="26">
        <f t="shared" si="276"/>
        <v>0.74747296794130347</v>
      </c>
      <c r="V481" s="26">
        <f t="shared" si="277"/>
        <v>-0.24473645744642791</v>
      </c>
      <c r="W481" s="26">
        <f t="shared" si="278"/>
        <v>0.43911945746709741</v>
      </c>
      <c r="X481" s="26">
        <f t="shared" si="279"/>
        <v>0.15729349149600161</v>
      </c>
      <c r="Y481" s="26">
        <f t="shared" si="280"/>
        <v>0.89123357600980935</v>
      </c>
      <c r="Z481" s="26">
        <f t="shared" si="281"/>
        <v>0.70914467373823209</v>
      </c>
      <c r="AA481" s="26">
        <f t="shared" si="282"/>
        <v>-1.3490401595208921</v>
      </c>
      <c r="AB481" s="26">
        <f t="shared" si="283"/>
        <v>0.20602733827491174</v>
      </c>
      <c r="AC481" s="26">
        <f t="shared" si="284"/>
        <v>1.889282997562781</v>
      </c>
      <c r="AD481" s="26">
        <f t="shared" si="285"/>
        <v>0.86867375678604319</v>
      </c>
      <c r="AE481" s="26">
        <f t="shared" si="286"/>
        <v>8.6232910783456684E-3</v>
      </c>
      <c r="AF481" s="26">
        <f t="shared" si="287"/>
        <v>-4.0528986255378756</v>
      </c>
      <c r="AG481" s="26">
        <f t="shared" si="288"/>
        <v>1.70753153502172E-2</v>
      </c>
      <c r="AH481" s="26">
        <f t="shared" si="289"/>
        <v>-0.35713318848773257</v>
      </c>
      <c r="AI481" s="26">
        <f t="shared" si="290"/>
        <v>0.41165371688257418</v>
      </c>
      <c r="AJ481" s="26">
        <f t="shared" si="291"/>
        <v>-0.72359396347609206</v>
      </c>
      <c r="AK481" s="26">
        <f t="shared" si="292"/>
        <v>0.32660205916799184</v>
      </c>
      <c r="AL481" s="26">
        <f t="shared" si="293"/>
        <v>5.3334452526386224E-2</v>
      </c>
      <c r="AM481" s="27">
        <f t="shared" si="294"/>
        <v>0.29097206147437993</v>
      </c>
    </row>
    <row r="482" spans="1:39" ht="15" customHeight="1" x14ac:dyDescent="0.2">
      <c r="A482" s="24">
        <v>471</v>
      </c>
      <c r="B482" s="29">
        <f t="shared" si="295"/>
        <v>4.4550883675689796</v>
      </c>
      <c r="C482" s="29">
        <f t="shared" si="296"/>
        <v>-4.9491515580799845</v>
      </c>
      <c r="D482" s="29">
        <f t="shared" si="297"/>
        <v>-3.5579230300657168</v>
      </c>
      <c r="E482" s="29">
        <f t="shared" si="298"/>
        <v>-1.4668265262918729</v>
      </c>
      <c r="F482" s="29">
        <f t="shared" si="299"/>
        <v>1.006140011265815</v>
      </c>
      <c r="G482" s="29">
        <f t="shared" si="300"/>
        <v>7.5065214131242425E-2</v>
      </c>
      <c r="H482" s="29">
        <f t="shared" si="301"/>
        <v>4.2697112994864597</v>
      </c>
      <c r="I482" s="29">
        <f t="shared" si="302"/>
        <v>1.6702434869365197</v>
      </c>
      <c r="J482" s="29">
        <f t="shared" si="303"/>
        <v>-1.4793592724926297</v>
      </c>
      <c r="K482" s="26">
        <f t="shared" si="266"/>
        <v>-3.5579230300657168</v>
      </c>
      <c r="L482" s="26">
        <f t="shared" si="267"/>
        <v>2.7708322224719258E-2</v>
      </c>
      <c r="M482" s="26">
        <f t="shared" si="268"/>
        <v>7.5065214131242425E-2</v>
      </c>
      <c r="N482" s="26">
        <f t="shared" si="269"/>
        <v>0.51875749648607583</v>
      </c>
      <c r="O482" s="26">
        <f t="shared" si="270"/>
        <v>-0.49460140619457138</v>
      </c>
      <c r="P482" s="26">
        <f t="shared" si="271"/>
        <v>0.37881019459364673</v>
      </c>
      <c r="Q482" s="26">
        <f t="shared" si="272"/>
        <v>7.1748581764038255E-2</v>
      </c>
      <c r="R482" s="26">
        <f t="shared" si="273"/>
        <v>-8.5070745881457022</v>
      </c>
      <c r="S482" s="26">
        <f t="shared" si="274"/>
        <v>2.0199318439856256E-4</v>
      </c>
      <c r="T482" s="26">
        <f t="shared" si="275"/>
        <v>1.0812052253970574</v>
      </c>
      <c r="U482" s="26">
        <f t="shared" si="276"/>
        <v>0.74672199328997657</v>
      </c>
      <c r="V482" s="26">
        <f t="shared" si="277"/>
        <v>-0.23128927406594513</v>
      </c>
      <c r="W482" s="26">
        <f t="shared" si="278"/>
        <v>0.44243407576478455</v>
      </c>
      <c r="X482" s="26">
        <f t="shared" si="279"/>
        <v>0.15543987993413499</v>
      </c>
      <c r="Y482" s="26">
        <f t="shared" si="280"/>
        <v>0.89716533750326288</v>
      </c>
      <c r="Z482" s="26">
        <f t="shared" si="281"/>
        <v>0.71036663046056603</v>
      </c>
      <c r="AA482" s="26">
        <f t="shared" si="282"/>
        <v>-1.3917613121606305</v>
      </c>
      <c r="AB482" s="26">
        <f t="shared" si="283"/>
        <v>0.19912672225848915</v>
      </c>
      <c r="AC482" s="26">
        <f t="shared" si="284"/>
        <v>1.8862912672902301</v>
      </c>
      <c r="AD482" s="26">
        <f t="shared" si="285"/>
        <v>0.86833208461042621</v>
      </c>
      <c r="AE482" s="26">
        <f t="shared" si="286"/>
        <v>8.6682199715179802E-3</v>
      </c>
      <c r="AF482" s="26">
        <f t="shared" si="287"/>
        <v>-4.0519862205767216</v>
      </c>
      <c r="AG482" s="26">
        <f t="shared" si="288"/>
        <v>1.7090635675454307E-2</v>
      </c>
      <c r="AH482" s="26">
        <f t="shared" si="289"/>
        <v>-0.3856213008948155</v>
      </c>
      <c r="AI482" s="26">
        <f t="shared" si="290"/>
        <v>0.40477182626611885</v>
      </c>
      <c r="AJ482" s="26">
        <f t="shared" si="291"/>
        <v>-0.73031968571735051</v>
      </c>
      <c r="AK482" s="26">
        <f t="shared" si="292"/>
        <v>0.32512457850822518</v>
      </c>
      <c r="AL482" s="26">
        <f t="shared" si="293"/>
        <v>5.2852995775075538E-2</v>
      </c>
      <c r="AM482" s="27">
        <f t="shared" si="294"/>
        <v>0.28870967744476678</v>
      </c>
    </row>
    <row r="483" spans="1:39" ht="15" customHeight="1" x14ac:dyDescent="0.2">
      <c r="A483" s="24">
        <v>472</v>
      </c>
      <c r="B483" s="29">
        <f t="shared" si="295"/>
        <v>4.4631960100603489</v>
      </c>
      <c r="C483" s="29">
        <f t="shared" si="296"/>
        <v>-4.9541496978192017</v>
      </c>
      <c r="D483" s="29">
        <f t="shared" si="297"/>
        <v>-3.559950305637924</v>
      </c>
      <c r="E483" s="29">
        <f t="shared" si="298"/>
        <v>-1.4915243530135176</v>
      </c>
      <c r="F483" s="29">
        <f t="shared" si="299"/>
        <v>1.0208811636189234</v>
      </c>
      <c r="G483" s="29">
        <f t="shared" si="300"/>
        <v>5.6647566996815911E-2</v>
      </c>
      <c r="H483" s="29">
        <f t="shared" si="301"/>
        <v>4.2767436807368959</v>
      </c>
      <c r="I483" s="29">
        <f t="shared" si="302"/>
        <v>1.700830802001837</v>
      </c>
      <c r="J483" s="29">
        <f t="shared" si="303"/>
        <v>-1.4872390369158572</v>
      </c>
      <c r="K483" s="26">
        <f t="shared" si="266"/>
        <v>-3.559950305637924</v>
      </c>
      <c r="L483" s="26">
        <f t="shared" si="267"/>
        <v>2.7653758524559726E-2</v>
      </c>
      <c r="M483" s="26">
        <f t="shared" si="268"/>
        <v>5.6647566996815911E-2</v>
      </c>
      <c r="N483" s="26">
        <f t="shared" si="269"/>
        <v>0.51415810590090205</v>
      </c>
      <c r="O483" s="26">
        <f t="shared" si="270"/>
        <v>-0.49447505628214572</v>
      </c>
      <c r="P483" s="26">
        <f t="shared" si="271"/>
        <v>0.37883992682974454</v>
      </c>
      <c r="Q483" s="26">
        <f t="shared" si="272"/>
        <v>7.1759845080183099E-2</v>
      </c>
      <c r="R483" s="26">
        <f t="shared" si="273"/>
        <v>-8.5141000034571253</v>
      </c>
      <c r="S483" s="26">
        <f t="shared" si="274"/>
        <v>2.0057935521118205E-4</v>
      </c>
      <c r="T483" s="26">
        <f t="shared" si="275"/>
        <v>1.0775287306157393</v>
      </c>
      <c r="U483" s="26">
        <f t="shared" si="276"/>
        <v>0.74602603373474852</v>
      </c>
      <c r="V483" s="26">
        <f t="shared" si="277"/>
        <v>-0.21751715315464959</v>
      </c>
      <c r="W483" s="26">
        <f t="shared" si="278"/>
        <v>0.445834109270142</v>
      </c>
      <c r="X483" s="26">
        <f t="shared" si="279"/>
        <v>0.15354991722420847</v>
      </c>
      <c r="Y483" s="26">
        <f t="shared" si="280"/>
        <v>0.90324570442242491</v>
      </c>
      <c r="Z483" s="26">
        <f t="shared" si="281"/>
        <v>0.71161603893231229</v>
      </c>
      <c r="AA483" s="26">
        <f t="shared" si="282"/>
        <v>-1.4348767860167018</v>
      </c>
      <c r="AB483" s="26">
        <f t="shared" si="283"/>
        <v>0.19233996156493177</v>
      </c>
      <c r="AC483" s="26">
        <f t="shared" si="284"/>
        <v>1.8832980917844155</v>
      </c>
      <c r="AD483" s="26">
        <f t="shared" si="285"/>
        <v>0.86798949299306383</v>
      </c>
      <c r="AE483" s="26">
        <f t="shared" si="286"/>
        <v>8.7133869801141722E-3</v>
      </c>
      <c r="AF483" s="26">
        <f t="shared" si="287"/>
        <v>-4.0509039933967763</v>
      </c>
      <c r="AG483" s="26">
        <f t="shared" si="288"/>
        <v>1.71088250226526E-2</v>
      </c>
      <c r="AH483" s="26">
        <f t="shared" si="289"/>
        <v>-0.41399562239777826</v>
      </c>
      <c r="AI483" s="26">
        <f t="shared" si="290"/>
        <v>0.39795443394811914</v>
      </c>
      <c r="AJ483" s="26">
        <f t="shared" si="291"/>
        <v>-0.73721581856322782</v>
      </c>
      <c r="AK483" s="26">
        <f t="shared" si="292"/>
        <v>0.32361326736015661</v>
      </c>
      <c r="AL483" s="26">
        <f t="shared" si="293"/>
        <v>5.2362773405758102E-2</v>
      </c>
      <c r="AM483" s="27">
        <f t="shared" si="294"/>
        <v>0.28638592269026386</v>
      </c>
    </row>
    <row r="484" spans="1:39" ht="15" customHeight="1" x14ac:dyDescent="0.2">
      <c r="A484" s="24">
        <v>473</v>
      </c>
      <c r="B484" s="29">
        <f t="shared" si="295"/>
        <v>4.4713775111034613</v>
      </c>
      <c r="C484" s="29">
        <f t="shared" si="296"/>
        <v>-4.9591265955290993</v>
      </c>
      <c r="D484" s="29">
        <f t="shared" si="297"/>
        <v>-3.561903254442722</v>
      </c>
      <c r="E484" s="29">
        <f t="shared" si="298"/>
        <v>-1.5163927513891846</v>
      </c>
      <c r="F484" s="29">
        <f t="shared" si="299"/>
        <v>1.0361383663281272</v>
      </c>
      <c r="G484" s="29">
        <f t="shared" si="300"/>
        <v>3.8025049484463537E-2</v>
      </c>
      <c r="H484" s="29">
        <f t="shared" si="301"/>
        <v>4.2838580302770026</v>
      </c>
      <c r="I484" s="29">
        <f t="shared" si="302"/>
        <v>1.731857155657897</v>
      </c>
      <c r="J484" s="29">
        <f t="shared" si="303"/>
        <v>-1.4951808707464438</v>
      </c>
      <c r="K484" s="26">
        <f t="shared" si="266"/>
        <v>-3.561903254442722</v>
      </c>
      <c r="L484" s="26">
        <f t="shared" si="267"/>
        <v>2.7601294042626786E-2</v>
      </c>
      <c r="M484" s="26">
        <f t="shared" si="268"/>
        <v>3.8025049484463537E-2</v>
      </c>
      <c r="N484" s="26">
        <f t="shared" si="269"/>
        <v>0.50950511710783641</v>
      </c>
      <c r="O484" s="26">
        <f t="shared" si="270"/>
        <v>-0.49455076270837894</v>
      </c>
      <c r="P484" s="26">
        <f t="shared" si="271"/>
        <v>0.37882211173902508</v>
      </c>
      <c r="Q484" s="26">
        <f t="shared" si="272"/>
        <v>7.1753096171207204E-2</v>
      </c>
      <c r="R484" s="26">
        <f t="shared" si="273"/>
        <v>-8.5210298499718213</v>
      </c>
      <c r="S484" s="26">
        <f t="shared" si="274"/>
        <v>1.9919445206802831E-4</v>
      </c>
      <c r="T484" s="26">
        <f t="shared" si="275"/>
        <v>1.0741634158125908</v>
      </c>
      <c r="U484" s="26">
        <f t="shared" si="276"/>
        <v>0.74538787576799881</v>
      </c>
      <c r="V484" s="26">
        <f t="shared" si="277"/>
        <v>-0.20342222360391715</v>
      </c>
      <c r="W484" s="26">
        <f t="shared" si="278"/>
        <v>0.44931909089153327</v>
      </c>
      <c r="X484" s="26">
        <f t="shared" si="279"/>
        <v>0.15162473182826372</v>
      </c>
      <c r="Y484" s="26">
        <f t="shared" si="280"/>
        <v>0.90947425666073922</v>
      </c>
      <c r="Z484" s="26">
        <f t="shared" si="281"/>
        <v>0.71289256735705486</v>
      </c>
      <c r="AA484" s="26">
        <f t="shared" si="282"/>
        <v>-1.478367701904721</v>
      </c>
      <c r="AB484" s="26">
        <f t="shared" si="283"/>
        <v>0.18567409488306799</v>
      </c>
      <c r="AC484" s="26">
        <f t="shared" si="284"/>
        <v>1.8803106884944092</v>
      </c>
      <c r="AD484" s="26">
        <f t="shared" si="285"/>
        <v>0.86764680870268185</v>
      </c>
      <c r="AE484" s="26">
        <f t="shared" si="286"/>
        <v>8.7586836232922474E-3</v>
      </c>
      <c r="AF484" s="26">
        <f t="shared" si="287"/>
        <v>-4.0496523388683601</v>
      </c>
      <c r="AG484" s="26">
        <f t="shared" si="288"/>
        <v>1.7129885713405044E-2</v>
      </c>
      <c r="AH484" s="26">
        <f t="shared" si="289"/>
        <v>-0.44222933557659388</v>
      </c>
      <c r="AI484" s="26">
        <f t="shared" si="290"/>
        <v>0.39120989160510244</v>
      </c>
      <c r="AJ484" s="26">
        <f t="shared" si="291"/>
        <v>-0.74427922213489939</v>
      </c>
      <c r="AK484" s="26">
        <f t="shared" si="292"/>
        <v>0.32206910533017891</v>
      </c>
      <c r="AL484" s="26">
        <f t="shared" si="293"/>
        <v>5.1864254304090938E-2</v>
      </c>
      <c r="AM484" s="27">
        <f t="shared" si="294"/>
        <v>0.28400076592685408</v>
      </c>
    </row>
    <row r="485" spans="1:39" ht="15" customHeight="1" x14ac:dyDescent="0.2">
      <c r="A485" s="24">
        <v>474</v>
      </c>
      <c r="B485" s="29">
        <f t="shared" si="295"/>
        <v>4.4796321065554716</v>
      </c>
      <c r="C485" s="29">
        <f t="shared" si="296"/>
        <v>-4.9640822317888054</v>
      </c>
      <c r="D485" s="29">
        <f t="shared" si="297"/>
        <v>-3.5637817431819312</v>
      </c>
      <c r="E485" s="29">
        <f t="shared" si="298"/>
        <v>-1.5414178511814796</v>
      </c>
      <c r="F485" s="29">
        <f t="shared" si="299"/>
        <v>1.0519179224277069</v>
      </c>
      <c r="G485" s="29">
        <f t="shared" si="300"/>
        <v>1.9202784556237439E-2</v>
      </c>
      <c r="H485" s="29">
        <f t="shared" si="301"/>
        <v>4.2910553005508332</v>
      </c>
      <c r="I485" s="29">
        <f t="shared" si="302"/>
        <v>1.7633136694731484</v>
      </c>
      <c r="J485" s="29">
        <f t="shared" si="303"/>
        <v>-1.5031898437897211</v>
      </c>
      <c r="K485" s="26">
        <f t="shared" si="266"/>
        <v>-3.5637817431819312</v>
      </c>
      <c r="L485" s="26">
        <f t="shared" si="267"/>
        <v>2.7550921129864153E-2</v>
      </c>
      <c r="M485" s="26">
        <f t="shared" si="268"/>
        <v>1.9202784556237439E-2</v>
      </c>
      <c r="N485" s="26">
        <f t="shared" si="269"/>
        <v>0.50480054862433343</v>
      </c>
      <c r="O485" s="26">
        <f t="shared" si="270"/>
        <v>-0.49484560989352766</v>
      </c>
      <c r="P485" s="26">
        <f t="shared" si="271"/>
        <v>0.37875273198193948</v>
      </c>
      <c r="Q485" s="26">
        <f t="shared" si="272"/>
        <v>7.1726815991891443E-2</v>
      </c>
      <c r="R485" s="26">
        <f t="shared" si="273"/>
        <v>-8.527863974970737</v>
      </c>
      <c r="S485" s="26">
        <f t="shared" si="274"/>
        <v>1.9783804182221768E-4</v>
      </c>
      <c r="T485" s="26">
        <f t="shared" si="275"/>
        <v>1.0711207069839443</v>
      </c>
      <c r="U485" s="26">
        <f t="shared" si="276"/>
        <v>0.74480998487779038</v>
      </c>
      <c r="V485" s="26">
        <f t="shared" si="277"/>
        <v>-0.18900728231661268</v>
      </c>
      <c r="W485" s="26">
        <f t="shared" si="278"/>
        <v>0.4528883464094024</v>
      </c>
      <c r="X485" s="26">
        <f t="shared" si="279"/>
        <v>0.149665580747319</v>
      </c>
      <c r="Y485" s="26">
        <f t="shared" si="280"/>
        <v>0.91585036337354042</v>
      </c>
      <c r="Z485" s="26">
        <f t="shared" si="281"/>
        <v>0.71419583468313264</v>
      </c>
      <c r="AA485" s="26">
        <f t="shared" si="282"/>
        <v>-1.5222150666252421</v>
      </c>
      <c r="AB485" s="26">
        <f t="shared" si="283"/>
        <v>0.17913557114990203</v>
      </c>
      <c r="AC485" s="26">
        <f t="shared" si="284"/>
        <v>1.8773361795561638</v>
      </c>
      <c r="AD485" s="26">
        <f t="shared" si="285"/>
        <v>0.8673048548196679</v>
      </c>
      <c r="AE485" s="26">
        <f t="shared" si="286"/>
        <v>8.8040007772147068E-3</v>
      </c>
      <c r="AF485" s="26">
        <f t="shared" si="287"/>
        <v>-4.0482318684152645</v>
      </c>
      <c r="AG485" s="26">
        <f t="shared" si="288"/>
        <v>1.7153817808106354E-2</v>
      </c>
      <c r="AH485" s="26">
        <f t="shared" si="289"/>
        <v>-0.47029714419753527</v>
      </c>
      <c r="AI485" s="26">
        <f t="shared" si="290"/>
        <v>0.38454591597407661</v>
      </c>
      <c r="AJ485" s="26">
        <f t="shared" si="291"/>
        <v>-0.75150679278240096</v>
      </c>
      <c r="AK485" s="26">
        <f t="shared" si="292"/>
        <v>0.32049306690107981</v>
      </c>
      <c r="AL485" s="26">
        <f t="shared" si="293"/>
        <v>5.135790296583001E-2</v>
      </c>
      <c r="AM485" s="27">
        <f t="shared" si="294"/>
        <v>0.28155430048225516</v>
      </c>
    </row>
    <row r="486" spans="1:39" ht="15" customHeight="1" x14ac:dyDescent="0.2">
      <c r="A486" s="24">
        <v>475</v>
      </c>
      <c r="B486" s="29">
        <f t="shared" si="295"/>
        <v>4.4879588563531323</v>
      </c>
      <c r="C486" s="29">
        <f t="shared" si="296"/>
        <v>-4.9690165915736122</v>
      </c>
      <c r="D486" s="29">
        <f t="shared" si="297"/>
        <v>-3.5655856672133033</v>
      </c>
      <c r="E486" s="29">
        <f t="shared" si="298"/>
        <v>-1.5665857228064477</v>
      </c>
      <c r="F486" s="29">
        <f t="shared" si="299"/>
        <v>1.0682244172624846</v>
      </c>
      <c r="G486" s="29">
        <f t="shared" si="300"/>
        <v>1.8591624713561877E-4</v>
      </c>
      <c r="H486" s="29">
        <f t="shared" si="301"/>
        <v>4.2983363530244034</v>
      </c>
      <c r="I486" s="29">
        <f t="shared" si="302"/>
        <v>1.7951907379468413</v>
      </c>
      <c r="J486" s="29">
        <f t="shared" si="303"/>
        <v>-1.5112710230263793</v>
      </c>
      <c r="K486" s="26">
        <f t="shared" si="266"/>
        <v>-3.5655856672133033</v>
      </c>
      <c r="L486" s="26">
        <f t="shared" si="267"/>
        <v>2.7502631803824069E-2</v>
      </c>
      <c r="M486" s="26">
        <f t="shared" si="268"/>
        <v>1.8591624713561877E-4</v>
      </c>
      <c r="N486" s="26">
        <f t="shared" si="269"/>
        <v>0.50004647906165001</v>
      </c>
      <c r="O486" s="26">
        <f t="shared" si="270"/>
        <v>-0.49537665318575397</v>
      </c>
      <c r="P486" s="26">
        <f t="shared" si="271"/>
        <v>0.37862778602111896</v>
      </c>
      <c r="Q486" s="26">
        <f t="shared" si="272"/>
        <v>7.167950017362712E-2</v>
      </c>
      <c r="R486" s="26">
        <f t="shared" si="273"/>
        <v>-8.534602258786915</v>
      </c>
      <c r="S486" s="26">
        <f t="shared" si="274"/>
        <v>1.9650969532559014E-4</v>
      </c>
      <c r="T486" s="26">
        <f t="shared" si="275"/>
        <v>1.0684103335096202</v>
      </c>
      <c r="U486" s="26">
        <f t="shared" si="276"/>
        <v>0.744294487688547</v>
      </c>
      <c r="V486" s="26">
        <f t="shared" si="277"/>
        <v>-0.17427578765587071</v>
      </c>
      <c r="W486" s="26">
        <f t="shared" si="278"/>
        <v>0.45654099237670487</v>
      </c>
      <c r="X486" s="26">
        <f t="shared" si="279"/>
        <v>0.14767384648344839</v>
      </c>
      <c r="Y486" s="26">
        <f t="shared" si="280"/>
        <v>0.92237318913982902</v>
      </c>
      <c r="Z486" s="26">
        <f t="shared" si="281"/>
        <v>0.71552541247061197</v>
      </c>
      <c r="AA486" s="26">
        <f t="shared" si="282"/>
        <v>-1.5663998065593121</v>
      </c>
      <c r="AB486" s="26">
        <f t="shared" si="283"/>
        <v>0.17273023359427753</v>
      </c>
      <c r="AC486" s="26">
        <f t="shared" si="284"/>
        <v>1.8743815844206746</v>
      </c>
      <c r="AD486" s="26">
        <f t="shared" si="285"/>
        <v>0.86696444973234532</v>
      </c>
      <c r="AE486" s="26">
        <f t="shared" si="286"/>
        <v>8.8492288175088373E-3</v>
      </c>
      <c r="AF486" s="26">
        <f t="shared" si="287"/>
        <v>-4.0466434024337836</v>
      </c>
      <c r="AG486" s="26">
        <f t="shared" si="288"/>
        <v>1.7180619203152715E-2</v>
      </c>
      <c r="AH486" s="26">
        <f t="shared" si="289"/>
        <v>-0.49817538929682748</v>
      </c>
      <c r="AI486" s="26">
        <f t="shared" si="290"/>
        <v>0.37796955479827427</v>
      </c>
      <c r="AJ486" s="26">
        <f t="shared" si="291"/>
        <v>-0.75889549893824571</v>
      </c>
      <c r="AK486" s="26">
        <f t="shared" si="292"/>
        <v>0.31888611336405726</v>
      </c>
      <c r="AL486" s="26">
        <f t="shared" si="293"/>
        <v>5.0844176648217186E-2</v>
      </c>
      <c r="AM486" s="27">
        <f t="shared" si="294"/>
        <v>0.2790467521228015</v>
      </c>
    </row>
    <row r="487" spans="1:39" ht="15" customHeight="1" x14ac:dyDescent="0.2">
      <c r="A487" s="24">
        <v>476</v>
      </c>
      <c r="B487" s="29">
        <f t="shared" si="295"/>
        <v>4.49635664706142</v>
      </c>
      <c r="C487" s="29">
        <f t="shared" si="296"/>
        <v>-4.9739296627219165</v>
      </c>
      <c r="D487" s="29">
        <f t="shared" si="297"/>
        <v>-3.5673149470546552</v>
      </c>
      <c r="E487" s="29">
        <f t="shared" si="298"/>
        <v>-1.5918824253875963</v>
      </c>
      <c r="F487" s="29">
        <f t="shared" si="299"/>
        <v>1.0850606517979187</v>
      </c>
      <c r="G487" s="29">
        <f t="shared" si="300"/>
        <v>-1.902036211801909E-2</v>
      </c>
      <c r="H487" s="29">
        <f t="shared" si="301"/>
        <v>4.3057019564246426</v>
      </c>
      <c r="I487" s="29">
        <f t="shared" si="302"/>
        <v>1.8274780525742107</v>
      </c>
      <c r="J487" s="29">
        <f t="shared" si="303"/>
        <v>-1.5194294095773635</v>
      </c>
      <c r="K487" s="26">
        <f t="shared" si="266"/>
        <v>-3.5673149470546552</v>
      </c>
      <c r="L487" s="26">
        <f t="shared" si="267"/>
        <v>2.7456417847289676E-2</v>
      </c>
      <c r="M487" s="26">
        <f t="shared" si="268"/>
        <v>-1.902036211801909E-2</v>
      </c>
      <c r="N487" s="26">
        <f t="shared" si="269"/>
        <v>0.4952450528210553</v>
      </c>
      <c r="O487" s="26">
        <f t="shared" si="270"/>
        <v>-0.49616079285944159</v>
      </c>
      <c r="P487" s="26">
        <f t="shared" si="271"/>
        <v>0.37844331999788583</v>
      </c>
      <c r="Q487" s="26">
        <f t="shared" si="272"/>
        <v>7.1609673225511108E-2</v>
      </c>
      <c r="R487" s="26">
        <f t="shared" si="273"/>
        <v>-8.5412446097765713</v>
      </c>
      <c r="S487" s="26">
        <f t="shared" si="274"/>
        <v>1.9520898841825731E-4</v>
      </c>
      <c r="T487" s="26">
        <f t="shared" si="275"/>
        <v>1.0660402896798995</v>
      </c>
      <c r="U487" s="26">
        <f t="shared" si="276"/>
        <v>0.74384315936236833</v>
      </c>
      <c r="V487" s="26">
        <f t="shared" si="277"/>
        <v>-0.15923184956183034</v>
      </c>
      <c r="W487" s="26">
        <f t="shared" si="278"/>
        <v>0.46027593507949655</v>
      </c>
      <c r="X487" s="26">
        <f t="shared" si="279"/>
        <v>0.14565103312715594</v>
      </c>
      <c r="Y487" s="26">
        <f t="shared" si="280"/>
        <v>0.92904170000676478</v>
      </c>
      <c r="Z487" s="26">
        <f t="shared" si="281"/>
        <v>0.71688082676282427</v>
      </c>
      <c r="AA487" s="26">
        <f t="shared" si="282"/>
        <v>-1.6109027875056154</v>
      </c>
      <c r="AB487" s="26">
        <f t="shared" si="283"/>
        <v>0.16646331112880661</v>
      </c>
      <c r="AC487" s="26">
        <f t="shared" si="284"/>
        <v>1.8714538163853709</v>
      </c>
      <c r="AD487" s="26">
        <f t="shared" si="285"/>
        <v>0.86662640653157319</v>
      </c>
      <c r="AE487" s="26">
        <f t="shared" si="286"/>
        <v>8.8942577173405906E-3</v>
      </c>
      <c r="AF487" s="26">
        <f t="shared" si="287"/>
        <v>-4.0448879627151513</v>
      </c>
      <c r="AG487" s="26">
        <f t="shared" si="288"/>
        <v>1.7210285721442918E-2</v>
      </c>
      <c r="AH487" s="26">
        <f t="shared" si="289"/>
        <v>-0.52584213570769667</v>
      </c>
      <c r="AI487" s="26">
        <f t="shared" si="290"/>
        <v>0.37148716484055305</v>
      </c>
      <c r="AJ487" s="26">
        <f t="shared" si="291"/>
        <v>-0.76644240811679099</v>
      </c>
      <c r="AK487" s="26">
        <f t="shared" si="292"/>
        <v>0.31724918679757791</v>
      </c>
      <c r="AL487" s="26">
        <f t="shared" si="293"/>
        <v>5.0323523261862242E-2</v>
      </c>
      <c r="AM487" s="27">
        <f t="shared" si="294"/>
        <v>0.27647848733186986</v>
      </c>
    </row>
    <row r="488" spans="1:39" ht="15" customHeight="1" x14ac:dyDescent="0.2">
      <c r="A488" s="24">
        <v>477</v>
      </c>
      <c r="B488" s="29">
        <f t="shared" si="295"/>
        <v>4.5048241947495322</v>
      </c>
      <c r="C488" s="29">
        <f t="shared" si="296"/>
        <v>-4.9788214343327573</v>
      </c>
      <c r="D488" s="29">
        <f t="shared" si="297"/>
        <v>-3.5689695255884843</v>
      </c>
      <c r="E488" s="29">
        <f t="shared" si="298"/>
        <v>-1.6172940496374248</v>
      </c>
      <c r="F488" s="29">
        <f t="shared" si="299"/>
        <v>1.1024275922241786</v>
      </c>
      <c r="G488" s="29">
        <f t="shared" si="300"/>
        <v>-3.8410771682765035E-2</v>
      </c>
      <c r="H488" s="29">
        <f t="shared" si="301"/>
        <v>4.313152784814001</v>
      </c>
      <c r="I488" s="29">
        <f t="shared" si="302"/>
        <v>1.8601646244151193</v>
      </c>
      <c r="J488" s="29">
        <f t="shared" si="303"/>
        <v>-1.5276698757855462</v>
      </c>
      <c r="K488" s="26">
        <f t="shared" si="266"/>
        <v>-3.5689695255884843</v>
      </c>
      <c r="L488" s="26">
        <f t="shared" si="267"/>
        <v>2.7412270886642227E-2</v>
      </c>
      <c r="M488" s="26">
        <f t="shared" si="268"/>
        <v>-3.8410771682765035E-2</v>
      </c>
      <c r="N488" s="26">
        <f t="shared" si="269"/>
        <v>0.49039848754614124</v>
      </c>
      <c r="O488" s="26">
        <f t="shared" si="270"/>
        <v>-0.49721464487273903</v>
      </c>
      <c r="P488" s="26">
        <f t="shared" si="271"/>
        <v>0.37819546051420905</v>
      </c>
      <c r="Q488" s="26">
        <f t="shared" si="272"/>
        <v>7.1515903176777321E-2</v>
      </c>
      <c r="R488" s="26">
        <f t="shared" si="273"/>
        <v>-8.547790959921242</v>
      </c>
      <c r="S488" s="26">
        <f t="shared" si="274"/>
        <v>1.9393550274954897E-4</v>
      </c>
      <c r="T488" s="26">
        <f t="shared" si="275"/>
        <v>1.0640168205414136</v>
      </c>
      <c r="U488" s="26">
        <f t="shared" si="276"/>
        <v>0.74345741631588647</v>
      </c>
      <c r="V488" s="26">
        <f t="shared" si="277"/>
        <v>-0.14388021674191176</v>
      </c>
      <c r="W488" s="26">
        <f t="shared" si="278"/>
        <v>0.46409187051415379</v>
      </c>
      <c r="X488" s="26">
        <f t="shared" si="279"/>
        <v>0.14359876162450924</v>
      </c>
      <c r="Y488" s="26">
        <f t="shared" si="280"/>
        <v>0.93585466916104787</v>
      </c>
      <c r="Z488" s="26">
        <f t="shared" si="281"/>
        <v>0.71826155990964435</v>
      </c>
      <c r="AA488" s="26">
        <f t="shared" si="282"/>
        <v>-1.6557048213201899</v>
      </c>
      <c r="AB488" s="26">
        <f t="shared" si="283"/>
        <v>0.16033941651773501</v>
      </c>
      <c r="AC488" s="26">
        <f t="shared" si="284"/>
        <v>1.8685596820692369</v>
      </c>
      <c r="AD488" s="26">
        <f t="shared" si="285"/>
        <v>0.86629153270128778</v>
      </c>
      <c r="AE488" s="26">
        <f t="shared" si="286"/>
        <v>8.9389771136853969E-3</v>
      </c>
      <c r="AF488" s="26">
        <f t="shared" si="287"/>
        <v>-4.0429667651717089</v>
      </c>
      <c r="AG488" s="26">
        <f t="shared" si="288"/>
        <v>1.7242811191521837E-2</v>
      </c>
      <c r="AH488" s="26">
        <f t="shared" si="289"/>
        <v>-0.55327722909601129</v>
      </c>
      <c r="AI488" s="26">
        <f t="shared" si="290"/>
        <v>0.36510440156453983</v>
      </c>
      <c r="AJ488" s="26">
        <f t="shared" si="291"/>
        <v>-0.77414470466820273</v>
      </c>
      <c r="AK488" s="26">
        <f t="shared" si="292"/>
        <v>0.31558320615170721</v>
      </c>
      <c r="AL488" s="26">
        <f t="shared" si="293"/>
        <v>4.9796380002495463E-2</v>
      </c>
      <c r="AM488" s="27">
        <f t="shared" si="294"/>
        <v>0.27385002191746743</v>
      </c>
    </row>
    <row r="489" spans="1:39" ht="15" customHeight="1" x14ac:dyDescent="0.2">
      <c r="A489" s="24">
        <v>478</v>
      </c>
      <c r="B489" s="29">
        <f t="shared" si="295"/>
        <v>4.5133600481048362</v>
      </c>
      <c r="C489" s="29">
        <f t="shared" si="296"/>
        <v>-4.9836918951389322</v>
      </c>
      <c r="D489" s="29">
        <f t="shared" si="297"/>
        <v>-3.5705493660845455</v>
      </c>
      <c r="E489" s="29">
        <f t="shared" si="298"/>
        <v>-1.6428067554901311</v>
      </c>
      <c r="F489" s="29">
        <f t="shared" si="299"/>
        <v>1.1203243360226411</v>
      </c>
      <c r="G489" s="29">
        <f t="shared" si="300"/>
        <v>-5.7979904939214857E-2</v>
      </c>
      <c r="H489" s="29">
        <f t="shared" si="301"/>
        <v>4.3206894154499773</v>
      </c>
      <c r="I489" s="29">
        <f t="shared" si="302"/>
        <v>1.8932388047836548</v>
      </c>
      <c r="J489" s="29">
        <f t="shared" si="303"/>
        <v>-1.5359971036192959</v>
      </c>
      <c r="K489" s="26">
        <f t="shared" si="266"/>
        <v>-3.5705493660845455</v>
      </c>
      <c r="L489" s="26">
        <f t="shared" si="267"/>
        <v>2.7370182447190267E-2</v>
      </c>
      <c r="M489" s="26">
        <f t="shared" si="268"/>
        <v>-5.7979904939214857E-2</v>
      </c>
      <c r="N489" s="26">
        <f t="shared" si="269"/>
        <v>0.48550908301042817</v>
      </c>
      <c r="O489" s="26">
        <f t="shared" si="270"/>
        <v>-0.49855440999051481</v>
      </c>
      <c r="P489" s="26">
        <f t="shared" si="271"/>
        <v>0.37788044790725717</v>
      </c>
      <c r="Q489" s="26">
        <f t="shared" si="272"/>
        <v>7.1396816455294651E-2</v>
      </c>
      <c r="R489" s="26">
        <f t="shared" si="273"/>
        <v>-8.5542412612234777</v>
      </c>
      <c r="S489" s="26">
        <f t="shared" si="274"/>
        <v>1.9268882640772919E-4</v>
      </c>
      <c r="T489" s="26">
        <f t="shared" si="275"/>
        <v>1.0623444310834262</v>
      </c>
      <c r="U489" s="26">
        <f t="shared" si="276"/>
        <v>0.74313831415596276</v>
      </c>
      <c r="V489" s="26">
        <f t="shared" si="277"/>
        <v>-0.12822626136498538</v>
      </c>
      <c r="W489" s="26">
        <f t="shared" si="278"/>
        <v>0.46798728532910538</v>
      </c>
      <c r="X489" s="26">
        <f t="shared" si="279"/>
        <v>0.14151876428574736</v>
      </c>
      <c r="Y489" s="26">
        <f t="shared" si="280"/>
        <v>0.94281068202029061</v>
      </c>
      <c r="Z489" s="26">
        <f t="shared" si="281"/>
        <v>0.71966705230069439</v>
      </c>
      <c r="AA489" s="26">
        <f t="shared" si="282"/>
        <v>-1.700786660429346</v>
      </c>
      <c r="AB489" s="26">
        <f t="shared" si="283"/>
        <v>0.15436255063553564</v>
      </c>
      <c r="AC489" s="26">
        <f t="shared" si="284"/>
        <v>1.8657058827729776</v>
      </c>
      <c r="AD489" s="26">
        <f t="shared" si="285"/>
        <v>0.86596062998912038</v>
      </c>
      <c r="AE489" s="26">
        <f t="shared" si="286"/>
        <v>8.9832763564567479E-3</v>
      </c>
      <c r="AF489" s="26">
        <f t="shared" si="287"/>
        <v>-4.0408812131186416</v>
      </c>
      <c r="AG489" s="26">
        <f t="shared" si="288"/>
        <v>1.7278187511454025E-2</v>
      </c>
      <c r="AH489" s="26">
        <f t="shared" si="289"/>
        <v>-0.58046232440670487</v>
      </c>
      <c r="AI489" s="26">
        <f t="shared" si="290"/>
        <v>0.35882621976475448</v>
      </c>
      <c r="AJ489" s="26">
        <f t="shared" si="291"/>
        <v>-0.78199969828793559</v>
      </c>
      <c r="AK489" s="26">
        <f t="shared" si="292"/>
        <v>0.31388906540611305</v>
      </c>
      <c r="AL489" s="26">
        <f t="shared" si="293"/>
        <v>4.926317269076156E-2</v>
      </c>
      <c r="AM489" s="27">
        <f t="shared" si="294"/>
        <v>0.27116202978826032</v>
      </c>
    </row>
    <row r="490" spans="1:39" ht="15" customHeight="1" x14ac:dyDescent="0.2">
      <c r="A490" s="24">
        <v>479</v>
      </c>
      <c r="B490" s="29">
        <f t="shared" si="295"/>
        <v>4.5219625917180615</v>
      </c>
      <c r="C490" s="29">
        <f t="shared" si="296"/>
        <v>-4.9885410318995449</v>
      </c>
      <c r="D490" s="29">
        <f t="shared" si="297"/>
        <v>-3.5720544511231789</v>
      </c>
      <c r="E490" s="29">
        <f t="shared" si="298"/>
        <v>-1.6684068045922889</v>
      </c>
      <c r="F490" s="29">
        <f t="shared" si="299"/>
        <v>1.1387480943653752</v>
      </c>
      <c r="G490" s="29">
        <f t="shared" si="300"/>
        <v>-7.7722177141864884E-2</v>
      </c>
      <c r="H490" s="29">
        <f t="shared" si="301"/>
        <v>4.3283123263983994</v>
      </c>
      <c r="I490" s="29">
        <f t="shared" si="302"/>
        <v>1.9266883038583242</v>
      </c>
      <c r="J490" s="29">
        <f t="shared" si="303"/>
        <v>-1.5444155255307239</v>
      </c>
      <c r="K490" s="26">
        <f t="shared" si="266"/>
        <v>-3.5720544511231789</v>
      </c>
      <c r="L490" s="26">
        <f t="shared" si="267"/>
        <v>2.7330143983596174E-2</v>
      </c>
      <c r="M490" s="26">
        <f t="shared" si="268"/>
        <v>-7.7722177141864884E-2</v>
      </c>
      <c r="N490" s="26">
        <f t="shared" si="269"/>
        <v>0.48057923104324834</v>
      </c>
      <c r="O490" s="26">
        <f t="shared" si="270"/>
        <v>-0.50019574291602775</v>
      </c>
      <c r="P490" s="26">
        <f t="shared" si="271"/>
        <v>0.37749466958901479</v>
      </c>
      <c r="Q490" s="26">
        <f t="shared" si="272"/>
        <v>7.1251112784059725E-2</v>
      </c>
      <c r="R490" s="26">
        <f t="shared" si="273"/>
        <v>-8.5605954830227233</v>
      </c>
      <c r="S490" s="26">
        <f t="shared" si="274"/>
        <v>1.9146855434370541E-4</v>
      </c>
      <c r="T490" s="26">
        <f t="shared" si="275"/>
        <v>1.0610259172235104</v>
      </c>
      <c r="U490" s="26">
        <f t="shared" si="276"/>
        <v>0.7428865505983212</v>
      </c>
      <c r="V490" s="26">
        <f t="shared" si="277"/>
        <v>-0.11227596169539966</v>
      </c>
      <c r="W490" s="26">
        <f t="shared" si="278"/>
        <v>0.47196045867431763</v>
      </c>
      <c r="X490" s="26">
        <f t="shared" si="279"/>
        <v>0.13941287860171853</v>
      </c>
      <c r="Y490" s="26">
        <f t="shared" si="280"/>
        <v>0.9499081405948826</v>
      </c>
      <c r="Z490" s="26">
        <f t="shared" si="281"/>
        <v>0.72109670397922654</v>
      </c>
      <c r="AA490" s="26">
        <f t="shared" si="282"/>
        <v>-1.7461289817341537</v>
      </c>
      <c r="AB490" s="26">
        <f t="shared" si="283"/>
        <v>0.14853611205988193</v>
      </c>
      <c r="AC490" s="26">
        <f t="shared" si="284"/>
        <v>1.8628990166341841</v>
      </c>
      <c r="AD490" s="26">
        <f t="shared" si="285"/>
        <v>0.86563449433537476</v>
      </c>
      <c r="AE490" s="26">
        <f t="shared" si="286"/>
        <v>9.0270445562552187E-3</v>
      </c>
      <c r="AF490" s="26">
        <f t="shared" si="287"/>
        <v>-4.0386328913046619</v>
      </c>
      <c r="AG490" s="26">
        <f t="shared" si="288"/>
        <v>1.731640469441648E-2</v>
      </c>
      <c r="AH490" s="26">
        <f t="shared" si="289"/>
        <v>-0.6073808873687786</v>
      </c>
      <c r="AI490" s="26">
        <f t="shared" si="290"/>
        <v>0.35265688416451407</v>
      </c>
      <c r="AJ490" s="26">
        <f t="shared" si="291"/>
        <v>-0.79000482364808877</v>
      </c>
      <c r="AK490" s="26">
        <f t="shared" si="292"/>
        <v>0.31216763368731681</v>
      </c>
      <c r="AL490" s="26">
        <f t="shared" si="293"/>
        <v>4.872431576096941E-2</v>
      </c>
      <c r="AM490" s="27">
        <f t="shared" si="294"/>
        <v>0.26841535170300285</v>
      </c>
    </row>
    <row r="491" spans="1:39" ht="15" customHeight="1" x14ac:dyDescent="0.2">
      <c r="A491" s="24">
        <v>480</v>
      </c>
      <c r="B491" s="29">
        <f t="shared" si="295"/>
        <v>4.5306300494983311</v>
      </c>
      <c r="C491" s="29">
        <f t="shared" si="296"/>
        <v>-4.9933688278532422</v>
      </c>
      <c r="D491" s="29">
        <f t="shared" si="297"/>
        <v>-3.5734847824651097</v>
      </c>
      <c r="E491" s="29">
        <f t="shared" si="298"/>
        <v>-1.6940805879164356</v>
      </c>
      <c r="F491" s="29">
        <f t="shared" si="299"/>
        <v>1.1576941904586131</v>
      </c>
      <c r="G491" s="29">
        <f t="shared" si="300"/>
        <v>-9.7631773877611849E-2</v>
      </c>
      <c r="H491" s="29">
        <f t="shared" si="301"/>
        <v>4.3360218938907202</v>
      </c>
      <c r="I491" s="29">
        <f t="shared" si="302"/>
        <v>1.9605002071973496</v>
      </c>
      <c r="J491" s="29">
        <f t="shared" si="303"/>
        <v>-1.5529292687964329</v>
      </c>
      <c r="K491" s="26">
        <f t="shared" si="266"/>
        <v>-3.5734847824651097</v>
      </c>
      <c r="L491" s="26">
        <f t="shared" si="267"/>
        <v>2.7292146884497919E-2</v>
      </c>
      <c r="M491" s="26">
        <f t="shared" si="268"/>
        <v>-9.7631773877611849E-2</v>
      </c>
      <c r="N491" s="26">
        <f t="shared" si="269"/>
        <v>0.47561142603625306</v>
      </c>
      <c r="O491" s="26">
        <f t="shared" si="270"/>
        <v>-0.50215362308446743</v>
      </c>
      <c r="P491" s="26">
        <f t="shared" si="271"/>
        <v>0.37703469301579784</v>
      </c>
      <c r="Q491" s="26">
        <f t="shared" si="272"/>
        <v>7.1077579868758456E-2</v>
      </c>
      <c r="R491" s="26">
        <f t="shared" si="273"/>
        <v>-8.5668536103183524</v>
      </c>
      <c r="S491" s="26">
        <f t="shared" si="274"/>
        <v>1.9027428858202504E-4</v>
      </c>
      <c r="T491" s="26">
        <f t="shared" si="275"/>
        <v>1.0600624165810013</v>
      </c>
      <c r="U491" s="26">
        <f t="shared" si="276"/>
        <v>0.74270247301172432</v>
      </c>
      <c r="V491" s="26">
        <f t="shared" si="277"/>
        <v>-9.6035883089827134E-2</v>
      </c>
      <c r="W491" s="26">
        <f t="shared" si="278"/>
        <v>0.47600946490109569</v>
      </c>
      <c r="X491" s="26">
        <f t="shared" si="279"/>
        <v>0.13728304043661801</v>
      </c>
      <c r="Y491" s="26">
        <f t="shared" si="280"/>
        <v>0.95714526703322145</v>
      </c>
      <c r="Z491" s="26">
        <f t="shared" si="281"/>
        <v>0.7225498761207847</v>
      </c>
      <c r="AA491" s="26">
        <f t="shared" si="282"/>
        <v>-1.7917123617940474</v>
      </c>
      <c r="AB491" s="26">
        <f t="shared" si="283"/>
        <v>0.14286291121141448</v>
      </c>
      <c r="AC491" s="26">
        <f t="shared" si="284"/>
        <v>1.8601455805221119</v>
      </c>
      <c r="AD491" s="26">
        <f t="shared" si="285"/>
        <v>0.8653139157404387</v>
      </c>
      <c r="AE491" s="26">
        <f t="shared" si="286"/>
        <v>9.0701706465868229E-3</v>
      </c>
      <c r="AF491" s="26">
        <f t="shared" si="287"/>
        <v>-4.0362235608200212</v>
      </c>
      <c r="AG491" s="26">
        <f t="shared" si="288"/>
        <v>1.735745089400836E-2</v>
      </c>
      <c r="AH491" s="26">
        <f t="shared" si="289"/>
        <v>-0.63401817133543426</v>
      </c>
      <c r="AI491" s="26">
        <f t="shared" si="290"/>
        <v>0.34659998880114246</v>
      </c>
      <c r="AJ491" s="26">
        <f t="shared" si="291"/>
        <v>-0.79815763183864075</v>
      </c>
      <c r="AK491" s="26">
        <f t="shared" si="292"/>
        <v>0.31041975715970616</v>
      </c>
      <c r="AL491" s="26">
        <f t="shared" si="293"/>
        <v>4.8180212817545469E-2</v>
      </c>
      <c r="AM491" s="27">
        <f t="shared" si="294"/>
        <v>0.26561100376950875</v>
      </c>
    </row>
    <row r="492" spans="1:39" ht="15" customHeight="1" x14ac:dyDescent="0.2">
      <c r="A492" s="24">
        <v>481</v>
      </c>
      <c r="B492" s="29">
        <f t="shared" si="295"/>
        <v>4.539360488202699</v>
      </c>
      <c r="C492" s="29">
        <f t="shared" si="296"/>
        <v>-4.9981752612694974</v>
      </c>
      <c r="D492" s="29">
        <f t="shared" si="297"/>
        <v>-3.5748403818759606</v>
      </c>
      <c r="E492" s="29">
        <f t="shared" si="298"/>
        <v>-1.719814648890889</v>
      </c>
      <c r="F492" s="29">
        <f t="shared" si="299"/>
        <v>1.1771560732253745</v>
      </c>
      <c r="G492" s="29">
        <f t="shared" si="300"/>
        <v>-0.11770259656525345</v>
      </c>
      <c r="H492" s="29">
        <f t="shared" si="301"/>
        <v>4.3438183894376436</v>
      </c>
      <c r="I492" s="29">
        <f t="shared" si="302"/>
        <v>1.99466099032239</v>
      </c>
      <c r="J492" s="29">
        <f t="shared" si="303"/>
        <v>-1.5615421042376194</v>
      </c>
      <c r="K492" s="26">
        <f t="shared" si="266"/>
        <v>-3.5748403818759606</v>
      </c>
      <c r="L492" s="26">
        <f t="shared" si="267"/>
        <v>2.7256182451380586E-2</v>
      </c>
      <c r="M492" s="26">
        <f t="shared" si="268"/>
        <v>-0.11770259656525345</v>
      </c>
      <c r="N492" s="26">
        <f t="shared" si="269"/>
        <v>0.47060827553031276</v>
      </c>
      <c r="O492" s="26">
        <f t="shared" si="270"/>
        <v>-0.5044422287562389</v>
      </c>
      <c r="P492" s="26">
        <f t="shared" si="271"/>
        <v>0.37649729785157732</v>
      </c>
      <c r="Q492" s="26">
        <f t="shared" si="272"/>
        <v>7.0875107644769661E-2</v>
      </c>
      <c r="R492" s="26">
        <f t="shared" si="273"/>
        <v>-8.5730156431454585</v>
      </c>
      <c r="S492" s="26">
        <f t="shared" si="274"/>
        <v>1.8910563822034001E-4</v>
      </c>
      <c r="T492" s="26">
        <f t="shared" si="275"/>
        <v>1.0594534766601211</v>
      </c>
      <c r="U492" s="26">
        <f t="shared" si="276"/>
        <v>0.74258609013045929</v>
      </c>
      <c r="V492" s="26">
        <f t="shared" si="277"/>
        <v>-7.951315774951806E-2</v>
      </c>
      <c r="W492" s="26">
        <f t="shared" si="278"/>
        <v>0.48013217705783318</v>
      </c>
      <c r="X492" s="26">
        <f t="shared" si="279"/>
        <v>0.13513127666531405</v>
      </c>
      <c r="Y492" s="26">
        <f t="shared" si="280"/>
        <v>0.96452010632673835</v>
      </c>
      <c r="Z492" s="26">
        <f t="shared" si="281"/>
        <v>0.72402589237403037</v>
      </c>
      <c r="AA492" s="26">
        <f t="shared" si="282"/>
        <v>-1.8375172454561424</v>
      </c>
      <c r="AB492" s="26">
        <f t="shared" si="283"/>
        <v>0.13734518825735562</v>
      </c>
      <c r="AC492" s="26">
        <f t="shared" si="284"/>
        <v>1.8574519707111261</v>
      </c>
      <c r="AD492" s="26">
        <f t="shared" si="285"/>
        <v>0.86499967795964505</v>
      </c>
      <c r="AE492" s="26">
        <f t="shared" si="286"/>
        <v>9.1125434754997722E-3</v>
      </c>
      <c r="AF492" s="26">
        <f t="shared" si="287"/>
        <v>-4.0336551549427586</v>
      </c>
      <c r="AG492" s="26">
        <f t="shared" si="288"/>
        <v>1.7401312408331471E-2</v>
      </c>
      <c r="AH492" s="26">
        <f t="shared" si="289"/>
        <v>-0.66036117223076785</v>
      </c>
      <c r="AI492" s="26">
        <f t="shared" si="290"/>
        <v>0.34065848388429171</v>
      </c>
      <c r="AJ492" s="26">
        <f t="shared" si="291"/>
        <v>-0.80645577457159445</v>
      </c>
      <c r="AK492" s="26">
        <f t="shared" si="292"/>
        <v>0.30864626244804694</v>
      </c>
      <c r="AL492" s="26">
        <f t="shared" si="293"/>
        <v>4.7631257661574333E-2</v>
      </c>
      <c r="AM492" s="27">
        <f t="shared" si="294"/>
        <v>0.26275018544715784</v>
      </c>
    </row>
    <row r="493" spans="1:39" ht="15" customHeight="1" x14ac:dyDescent="0.2">
      <c r="A493" s="24">
        <v>482</v>
      </c>
      <c r="B493" s="29">
        <f t="shared" si="295"/>
        <v>4.5481518210900713</v>
      </c>
      <c r="C493" s="29">
        <f t="shared" si="296"/>
        <v>-5.0029603041304425</v>
      </c>
      <c r="D493" s="29">
        <f t="shared" si="297"/>
        <v>-3.5761212928776374</v>
      </c>
      <c r="E493" s="29">
        <f t="shared" si="298"/>
        <v>-1.7455957025351958</v>
      </c>
      <c r="F493" s="29">
        <f t="shared" si="299"/>
        <v>1.1971253455525792</v>
      </c>
      <c r="G493" s="29">
        <f t="shared" si="300"/>
        <v>-0.13792820774417683</v>
      </c>
      <c r="H493" s="29">
        <f t="shared" si="301"/>
        <v>4.3517019767329046</v>
      </c>
      <c r="I493" s="29">
        <f t="shared" si="302"/>
        <v>2.0291565316989901</v>
      </c>
      <c r="J493" s="29">
        <f t="shared" si="303"/>
        <v>-1.5702574000667826</v>
      </c>
      <c r="K493" s="26">
        <f t="shared" si="266"/>
        <v>-3.5761212928776374</v>
      </c>
      <c r="L493" s="26">
        <f t="shared" si="267"/>
        <v>2.7222241852658653E-2</v>
      </c>
      <c r="M493" s="26">
        <f t="shared" si="268"/>
        <v>-0.13792820774417683</v>
      </c>
      <c r="N493" s="26">
        <f t="shared" si="269"/>
        <v>0.46557251035966962</v>
      </c>
      <c r="O493" s="26">
        <f t="shared" si="270"/>
        <v>-0.50707481600964743</v>
      </c>
      <c r="P493" s="26">
        <f t="shared" si="271"/>
        <v>0.37587950689443717</v>
      </c>
      <c r="Q493" s="26">
        <f t="shared" si="272"/>
        <v>7.0642701851602624E-2</v>
      </c>
      <c r="R493" s="26">
        <f t="shared" si="273"/>
        <v>-8.5790815970080807</v>
      </c>
      <c r="S493" s="26">
        <f t="shared" si="274"/>
        <v>1.8796221922585284E-4</v>
      </c>
      <c r="T493" s="26">
        <f t="shared" si="275"/>
        <v>1.0591971378084024</v>
      </c>
      <c r="U493" s="26">
        <f t="shared" si="276"/>
        <v>0.74253708740219826</v>
      </c>
      <c r="V493" s="26">
        <f t="shared" si="277"/>
        <v>-6.2715463574911867E-2</v>
      </c>
      <c r="W493" s="26">
        <f t="shared" si="278"/>
        <v>0.48432627113375776</v>
      </c>
      <c r="X493" s="26">
        <f t="shared" si="279"/>
        <v>0.13295969732140739</v>
      </c>
      <c r="Y493" s="26">
        <f t="shared" si="280"/>
        <v>0.97203052821243396</v>
      </c>
      <c r="Z493" s="26">
        <f t="shared" si="281"/>
        <v>0.72552404007362437</v>
      </c>
      <c r="AA493" s="26">
        <f t="shared" si="282"/>
        <v>-1.8835239102793726</v>
      </c>
      <c r="AB493" s="26">
        <f t="shared" si="283"/>
        <v>0.13198463403091698</v>
      </c>
      <c r="AC493" s="26">
        <f t="shared" si="284"/>
        <v>1.8548244815165877</v>
      </c>
      <c r="AD493" s="26">
        <f t="shared" si="285"/>
        <v>0.86469255792979216</v>
      </c>
      <c r="AE493" s="26">
        <f t="shared" si="286"/>
        <v>9.1540519397913245E-3</v>
      </c>
      <c r="AF493" s="26">
        <f t="shared" si="287"/>
        <v>-4.0309297759180085</v>
      </c>
      <c r="AG493" s="26">
        <f t="shared" si="288"/>
        <v>1.7447973662943206E-2</v>
      </c>
      <c r="AH493" s="26">
        <f t="shared" si="289"/>
        <v>-0.68639856472679339</v>
      </c>
      <c r="AI493" s="26">
        <f t="shared" si="290"/>
        <v>0.33483470874348509</v>
      </c>
      <c r="AJ493" s="26">
        <f t="shared" si="291"/>
        <v>-0.81489698230139729</v>
      </c>
      <c r="AK493" s="26">
        <f t="shared" si="292"/>
        <v>0.30684796130827208</v>
      </c>
      <c r="AL493" s="26">
        <f t="shared" si="293"/>
        <v>4.7077835679521417E-2</v>
      </c>
      <c r="AM493" s="27">
        <f t="shared" si="294"/>
        <v>0.25983428679232273</v>
      </c>
    </row>
    <row r="494" spans="1:39" ht="15" customHeight="1" x14ac:dyDescent="0.2">
      <c r="A494" s="24">
        <v>483</v>
      </c>
      <c r="B494" s="29">
        <f t="shared" si="295"/>
        <v>4.5570018117320652</v>
      </c>
      <c r="C494" s="29">
        <f t="shared" si="296"/>
        <v>-5.0077239209701592</v>
      </c>
      <c r="D494" s="29">
        <f t="shared" si="297"/>
        <v>-3.5773275833656917</v>
      </c>
      <c r="E494" s="29">
        <f t="shared" si="298"/>
        <v>-1.7714106511539114</v>
      </c>
      <c r="F494" s="29">
        <f t="shared" si="299"/>
        <v>1.2175918062033408</v>
      </c>
      <c r="G494" s="29">
        <f t="shared" si="300"/>
        <v>-0.15830177803311235</v>
      </c>
      <c r="H494" s="29">
        <f t="shared" si="301"/>
        <v>4.3596727084008373</v>
      </c>
      <c r="I494" s="29">
        <f t="shared" si="302"/>
        <v>2.0639721245865341</v>
      </c>
      <c r="J494" s="29">
        <f t="shared" si="303"/>
        <v>-1.5790780814475731</v>
      </c>
      <c r="K494" s="26">
        <f t="shared" si="266"/>
        <v>-3.5773275833656917</v>
      </c>
      <c r="L494" s="26">
        <f t="shared" si="267"/>
        <v>2.7190316054746446E-2</v>
      </c>
      <c r="M494" s="26">
        <f t="shared" si="268"/>
        <v>-0.15830177803311235</v>
      </c>
      <c r="N494" s="26">
        <f t="shared" si="269"/>
        <v>0.46050699382765481</v>
      </c>
      <c r="O494" s="26">
        <f t="shared" si="270"/>
        <v>-0.51006360417347918</v>
      </c>
      <c r="P494" s="26">
        <f t="shared" si="271"/>
        <v>0.375178615346901</v>
      </c>
      <c r="Q494" s="26">
        <f t="shared" si="272"/>
        <v>7.0379496706808944E-2</v>
      </c>
      <c r="R494" s="26">
        <f t="shared" si="273"/>
        <v>-8.5850515043358513</v>
      </c>
      <c r="S494" s="26">
        <f t="shared" si="274"/>
        <v>1.8684365404375453E-4</v>
      </c>
      <c r="T494" s="26">
        <f t="shared" si="275"/>
        <v>1.0592900281702284</v>
      </c>
      <c r="U494" s="26">
        <f t="shared" si="276"/>
        <v>0.74255484538774286</v>
      </c>
      <c r="V494" s="26">
        <f t="shared" si="277"/>
        <v>-4.5651002411335684E-2</v>
      </c>
      <c r="W494" s="26">
        <f t="shared" si="278"/>
        <v>0.48858923101188545</v>
      </c>
      <c r="X494" s="26">
        <f t="shared" si="279"/>
        <v>0.13077048731850732</v>
      </c>
      <c r="Y494" s="26">
        <f t="shared" si="280"/>
        <v>0.97967422836637352</v>
      </c>
      <c r="Z494" s="26">
        <f t="shared" si="281"/>
        <v>0.72704357134606379</v>
      </c>
      <c r="AA494" s="26">
        <f t="shared" si="282"/>
        <v>-1.9297124291870238</v>
      </c>
      <c r="AB494" s="26">
        <f t="shared" si="283"/>
        <v>0.12678241327696477</v>
      </c>
      <c r="AC494" s="26">
        <f t="shared" si="284"/>
        <v>1.8522693012596032</v>
      </c>
      <c r="AD494" s="26">
        <f t="shared" si="285"/>
        <v>0.86439332485166664</v>
      </c>
      <c r="AE494" s="26">
        <f t="shared" si="286"/>
        <v>9.1945851723928048E-3</v>
      </c>
      <c r="AF494" s="26">
        <f t="shared" si="287"/>
        <v>-4.0280496926037852</v>
      </c>
      <c r="AG494" s="26">
        <f t="shared" si="288"/>
        <v>1.749741717377426E-2</v>
      </c>
      <c r="AH494" s="26">
        <f t="shared" si="289"/>
        <v>-0.71212062298368295</v>
      </c>
      <c r="AI494" s="26">
        <f t="shared" si="290"/>
        <v>0.32913042947052235</v>
      </c>
      <c r="AJ494" s="26">
        <f t="shared" si="291"/>
        <v>-0.82347903754721297</v>
      </c>
      <c r="AK494" s="26">
        <f t="shared" si="292"/>
        <v>0.30502565623865507</v>
      </c>
      <c r="AL494" s="26">
        <f t="shared" si="293"/>
        <v>4.6520325481911089E-2</v>
      </c>
      <c r="AM494" s="27">
        <f t="shared" si="294"/>
        <v>0.25686489467962015</v>
      </c>
    </row>
    <row r="495" spans="1:39" ht="15" customHeight="1" x14ac:dyDescent="0.2">
      <c r="A495" s="24">
        <v>484</v>
      </c>
      <c r="B495" s="29">
        <f t="shared" si="295"/>
        <v>4.5659080780322929</v>
      </c>
      <c r="C495" s="29">
        <f t="shared" si="296"/>
        <v>-5.012466067892368</v>
      </c>
      <c r="D495" s="29">
        <f t="shared" si="297"/>
        <v>-3.5784593490030701</v>
      </c>
      <c r="E495" s="29">
        <f t="shared" si="298"/>
        <v>-1.7972465971732621</v>
      </c>
      <c r="F495" s="29">
        <f t="shared" si="299"/>
        <v>1.2385435044123261</v>
      </c>
      <c r="G495" s="29">
        <f t="shared" si="300"/>
        <v>-0.17881603659732132</v>
      </c>
      <c r="H495" s="29">
        <f t="shared" si="301"/>
        <v>4.3677305226585572</v>
      </c>
      <c r="I495" s="29">
        <f t="shared" si="302"/>
        <v>2.0990924883492657</v>
      </c>
      <c r="J495" s="29">
        <f t="shared" si="303"/>
        <v>-1.588006596189766</v>
      </c>
      <c r="K495" s="26">
        <f t="shared" si="266"/>
        <v>-3.5784593490030701</v>
      </c>
      <c r="L495" s="26">
        <f t="shared" si="267"/>
        <v>2.7160395732589829E-2</v>
      </c>
      <c r="M495" s="26">
        <f t="shared" si="268"/>
        <v>-0.17881603659732132</v>
      </c>
      <c r="N495" s="26">
        <f t="shared" si="269"/>
        <v>0.4554147294059479</v>
      </c>
      <c r="O495" s="26">
        <f t="shared" si="270"/>
        <v>-0.51341966916140946</v>
      </c>
      <c r="P495" s="26">
        <f t="shared" si="271"/>
        <v>0.37439221802801925</v>
      </c>
      <c r="Q495" s="26">
        <f t="shared" si="272"/>
        <v>7.0084766459969958E-2</v>
      </c>
      <c r="R495" s="26">
        <f t="shared" si="273"/>
        <v>-8.5909254168954376</v>
      </c>
      <c r="S495" s="26">
        <f t="shared" si="274"/>
        <v>1.8574957103805327E-4</v>
      </c>
      <c r="T495" s="26">
        <f t="shared" si="275"/>
        <v>1.0597274678150048</v>
      </c>
      <c r="U495" s="26">
        <f t="shared" si="276"/>
        <v>0.74263846060344274</v>
      </c>
      <c r="V495" s="26">
        <f t="shared" si="277"/>
        <v>-2.8328477906823801E-2</v>
      </c>
      <c r="W495" s="26">
        <f t="shared" si="278"/>
        <v>0.49291835410359924</v>
      </c>
      <c r="X495" s="26">
        <f t="shared" si="279"/>
        <v>0.12856589780250136</v>
      </c>
      <c r="Y495" s="26">
        <f t="shared" si="280"/>
        <v>0.98744872902922287</v>
      </c>
      <c r="Z495" s="26">
        <f t="shared" si="281"/>
        <v>0.72858370413841922</v>
      </c>
      <c r="AA495" s="26">
        <f t="shared" si="282"/>
        <v>-1.9760626337705833</v>
      </c>
      <c r="AB495" s="26">
        <f t="shared" si="283"/>
        <v>0.12173918960953678</v>
      </c>
      <c r="AC495" s="26">
        <f t="shared" si="284"/>
        <v>1.8497925051343449</v>
      </c>
      <c r="AD495" s="26">
        <f t="shared" si="285"/>
        <v>0.86410273887653544</v>
      </c>
      <c r="AE495" s="26">
        <f t="shared" si="286"/>
        <v>9.2340327904295565E-3</v>
      </c>
      <c r="AF495" s="26">
        <f t="shared" si="287"/>
        <v>-4.0250173388631456</v>
      </c>
      <c r="AG495" s="26">
        <f t="shared" si="288"/>
        <v>1.7549623491987677E-2</v>
      </c>
      <c r="AH495" s="26">
        <f t="shared" si="289"/>
        <v>-0.73751912935825725</v>
      </c>
      <c r="AI495" s="26">
        <f t="shared" si="290"/>
        <v>0.32354687990385267</v>
      </c>
      <c r="AJ495" s="26">
        <f t="shared" si="291"/>
        <v>-0.8321997447676267</v>
      </c>
      <c r="AK495" s="26">
        <f t="shared" si="292"/>
        <v>0.30318014671454008</v>
      </c>
      <c r="AL495" s="26">
        <f t="shared" si="293"/>
        <v>4.595910068092502E-2</v>
      </c>
      <c r="AM495" s="27">
        <f t="shared" si="294"/>
        <v>0.25384379773382587</v>
      </c>
    </row>
    <row r="496" spans="1:39" ht="15" customHeight="1" x14ac:dyDescent="0.2">
      <c r="A496" s="24">
        <v>485</v>
      </c>
      <c r="B496" s="29">
        <f t="shared" si="295"/>
        <v>4.5748680965196478</v>
      </c>
      <c r="C496" s="29">
        <f t="shared" si="296"/>
        <v>-5.0171866917813475</v>
      </c>
      <c r="D496" s="29">
        <f t="shared" si="297"/>
        <v>-3.5795167172772664</v>
      </c>
      <c r="E496" s="29">
        <f t="shared" si="298"/>
        <v>-1.823090853708444</v>
      </c>
      <c r="F496" s="29">
        <f t="shared" si="299"/>
        <v>1.2599668061357503</v>
      </c>
      <c r="G496" s="29">
        <f t="shared" si="300"/>
        <v>-0.19946322686024903</v>
      </c>
      <c r="H496" s="29">
        <f t="shared" si="301"/>
        <v>4.3758752399773773</v>
      </c>
      <c r="I496" s="29">
        <f t="shared" si="302"/>
        <v>2.1345017799092458</v>
      </c>
      <c r="J496" s="29">
        <f t="shared" si="303"/>
        <v>-1.597044886839593</v>
      </c>
      <c r="K496" s="26">
        <f t="shared" si="266"/>
        <v>-3.5795167172772664</v>
      </c>
      <c r="L496" s="26">
        <f t="shared" si="267"/>
        <v>2.7132471162685481E-2</v>
      </c>
      <c r="M496" s="26">
        <f t="shared" si="268"/>
        <v>-0.19946322686024903</v>
      </c>
      <c r="N496" s="26">
        <f t="shared" si="269"/>
        <v>0.45029886648625389</v>
      </c>
      <c r="O496" s="26">
        <f t="shared" si="270"/>
        <v>-0.51715284607337253</v>
      </c>
      <c r="P496" s="26">
        <f t="shared" si="271"/>
        <v>0.37351823414783436</v>
      </c>
      <c r="Q496" s="26">
        <f t="shared" si="272"/>
        <v>6.9757935620458206E-2</v>
      </c>
      <c r="R496" s="26">
        <f t="shared" si="273"/>
        <v>-8.5967034090586143</v>
      </c>
      <c r="S496" s="26">
        <f t="shared" si="274"/>
        <v>1.8467960378937585E-4</v>
      </c>
      <c r="T496" s="26">
        <f t="shared" si="275"/>
        <v>1.0605035792755013</v>
      </c>
      <c r="U496" s="26">
        <f t="shared" si="276"/>
        <v>0.74278676819468359</v>
      </c>
      <c r="V496" s="26">
        <f t="shared" si="277"/>
        <v>-1.0757073129453509E-2</v>
      </c>
      <c r="W496" s="26">
        <f t="shared" si="278"/>
        <v>0.49731075764964189</v>
      </c>
      <c r="X496" s="26">
        <f t="shared" si="279"/>
        <v>0.12634823718738855</v>
      </c>
      <c r="Y496" s="26">
        <f t="shared" si="280"/>
        <v>0.99535137924238137</v>
      </c>
      <c r="Z496" s="26">
        <f t="shared" si="281"/>
        <v>0.73014362320658976</v>
      </c>
      <c r="AA496" s="26">
        <f t="shared" si="282"/>
        <v>-2.022554080568693</v>
      </c>
      <c r="AB496" s="26">
        <f t="shared" si="283"/>
        <v>0.116855151651665</v>
      </c>
      <c r="AC496" s="26">
        <f t="shared" si="284"/>
        <v>1.8474000447695385</v>
      </c>
      <c r="AD496" s="26">
        <f t="shared" si="285"/>
        <v>0.86382154937008815</v>
      </c>
      <c r="AE496" s="26">
        <f t="shared" si="286"/>
        <v>9.27228520798167E-3</v>
      </c>
      <c r="AF496" s="26">
        <f t="shared" si="287"/>
        <v>-4.0218353125389665</v>
      </c>
      <c r="AG496" s="26">
        <f t="shared" si="288"/>
        <v>1.7604571133503433E-2</v>
      </c>
      <c r="AH496" s="26">
        <f t="shared" si="289"/>
        <v>-0.76258727443294272</v>
      </c>
      <c r="AI496" s="26">
        <f t="shared" si="290"/>
        <v>0.31808480468650657</v>
      </c>
      <c r="AJ496" s="26">
        <f t="shared" si="291"/>
        <v>-0.84105689814064177</v>
      </c>
      <c r="AK496" s="26">
        <f t="shared" si="292"/>
        <v>0.30131223573526145</v>
      </c>
      <c r="AL496" s="26">
        <f t="shared" si="293"/>
        <v>4.5394531701890881E-2</v>
      </c>
      <c r="AM496" s="27">
        <f t="shared" si="294"/>
        <v>0.25077298971771933</v>
      </c>
    </row>
    <row r="497" spans="1:39" ht="15" customHeight="1" x14ac:dyDescent="0.2">
      <c r="A497" s="24">
        <v>486</v>
      </c>
      <c r="B497" s="29">
        <f t="shared" si="295"/>
        <v>4.583879206989848</v>
      </c>
      <c r="C497" s="29">
        <f t="shared" si="296"/>
        <v>-5.0218857297149224</v>
      </c>
      <c r="D497" s="29">
        <f t="shared" si="297"/>
        <v>-3.5804998520904237</v>
      </c>
      <c r="E497" s="29">
        <f t="shared" si="298"/>
        <v>-1.8489309534277105</v>
      </c>
      <c r="F497" s="29">
        <f t="shared" si="299"/>
        <v>1.2818464709110591</v>
      </c>
      <c r="G497" s="29">
        <f t="shared" si="300"/>
        <v>-0.22023506903925161</v>
      </c>
      <c r="H497" s="29">
        <f t="shared" si="301"/>
        <v>4.3841065598379396</v>
      </c>
      <c r="I497" s="29">
        <f t="shared" si="302"/>
        <v>2.1701836060796253</v>
      </c>
      <c r="J497" s="29">
        <f t="shared" si="303"/>
        <v>-1.6061943692724496</v>
      </c>
      <c r="K497" s="26">
        <f t="shared" si="266"/>
        <v>-3.5804998520904237</v>
      </c>
      <c r="L497" s="26">
        <f t="shared" si="267"/>
        <v>2.7106532102013359E-2</v>
      </c>
      <c r="M497" s="26">
        <f t="shared" si="268"/>
        <v>-0.22023506903925161</v>
      </c>
      <c r="N497" s="26">
        <f t="shared" si="269"/>
        <v>0.44516270376773837</v>
      </c>
      <c r="O497" s="26">
        <f t="shared" si="270"/>
        <v>-0.52127164231472878</v>
      </c>
      <c r="P497" s="26">
        <f t="shared" si="271"/>
        <v>0.37255492929304479</v>
      </c>
      <c r="Q497" s="26">
        <f t="shared" si="272"/>
        <v>6.9398587670272807E-2</v>
      </c>
      <c r="R497" s="26">
        <f t="shared" si="273"/>
        <v>-8.602385581805347</v>
      </c>
      <c r="S497" s="26">
        <f t="shared" si="274"/>
        <v>1.8363339027719657E-4</v>
      </c>
      <c r="T497" s="26">
        <f t="shared" si="275"/>
        <v>1.0616114018718075</v>
      </c>
      <c r="U497" s="26">
        <f t="shared" si="276"/>
        <v>0.74299836584735146</v>
      </c>
      <c r="V497" s="26">
        <f t="shared" si="277"/>
        <v>7.0535719843438649E-3</v>
      </c>
      <c r="W497" s="26">
        <f t="shared" si="278"/>
        <v>0.50176338568496603</v>
      </c>
      <c r="X497" s="26">
        <f t="shared" si="279"/>
        <v>0.12411986192205396</v>
      </c>
      <c r="Y497" s="26">
        <f t="shared" si="280"/>
        <v>1.0033793548994243</v>
      </c>
      <c r="Z497" s="26">
        <f t="shared" si="281"/>
        <v>0.73172248110380922</v>
      </c>
      <c r="AA497" s="26">
        <f t="shared" si="282"/>
        <v>-2.0691660224669621</v>
      </c>
      <c r="AB497" s="26">
        <f t="shared" si="283"/>
        <v>0.1121300399162377</v>
      </c>
      <c r="AC497" s="26">
        <f t="shared" si="284"/>
        <v>1.8450977344909261</v>
      </c>
      <c r="AD497" s="26">
        <f t="shared" si="285"/>
        <v>0.86355049275311035</v>
      </c>
      <c r="AE497" s="26">
        <f t="shared" si="286"/>
        <v>9.3092340139594946E-3</v>
      </c>
      <c r="AF497" s="26">
        <f t="shared" si="287"/>
        <v>-4.0185063748154981</v>
      </c>
      <c r="AG497" s="26">
        <f t="shared" si="288"/>
        <v>1.7662236496494402E-2</v>
      </c>
      <c r="AH497" s="26">
        <f t="shared" si="289"/>
        <v>-0.78731955155590305</v>
      </c>
      <c r="AI497" s="26">
        <f t="shared" si="290"/>
        <v>0.31274450324690989</v>
      </c>
      <c r="AJ497" s="26">
        <f t="shared" si="291"/>
        <v>-0.85004824854879946</v>
      </c>
      <c r="AK497" s="26">
        <f t="shared" si="292"/>
        <v>0.29942273638976385</v>
      </c>
      <c r="AL497" s="26">
        <f t="shared" si="293"/>
        <v>4.4826987533567009E-2</v>
      </c>
      <c r="AM497" s="27">
        <f t="shared" si="294"/>
        <v>0.24765467113985329</v>
      </c>
    </row>
    <row r="498" spans="1:39" ht="15" customHeight="1" x14ac:dyDescent="0.2">
      <c r="A498" s="24">
        <v>487</v>
      </c>
      <c r="B498" s="29">
        <f t="shared" si="295"/>
        <v>4.5929386175724476</v>
      </c>
      <c r="C498" s="29">
        <f t="shared" si="296"/>
        <v>-5.0265631085827351</v>
      </c>
      <c r="D498" s="29">
        <f t="shared" si="297"/>
        <v>-3.5814089587405697</v>
      </c>
      <c r="E498" s="29">
        <f t="shared" si="298"/>
        <v>-1.8747546562375257</v>
      </c>
      <c r="F498" s="29">
        <f t="shared" si="299"/>
        <v>1.3041657382872298</v>
      </c>
      <c r="G498" s="29">
        <f t="shared" si="300"/>
        <v>-0.24112273088176245</v>
      </c>
      <c r="H498" s="29">
        <f t="shared" si="301"/>
        <v>4.3924240576792108</v>
      </c>
      <c r="I498" s="29">
        <f t="shared" si="302"/>
        <v>2.2061210375413545</v>
      </c>
      <c r="J498" s="29">
        <f t="shared" si="303"/>
        <v>-1.6154559177548991</v>
      </c>
      <c r="K498" s="26">
        <f t="shared" si="266"/>
        <v>-3.5814089587405697</v>
      </c>
      <c r="L498" s="26">
        <f t="shared" si="267"/>
        <v>2.7082567656550344E-2</v>
      </c>
      <c r="M498" s="26">
        <f t="shared" si="268"/>
        <v>-0.24112273088176245</v>
      </c>
      <c r="N498" s="26">
        <f t="shared" si="269"/>
        <v>0.44000968993327771</v>
      </c>
      <c r="O498" s="26">
        <f t="shared" si="270"/>
        <v>-0.52578316235269007</v>
      </c>
      <c r="P498" s="26">
        <f t="shared" si="271"/>
        <v>0.37150093430633468</v>
      </c>
      <c r="Q498" s="26">
        <f t="shared" si="272"/>
        <v>6.9006472095239801E-2</v>
      </c>
      <c r="R498" s="26">
        <f t="shared" si="273"/>
        <v>-8.6079720673233044</v>
      </c>
      <c r="S498" s="26">
        <f t="shared" si="274"/>
        <v>1.8261057197553715E-4</v>
      </c>
      <c r="T498" s="26">
        <f t="shared" si="275"/>
        <v>1.0630430074054673</v>
      </c>
      <c r="U498" s="26">
        <f t="shared" si="276"/>
        <v>0.7432716383804624</v>
      </c>
      <c r="V498" s="26">
        <f t="shared" si="277"/>
        <v>2.5093383353601117E-2</v>
      </c>
      <c r="W498" s="26">
        <f t="shared" si="278"/>
        <v>0.50627301667686353</v>
      </c>
      <c r="X498" s="26">
        <f t="shared" si="279"/>
        <v>0.12188316703068233</v>
      </c>
      <c r="Y498" s="26">
        <f t="shared" si="280"/>
        <v>1.0115296588318778</v>
      </c>
      <c r="Z498" s="26">
        <f t="shared" si="281"/>
        <v>0.733319399211673</v>
      </c>
      <c r="AA498" s="26">
        <f t="shared" si="282"/>
        <v>-2.115877387119288</v>
      </c>
      <c r="AB498" s="26">
        <f t="shared" si="283"/>
        <v>0.10756317407290771</v>
      </c>
      <c r="AC498" s="26">
        <f t="shared" si="284"/>
        <v>1.8428912344922832</v>
      </c>
      <c r="AD498" s="26">
        <f t="shared" si="285"/>
        <v>0.86329028994283186</v>
      </c>
      <c r="AE498" s="26">
        <f t="shared" si="286"/>
        <v>9.3447724119574901E-3</v>
      </c>
      <c r="AF498" s="26">
        <f t="shared" si="287"/>
        <v>-4.0150334497508577</v>
      </c>
      <c r="AG498" s="26">
        <f t="shared" si="288"/>
        <v>1.7722593770565422E-2</v>
      </c>
      <c r="AH498" s="26">
        <f t="shared" si="289"/>
        <v>-0.81171164883205837</v>
      </c>
      <c r="AI498" s="26">
        <f t="shared" si="290"/>
        <v>0.30752587369299456</v>
      </c>
      <c r="AJ498" s="26">
        <f t="shared" si="291"/>
        <v>-0.85917147097019109</v>
      </c>
      <c r="AK498" s="26">
        <f t="shared" si="292"/>
        <v>0.29751247817537679</v>
      </c>
      <c r="AL498" s="26">
        <f t="shared" si="293"/>
        <v>4.4256837335027027E-2</v>
      </c>
      <c r="AM498" s="27">
        <f t="shared" si="294"/>
        <v>0.24449124887290666</v>
      </c>
    </row>
    <row r="499" spans="1:39" ht="15" customHeight="1" x14ac:dyDescent="0.2">
      <c r="A499" s="24">
        <v>488</v>
      </c>
      <c r="B499" s="29">
        <f t="shared" si="295"/>
        <v>4.6020434102978465</v>
      </c>
      <c r="C499" s="29">
        <f t="shared" si="296"/>
        <v>-5.0312187449078678</v>
      </c>
      <c r="D499" s="29">
        <f t="shared" si="297"/>
        <v>-3.5822442891468174</v>
      </c>
      <c r="E499" s="29">
        <f t="shared" si="298"/>
        <v>-1.900549956255718</v>
      </c>
      <c r="F499" s="29">
        <f t="shared" si="299"/>
        <v>1.3269064228074028</v>
      </c>
      <c r="G499" s="29">
        <f t="shared" si="300"/>
        <v>-0.26211680773661272</v>
      </c>
      <c r="H499" s="29">
        <f t="shared" si="301"/>
        <v>4.4008271821428515</v>
      </c>
      <c r="I499" s="29">
        <f t="shared" si="302"/>
        <v>2.2422966252187035</v>
      </c>
      <c r="J499" s="29">
        <f t="shared" si="303"/>
        <v>-1.6248298563193604</v>
      </c>
      <c r="K499" s="26">
        <f t="shared" si="266"/>
        <v>-3.5822442891468174</v>
      </c>
      <c r="L499" s="26">
        <f t="shared" si="267"/>
        <v>2.706056614312537E-2</v>
      </c>
      <c r="M499" s="26">
        <f t="shared" si="268"/>
        <v>-0.26211680773661272</v>
      </c>
      <c r="N499" s="26">
        <f t="shared" si="269"/>
        <v>0.43484342134976051</v>
      </c>
      <c r="O499" s="26">
        <f t="shared" si="270"/>
        <v>-0.53069304508139692</v>
      </c>
      <c r="P499" s="26">
        <f t="shared" si="271"/>
        <v>0.37035526078086672</v>
      </c>
      <c r="Q499" s="26">
        <f t="shared" si="272"/>
        <v>6.8581509594031906E-2</v>
      </c>
      <c r="R499" s="26">
        <f t="shared" si="273"/>
        <v>-8.6134630340546856</v>
      </c>
      <c r="S499" s="26">
        <f t="shared" si="274"/>
        <v>1.8161079289156815E-4</v>
      </c>
      <c r="T499" s="26">
        <f t="shared" si="275"/>
        <v>1.0647896150707901</v>
      </c>
      <c r="U499" s="26">
        <f t="shared" si="276"/>
        <v>0.7436047825136165</v>
      </c>
      <c r="V499" s="26">
        <f t="shared" si="277"/>
        <v>4.3351875721337585E-2</v>
      </c>
      <c r="W499" s="26">
        <f t="shared" si="278"/>
        <v>0.51083627185614333</v>
      </c>
      <c r="X499" s="26">
        <f t="shared" si="279"/>
        <v>0.11964057646579845</v>
      </c>
      <c r="Y499" s="26">
        <f t="shared" si="280"/>
        <v>1.0197991211510291</v>
      </c>
      <c r="Z499" s="26">
        <f t="shared" si="281"/>
        <v>0.73493346885501964</v>
      </c>
      <c r="AA499" s="26">
        <f t="shared" si="282"/>
        <v>-2.1626667639923305</v>
      </c>
      <c r="AB499" s="26">
        <f t="shared" si="283"/>
        <v>0.10315348032598265</v>
      </c>
      <c r="AC499" s="26">
        <f t="shared" si="284"/>
        <v>1.8407860312988618</v>
      </c>
      <c r="AD499" s="26">
        <f t="shared" si="285"/>
        <v>0.86304164344111134</v>
      </c>
      <c r="AE499" s="26">
        <f t="shared" si="286"/>
        <v>9.3787957156558407E-3</v>
      </c>
      <c r="AF499" s="26">
        <f t="shared" si="287"/>
        <v>-4.0114196237568382</v>
      </c>
      <c r="AG499" s="26">
        <f t="shared" si="288"/>
        <v>1.7785614841550945E-2</v>
      </c>
      <c r="AH499" s="26">
        <f t="shared" si="289"/>
        <v>-0.83576034118492792</v>
      </c>
      <c r="AI499" s="26">
        <f t="shared" si="290"/>
        <v>0.30242845576501609</v>
      </c>
      <c r="AJ499" s="26">
        <f t="shared" si="291"/>
        <v>-0.86842413334154012</v>
      </c>
      <c r="AK499" s="26">
        <f t="shared" si="292"/>
        <v>0.29558231283961606</v>
      </c>
      <c r="AL499" s="26">
        <f t="shared" si="293"/>
        <v>4.368445183180833E-2</v>
      </c>
      <c r="AM499" s="27">
        <f t="shared" si="294"/>
        <v>0.24128533360729454</v>
      </c>
    </row>
    <row r="500" spans="1:39" ht="15" customHeight="1" x14ac:dyDescent="0.2">
      <c r="A500" s="24">
        <v>489</v>
      </c>
      <c r="B500" s="29">
        <f t="shared" si="295"/>
        <v>4.6111905472309305</v>
      </c>
      <c r="C500" s="29">
        <f t="shared" si="296"/>
        <v>-5.0358525448653779</v>
      </c>
      <c r="D500" s="29">
        <f t="shared" si="297"/>
        <v>-3.5830061471715391</v>
      </c>
      <c r="E500" s="29">
        <f t="shared" si="298"/>
        <v>-1.9263050884715678</v>
      </c>
      <c r="F500" s="29">
        <f t="shared" si="299"/>
        <v>1.3500490165541901</v>
      </c>
      <c r="G500" s="29">
        <f t="shared" si="300"/>
        <v>-0.2832073128243664</v>
      </c>
      <c r="H500" s="29">
        <f t="shared" si="301"/>
        <v>4.4093152527117754</v>
      </c>
      <c r="I500" s="29">
        <f t="shared" si="302"/>
        <v>2.2786924197700476</v>
      </c>
      <c r="J500" s="29">
        <f t="shared" si="303"/>
        <v>-1.6343159561901082</v>
      </c>
      <c r="K500" s="26">
        <f t="shared" si="266"/>
        <v>-3.5830061471715391</v>
      </c>
      <c r="L500" s="26">
        <f t="shared" si="267"/>
        <v>2.7040514948331797E-2</v>
      </c>
      <c r="M500" s="26">
        <f t="shared" si="268"/>
        <v>-0.2832073128243664</v>
      </c>
      <c r="N500" s="26">
        <f t="shared" si="269"/>
        <v>0.42966763661911384</v>
      </c>
      <c r="O500" s="26">
        <f t="shared" si="270"/>
        <v>-0.53600541460276196</v>
      </c>
      <c r="P500" s="26">
        <f t="shared" si="271"/>
        <v>0.36911731293576289</v>
      </c>
      <c r="Q500" s="26">
        <f t="shared" si="272"/>
        <v>6.8123795354458949E-2</v>
      </c>
      <c r="R500" s="26">
        <f t="shared" si="273"/>
        <v>-8.6188586920369161</v>
      </c>
      <c r="S500" s="26">
        <f t="shared" si="274"/>
        <v>1.8063369857585456E-4</v>
      </c>
      <c r="T500" s="26">
        <f t="shared" si="275"/>
        <v>1.0668417037298237</v>
      </c>
      <c r="U500" s="26">
        <f t="shared" si="276"/>
        <v>0.74399583136384084</v>
      </c>
      <c r="V500" s="26">
        <f t="shared" si="277"/>
        <v>6.1818176001474878E-2</v>
      </c>
      <c r="W500" s="26">
        <f t="shared" si="278"/>
        <v>0.51544962426899588</v>
      </c>
      <c r="X500" s="26">
        <f t="shared" si="279"/>
        <v>0.11739453331052864</v>
      </c>
      <c r="Y500" s="26">
        <f t="shared" si="280"/>
        <v>1.0281844000593914</v>
      </c>
      <c r="Z500" s="26">
        <f t="shared" si="281"/>
        <v>0.73656375253883977</v>
      </c>
      <c r="AA500" s="26">
        <f t="shared" si="282"/>
        <v>-2.2095124012959344</v>
      </c>
      <c r="AB500" s="26">
        <f t="shared" si="283"/>
        <v>9.8899518698654182E-2</v>
      </c>
      <c r="AC500" s="26">
        <f t="shared" si="284"/>
        <v>1.8387874160515489</v>
      </c>
      <c r="AD500" s="26">
        <f t="shared" si="285"/>
        <v>0.86280523413437926</v>
      </c>
      <c r="AE500" s="26">
        <f t="shared" si="286"/>
        <v>9.4112018904612474E-3</v>
      </c>
      <c r="AF500" s="26">
        <f t="shared" si="287"/>
        <v>-4.0076681448059865</v>
      </c>
      <c r="AG500" s="26">
        <f t="shared" si="288"/>
        <v>1.785126919591732E-2</v>
      </c>
      <c r="AH500" s="26">
        <f t="shared" si="289"/>
        <v>-0.85946338474174411</v>
      </c>
      <c r="AI500" s="26">
        <f t="shared" si="290"/>
        <v>0.29745147215282736</v>
      </c>
      <c r="AJ500" s="26">
        <f t="shared" si="291"/>
        <v>-0.87780366780019703</v>
      </c>
      <c r="AK500" s="26">
        <f t="shared" si="292"/>
        <v>0.2936331195552</v>
      </c>
      <c r="AL500" s="26">
        <f t="shared" si="293"/>
        <v>4.3110204449859184E-2</v>
      </c>
      <c r="AM500" s="27">
        <f t="shared" si="294"/>
        <v>0.23803973500530801</v>
      </c>
    </row>
    <row r="501" spans="1:39" ht="15" customHeight="1" x14ac:dyDescent="0.2">
      <c r="A501" s="24">
        <v>490</v>
      </c>
      <c r="B501" s="29">
        <f t="shared" si="295"/>
        <v>4.6203768772255218</v>
      </c>
      <c r="C501" s="29">
        <f t="shared" si="296"/>
        <v>-5.0404644044875191</v>
      </c>
      <c r="D501" s="29">
        <f t="shared" si="297"/>
        <v>-3.5836948938976354</v>
      </c>
      <c r="E501" s="29">
        <f t="shared" si="298"/>
        <v>-1.9520085354175891</v>
      </c>
      <c r="F501" s="29">
        <f t="shared" si="299"/>
        <v>1.3735727982983306</v>
      </c>
      <c r="G501" s="29">
        <f t="shared" si="300"/>
        <v>-0.30438367828014856</v>
      </c>
      <c r="H501" s="29">
        <f t="shared" si="301"/>
        <v>4.4178874578352492</v>
      </c>
      <c r="I501" s="29">
        <f t="shared" si="302"/>
        <v>2.3152899948426198</v>
      </c>
      <c r="J501" s="29">
        <f t="shared" si="303"/>
        <v>-1.6439134389142849</v>
      </c>
      <c r="K501" s="26">
        <f t="shared" si="266"/>
        <v>-3.5836948938976354</v>
      </c>
      <c r="L501" s="26">
        <f t="shared" si="267"/>
        <v>2.702240038804947E-2</v>
      </c>
      <c r="M501" s="26">
        <f t="shared" si="268"/>
        <v>-0.30438367828014856</v>
      </c>
      <c r="N501" s="26">
        <f t="shared" si="269"/>
        <v>0.4244862079039588</v>
      </c>
      <c r="O501" s="26">
        <f t="shared" si="270"/>
        <v>-0.54172284505059887</v>
      </c>
      <c r="P501" s="26">
        <f t="shared" si="271"/>
        <v>0.36778689568776046</v>
      </c>
      <c r="Q501" s="26">
        <f t="shared" si="272"/>
        <v>6.7633600319819798E-2</v>
      </c>
      <c r="R501" s="26">
        <f t="shared" si="273"/>
        <v>-8.6241592983851554</v>
      </c>
      <c r="S501" s="26">
        <f t="shared" si="274"/>
        <v>1.796789351313713E-4</v>
      </c>
      <c r="T501" s="26">
        <f t="shared" si="275"/>
        <v>1.069189120018182</v>
      </c>
      <c r="U501" s="26">
        <f t="shared" si="276"/>
        <v>0.74444267829393773</v>
      </c>
      <c r="V501" s="26">
        <f t="shared" si="277"/>
        <v>8.0481047187466404E-2</v>
      </c>
      <c r="W501" s="26">
        <f t="shared" si="278"/>
        <v>0.52010940858176302</v>
      </c>
      <c r="X501" s="26">
        <f t="shared" si="279"/>
        <v>0.11514748986587263</v>
      </c>
      <c r="Y501" s="26">
        <f t="shared" si="280"/>
        <v>1.0366819833278864</v>
      </c>
      <c r="Z501" s="26">
        <f t="shared" si="281"/>
        <v>0.73820928534036334</v>
      </c>
      <c r="AA501" s="26">
        <f t="shared" si="282"/>
        <v>-2.2563922136977377</v>
      </c>
      <c r="AB501" s="26">
        <f t="shared" si="283"/>
        <v>9.4799510077839502E-2</v>
      </c>
      <c r="AC501" s="26">
        <f t="shared" si="284"/>
        <v>1.836900461247633</v>
      </c>
      <c r="AD501" s="26">
        <f t="shared" si="285"/>
        <v>0.86258171788484195</v>
      </c>
      <c r="AE501" s="26">
        <f t="shared" si="286"/>
        <v>9.4418921297405832E-3</v>
      </c>
      <c r="AF501" s="26">
        <f t="shared" si="287"/>
        <v>-4.0037824211596327</v>
      </c>
      <c r="AG501" s="26">
        <f t="shared" si="288"/>
        <v>1.7919523828647609E-2</v>
      </c>
      <c r="AH501" s="26">
        <f t="shared" si="289"/>
        <v>-0.88281941539940711</v>
      </c>
      <c r="AI501" s="26">
        <f t="shared" si="290"/>
        <v>0.292593867641671</v>
      </c>
      <c r="AJ501" s="26">
        <f t="shared" si="291"/>
        <v>-0.88730734503825603</v>
      </c>
      <c r="AK501" s="26">
        <f t="shared" si="292"/>
        <v>0.29166580928121866</v>
      </c>
      <c r="AL501" s="26">
        <f t="shared" si="293"/>
        <v>4.2534472151834105E-2</v>
      </c>
      <c r="AM501" s="27">
        <f t="shared" si="294"/>
        <v>0.23475745446726715</v>
      </c>
    </row>
    <row r="502" spans="1:39" ht="15" customHeight="1" x14ac:dyDescent="0.2">
      <c r="A502" s="24">
        <v>491</v>
      </c>
      <c r="B502" s="29">
        <f t="shared" si="295"/>
        <v>4.6295991433377015</v>
      </c>
      <c r="C502" s="29">
        <f t="shared" si="296"/>
        <v>-5.0450542100423439</v>
      </c>
      <c r="D502" s="29">
        <f t="shared" si="297"/>
        <v>-3.5843109527281731</v>
      </c>
      <c r="E502" s="29">
        <f t="shared" si="298"/>
        <v>-1.9776490341015023</v>
      </c>
      <c r="F502" s="29">
        <f t="shared" si="299"/>
        <v>1.3974559483184081</v>
      </c>
      <c r="G502" s="29">
        <f t="shared" si="300"/>
        <v>-0.32563476724238083</v>
      </c>
      <c r="H502" s="29">
        <f t="shared" si="301"/>
        <v>4.4265428536231752</v>
      </c>
      <c r="I502" s="29">
        <f t="shared" si="302"/>
        <v>2.3520704746464034</v>
      </c>
      <c r="J502" s="29">
        <f t="shared" si="303"/>
        <v>-1.6536209847866008</v>
      </c>
      <c r="K502" s="26">
        <f t="shared" si="266"/>
        <v>-3.5843109527281731</v>
      </c>
      <c r="L502" s="26">
        <f t="shared" si="267"/>
        <v>2.7006207570870366E-2</v>
      </c>
      <c r="M502" s="26">
        <f t="shared" si="268"/>
        <v>-0.32563476724238083</v>
      </c>
      <c r="N502" s="26">
        <f t="shared" si="269"/>
        <v>0.41930312905123024</v>
      </c>
      <c r="O502" s="26">
        <f t="shared" si="270"/>
        <v>-0.54784633989205123</v>
      </c>
      <c r="P502" s="26">
        <f t="shared" si="271"/>
        <v>0.36636421878825354</v>
      </c>
      <c r="Q502" s="26">
        <f t="shared" si="272"/>
        <v>6.7111370404163651E-2</v>
      </c>
      <c r="R502" s="26">
        <f t="shared" si="273"/>
        <v>-8.629365162770517</v>
      </c>
      <c r="S502" s="26">
        <f t="shared" si="274"/>
        <v>1.7874614824612341E-4</v>
      </c>
      <c r="T502" s="26">
        <f t="shared" si="275"/>
        <v>1.0718211810760274</v>
      </c>
      <c r="U502" s="26">
        <f t="shared" si="276"/>
        <v>0.74494309980507423</v>
      </c>
      <c r="V502" s="26">
        <f t="shared" si="277"/>
        <v>9.9328913041614841E-2</v>
      </c>
      <c r="W502" s="26">
        <f t="shared" si="278"/>
        <v>0.52481183167149359</v>
      </c>
      <c r="X502" s="26">
        <f t="shared" si="279"/>
        <v>0.11290189765970048</v>
      </c>
      <c r="Y502" s="26">
        <f t="shared" si="280"/>
        <v>1.0452881906095284</v>
      </c>
      <c r="Z502" s="26">
        <f t="shared" si="281"/>
        <v>0.73986907648300093</v>
      </c>
      <c r="AA502" s="26">
        <f t="shared" si="282"/>
        <v>-2.3032838013438832</v>
      </c>
      <c r="AB502" s="26">
        <f t="shared" si="283"/>
        <v>9.0851362920410489E-2</v>
      </c>
      <c r="AC502" s="26">
        <f t="shared" si="284"/>
        <v>1.8351299966424879</v>
      </c>
      <c r="AD502" s="26">
        <f t="shared" si="285"/>
        <v>0.86237172200239587</v>
      </c>
      <c r="AE502" s="26">
        <f t="shared" si="286"/>
        <v>9.4707714522929021E-3</v>
      </c>
      <c r="AF502" s="26">
        <f t="shared" si="287"/>
        <v>-3.9997660194328155</v>
      </c>
      <c r="AG502" s="26">
        <f t="shared" si="288"/>
        <v>1.7990343158240048E-2</v>
      </c>
      <c r="AH502" s="26">
        <f t="shared" si="289"/>
        <v>-0.90582785302547497</v>
      </c>
      <c r="AI502" s="26">
        <f t="shared" si="290"/>
        <v>0.28785434570077995</v>
      </c>
      <c r="AJ502" s="26">
        <f t="shared" si="291"/>
        <v>-0.89693225232380136</v>
      </c>
      <c r="AK502" s="26">
        <f t="shared" si="292"/>
        <v>0.28968132820633774</v>
      </c>
      <c r="AL502" s="26">
        <f t="shared" si="293"/>
        <v>4.1957635955693982E-2</v>
      </c>
      <c r="AM502" s="27">
        <f t="shared" si="294"/>
        <v>0.23144167547185104</v>
      </c>
    </row>
    <row r="503" spans="1:39" ht="15" customHeight="1" x14ac:dyDescent="0.2">
      <c r="A503" s="24">
        <v>492</v>
      </c>
      <c r="B503" s="29">
        <f t="shared" si="295"/>
        <v>4.6388539909172808</v>
      </c>
      <c r="C503" s="29">
        <f t="shared" si="296"/>
        <v>-5.0496218385700606</v>
      </c>
      <c r="D503" s="29">
        <f t="shared" si="297"/>
        <v>-3.5848548141880041</v>
      </c>
      <c r="E503" s="29">
        <f t="shared" si="298"/>
        <v>-2.003215583371952</v>
      </c>
      <c r="F503" s="29">
        <f t="shared" si="299"/>
        <v>1.4216756679795934</v>
      </c>
      <c r="G503" s="29">
        <f t="shared" si="300"/>
        <v>-0.34694889696080378</v>
      </c>
      <c r="H503" s="29">
        <f t="shared" si="301"/>
        <v>4.4352803631799151</v>
      </c>
      <c r="I503" s="29">
        <f t="shared" si="302"/>
        <v>2.3890145662868263</v>
      </c>
      <c r="J503" s="29">
        <f t="shared" si="303"/>
        <v>-1.6634367461104085</v>
      </c>
      <c r="K503" s="26">
        <f t="shared" si="266"/>
        <v>-3.5848548141880041</v>
      </c>
      <c r="L503" s="26">
        <f t="shared" si="267"/>
        <v>2.6991920268390774E-2</v>
      </c>
      <c r="M503" s="26">
        <f t="shared" si="268"/>
        <v>-0.34694889696080378</v>
      </c>
      <c r="N503" s="26">
        <f t="shared" si="269"/>
        <v>0.4141225006350906</v>
      </c>
      <c r="O503" s="26">
        <f t="shared" si="270"/>
        <v>-0.55437532593514005</v>
      </c>
      <c r="P503" s="26">
        <f t="shared" si="271"/>
        <v>0.36484989695294451</v>
      </c>
      <c r="Q503" s="26">
        <f t="shared" si="272"/>
        <v>6.6557723653287118E-2</v>
      </c>
      <c r="R503" s="26">
        <f t="shared" si="273"/>
        <v>-8.6344766527580639</v>
      </c>
      <c r="S503" s="26">
        <f t="shared" si="274"/>
        <v>1.7783498227134787E-4</v>
      </c>
      <c r="T503" s="26">
        <f t="shared" si="275"/>
        <v>1.0747267710187898</v>
      </c>
      <c r="U503" s="26">
        <f t="shared" si="276"/>
        <v>0.74549477723679891</v>
      </c>
      <c r="V503" s="26">
        <f t="shared" si="277"/>
        <v>0.11834988380381151</v>
      </c>
      <c r="W503" s="26">
        <f t="shared" si="278"/>
        <v>0.5295529840314801</v>
      </c>
      <c r="X503" s="26">
        <f t="shared" si="279"/>
        <v>0.11066019741684241</v>
      </c>
      <c r="Y503" s="26">
        <f t="shared" si="280"/>
        <v>1.0539991767292767</v>
      </c>
      <c r="Z503" s="26">
        <f t="shared" si="281"/>
        <v>0.74154211111132484</v>
      </c>
      <c r="AA503" s="26">
        <f t="shared" si="282"/>
        <v>-2.3501644803327557</v>
      </c>
      <c r="AB503" s="26">
        <f t="shared" si="283"/>
        <v>8.7052699555712335E-2</v>
      </c>
      <c r="AC503" s="26">
        <f t="shared" si="284"/>
        <v>1.8334805850458165</v>
      </c>
      <c r="AD503" s="26">
        <f t="shared" si="285"/>
        <v>0.86217584169188588</v>
      </c>
      <c r="AE503" s="26">
        <f t="shared" si="286"/>
        <v>9.497749306670052E-3</v>
      </c>
      <c r="AF503" s="26">
        <f t="shared" si="287"/>
        <v>-3.995622661840784</v>
      </c>
      <c r="AG503" s="26">
        <f t="shared" si="288"/>
        <v>1.8063688952094245E-2</v>
      </c>
      <c r="AH503" s="26">
        <f t="shared" si="289"/>
        <v>-0.92848881235316238</v>
      </c>
      <c r="AI503" s="26">
        <f t="shared" si="290"/>
        <v>0.28323140226661431</v>
      </c>
      <c r="AJ503" s="26">
        <f t="shared" si="291"/>
        <v>-0.90667527556980965</v>
      </c>
      <c r="AK503" s="26">
        <f t="shared" si="292"/>
        <v>0.28768066021119154</v>
      </c>
      <c r="AL503" s="26">
        <f t="shared" si="293"/>
        <v>4.1380081129773524E-2</v>
      </c>
      <c r="AM503" s="27">
        <f t="shared" si="294"/>
        <v>0.22809575150657307</v>
      </c>
    </row>
    <row r="504" spans="1:39" ht="15" customHeight="1" x14ac:dyDescent="0.2">
      <c r="A504" s="24">
        <v>493</v>
      </c>
      <c r="B504" s="29">
        <f t="shared" si="295"/>
        <v>4.6481379763763888</v>
      </c>
      <c r="C504" s="29">
        <f t="shared" si="296"/>
        <v>-5.0541671585598849</v>
      </c>
      <c r="D504" s="29">
        <f t="shared" si="297"/>
        <v>-3.5853270403215087</v>
      </c>
      <c r="E504" s="29">
        <f t="shared" si="298"/>
        <v>-2.0286974518207228</v>
      </c>
      <c r="F504" s="29">
        <f t="shared" si="299"/>
        <v>1.4462083031707997</v>
      </c>
      <c r="G504" s="29">
        <f t="shared" si="300"/>
        <v>-0.36831387260649129</v>
      </c>
      <c r="H504" s="29">
        <f t="shared" si="301"/>
        <v>4.4440987766337505</v>
      </c>
      <c r="I504" s="29">
        <f t="shared" si="302"/>
        <v>2.4261025971627443</v>
      </c>
      <c r="J504" s="29">
        <f t="shared" si="303"/>
        <v>-1.6733583648093524</v>
      </c>
      <c r="K504" s="26">
        <f t="shared" si="266"/>
        <v>-3.5853270403215087</v>
      </c>
      <c r="L504" s="26">
        <f t="shared" si="267"/>
        <v>2.6979520794954692E-2</v>
      </c>
      <c r="M504" s="26">
        <f t="shared" si="268"/>
        <v>-0.36831387260649129</v>
      </c>
      <c r="N504" s="26">
        <f t="shared" si="269"/>
        <v>0.40894851213354289</v>
      </c>
      <c r="O504" s="26">
        <f t="shared" si="270"/>
        <v>-0.56130766205730098</v>
      </c>
      <c r="P504" s="26">
        <f t="shared" si="271"/>
        <v>0.36324494597248125</v>
      </c>
      <c r="Q504" s="26">
        <f t="shared" si="272"/>
        <v>6.5973445387275412E-2</v>
      </c>
      <c r="R504" s="26">
        <f t="shared" si="273"/>
        <v>-8.639494198881394</v>
      </c>
      <c r="S504" s="26">
        <f t="shared" si="274"/>
        <v>1.7694507936414879E-4</v>
      </c>
      <c r="T504" s="26">
        <f t="shared" si="275"/>
        <v>1.0778944305643083</v>
      </c>
      <c r="U504" s="26">
        <f t="shared" si="276"/>
        <v>0.74609531710513666</v>
      </c>
      <c r="V504" s="26">
        <f t="shared" si="277"/>
        <v>0.13753178316111447</v>
      </c>
      <c r="W504" s="26">
        <f t="shared" si="278"/>
        <v>0.53432885201270675</v>
      </c>
      <c r="X504" s="26">
        <f t="shared" si="279"/>
        <v>0.10842480903390178</v>
      </c>
      <c r="Y504" s="26">
        <f t="shared" si="280"/>
        <v>1.0628109360548801</v>
      </c>
      <c r="Z504" s="26">
        <f t="shared" si="281"/>
        <v>0.7432273522782763</v>
      </c>
      <c r="AA504" s="26">
        <f t="shared" si="282"/>
        <v>-2.397011324427214</v>
      </c>
      <c r="AB504" s="26">
        <f t="shared" si="283"/>
        <v>8.3400882041830632E-2</v>
      </c>
      <c r="AC504" s="26">
        <f t="shared" si="284"/>
        <v>1.8319564987386259</v>
      </c>
      <c r="AD504" s="26">
        <f t="shared" si="285"/>
        <v>0.86199463657090436</v>
      </c>
      <c r="AE504" s="26">
        <f t="shared" si="286"/>
        <v>9.5227401675983848E-3</v>
      </c>
      <c r="AF504" s="26">
        <f t="shared" si="287"/>
        <v>-3.9913562225050048</v>
      </c>
      <c r="AG504" s="26">
        <f t="shared" si="288"/>
        <v>1.8139520265118208E-2</v>
      </c>
      <c r="AH504" s="26">
        <f t="shared" si="289"/>
        <v>-0.95080302125641436</v>
      </c>
      <c r="AI504" s="26">
        <f t="shared" si="290"/>
        <v>0.27872335659412822</v>
      </c>
      <c r="AJ504" s="26">
        <f t="shared" si="291"/>
        <v>-0.91653308566748515</v>
      </c>
      <c r="AK504" s="26">
        <f t="shared" si="292"/>
        <v>0.2856648283251737</v>
      </c>
      <c r="AL504" s="26">
        <f t="shared" si="293"/>
        <v>4.0802197071025482E-2</v>
      </c>
      <c r="AM504" s="27">
        <f t="shared" si="294"/>
        <v>0.22472319165980104</v>
      </c>
    </row>
    <row r="505" spans="1:39" ht="15" customHeight="1" x14ac:dyDescent="0.2">
      <c r="A505" s="24">
        <v>494</v>
      </c>
      <c r="B505" s="29">
        <f t="shared" si="295"/>
        <v>4.6574475766132988</v>
      </c>
      <c r="C505" s="29">
        <f t="shared" si="296"/>
        <v>-5.058690030749128</v>
      </c>
      <c r="D505" s="29">
        <f t="shared" si="297"/>
        <v>-3.5857282685964864</v>
      </c>
      <c r="E505" s="29">
        <f t="shared" si="298"/>
        <v>-2.0540841862596553</v>
      </c>
      <c r="F505" s="29">
        <f t="shared" si="299"/>
        <v>1.4710294707017211</v>
      </c>
      <c r="G505" s="29">
        <f t="shared" si="300"/>
        <v>-0.38971703119390877</v>
      </c>
      <c r="H505" s="29">
        <f t="shared" si="301"/>
        <v>4.4529967519026377</v>
      </c>
      <c r="I505" s="29">
        <f t="shared" si="302"/>
        <v>2.4633145575900905</v>
      </c>
      <c r="J505" s="29">
        <f t="shared" si="303"/>
        <v>-1.6833829938907272</v>
      </c>
      <c r="K505" s="26">
        <f t="shared" si="266"/>
        <v>-3.5857282685964864</v>
      </c>
      <c r="L505" s="26">
        <f t="shared" si="267"/>
        <v>2.6968989899029485E-2</v>
      </c>
      <c r="M505" s="26">
        <f t="shared" si="268"/>
        <v>-0.38971703119390877</v>
      </c>
      <c r="N505" s="26">
        <f t="shared" si="269"/>
        <v>0.40378542153804531</v>
      </c>
      <c r="O505" s="26">
        <f t="shared" si="270"/>
        <v>-0.56863966245093556</v>
      </c>
      <c r="P505" s="26">
        <f t="shared" si="271"/>
        <v>0.36155077485558812</v>
      </c>
      <c r="Q505" s="26">
        <f t="shared" si="272"/>
        <v>6.5359481399338087E-2</v>
      </c>
      <c r="R505" s="26">
        <f t="shared" si="273"/>
        <v>-8.6444182993456149</v>
      </c>
      <c r="S505" s="26">
        <f t="shared" si="274"/>
        <v>1.7607607871011091E-4</v>
      </c>
      <c r="T505" s="26">
        <f t="shared" si="275"/>
        <v>1.0813124395078124</v>
      </c>
      <c r="U505" s="26">
        <f t="shared" si="276"/>
        <v>0.74674226997159976</v>
      </c>
      <c r="V505" s="26">
        <f t="shared" si="277"/>
        <v>0.15686217670476799</v>
      </c>
      <c r="W505" s="26">
        <f t="shared" si="278"/>
        <v>0.53913533090934129</v>
      </c>
      <c r="X505" s="26">
        <f t="shared" si="279"/>
        <v>0.10619812160802118</v>
      </c>
      <c r="Y505" s="26">
        <f t="shared" si="280"/>
        <v>1.0717193080168124</v>
      </c>
      <c r="Z505" s="26">
        <f t="shared" si="281"/>
        <v>0.7449237431476553</v>
      </c>
      <c r="AA505" s="26">
        <f t="shared" si="282"/>
        <v>-2.4438012174535642</v>
      </c>
      <c r="AB505" s="26">
        <f t="shared" si="283"/>
        <v>7.9893037545451837E-2</v>
      </c>
      <c r="AC505" s="26">
        <f t="shared" si="284"/>
        <v>1.83056169719674</v>
      </c>
      <c r="AD505" s="26">
        <f t="shared" si="285"/>
        <v>0.86182862734962784</v>
      </c>
      <c r="AE505" s="26">
        <f t="shared" si="286"/>
        <v>9.5456641100440057E-3</v>
      </c>
      <c r="AF505" s="26">
        <f t="shared" si="287"/>
        <v>-3.9869707227323157</v>
      </c>
      <c r="AG505" s="26">
        <f t="shared" si="288"/>
        <v>1.8217793393893927E-2</v>
      </c>
      <c r="AH505" s="26">
        <f t="shared" si="289"/>
        <v>-0.97277174675184297</v>
      </c>
      <c r="AI505" s="26">
        <f t="shared" si="290"/>
        <v>0.27432837915307345</v>
      </c>
      <c r="AJ505" s="26">
        <f t="shared" si="291"/>
        <v>-0.92650212915302443</v>
      </c>
      <c r="AK505" s="26">
        <f t="shared" si="292"/>
        <v>0.28363489518656448</v>
      </c>
      <c r="AL505" s="26">
        <f t="shared" si="293"/>
        <v>4.0224376883746707E-2</v>
      </c>
      <c r="AM505" s="27">
        <f t="shared" si="294"/>
        <v>0.22132764400115001</v>
      </c>
    </row>
    <row r="506" spans="1:39" ht="15" customHeight="1" x14ac:dyDescent="0.2">
      <c r="A506" s="24">
        <v>495</v>
      </c>
      <c r="B506" s="29">
        <f t="shared" si="295"/>
        <v>4.6667791990493512</v>
      </c>
      <c r="C506" s="29">
        <f t="shared" si="296"/>
        <v>-5.063190309025841</v>
      </c>
      <c r="D506" s="29">
        <f t="shared" si="297"/>
        <v>-3.5860592152405757</v>
      </c>
      <c r="E506" s="29">
        <f t="shared" si="298"/>
        <v>-2.0793656207536393</v>
      </c>
      <c r="F506" s="29">
        <f t="shared" si="299"/>
        <v>1.4961141867548542</v>
      </c>
      <c r="G506" s="29">
        <f t="shared" si="300"/>
        <v>-0.41114529477819722</v>
      </c>
      <c r="H506" s="29">
        <f t="shared" si="301"/>
        <v>4.4619728162209187</v>
      </c>
      <c r="I506" s="29">
        <f t="shared" si="302"/>
        <v>2.5006301486576206</v>
      </c>
      <c r="J506" s="29">
        <f t="shared" si="303"/>
        <v>-1.6935073222616024</v>
      </c>
      <c r="K506" s="26">
        <f t="shared" si="266"/>
        <v>-3.5860592152405757</v>
      </c>
      <c r="L506" s="26">
        <f t="shared" si="267"/>
        <v>2.6960306667986437E-2</v>
      </c>
      <c r="M506" s="26">
        <f t="shared" si="268"/>
        <v>-0.41114529477819722</v>
      </c>
      <c r="N506" s="26">
        <f t="shared" si="269"/>
        <v>0.39863753276928965</v>
      </c>
      <c r="O506" s="26">
        <f t="shared" si="270"/>
        <v>-0.57636613396269154</v>
      </c>
      <c r="P506" s="26">
        <f t="shared" si="271"/>
        <v>0.35976917411998954</v>
      </c>
      <c r="Q506" s="26">
        <f t="shared" si="272"/>
        <v>6.4716929323489672E-2</v>
      </c>
      <c r="R506" s="26">
        <f t="shared" si="273"/>
        <v>-8.6492495242664162</v>
      </c>
      <c r="S506" s="26">
        <f t="shared" si="274"/>
        <v>1.7522761583816065E-4</v>
      </c>
      <c r="T506" s="26">
        <f t="shared" si="275"/>
        <v>1.0849688919766569</v>
      </c>
      <c r="U506" s="26">
        <f t="shared" si="276"/>
        <v>0.74743314779113768</v>
      </c>
      <c r="V506" s="26">
        <f t="shared" si="277"/>
        <v>0.17632840206950462</v>
      </c>
      <c r="W506" s="26">
        <f t="shared" si="278"/>
        <v>0.54396823887938917</v>
      </c>
      <c r="X506" s="26">
        <f t="shared" si="279"/>
        <v>0.10398248357538294</v>
      </c>
      <c r="Y506" s="26">
        <f t="shared" si="280"/>
        <v>1.0807199838087755</v>
      </c>
      <c r="Z506" s="26">
        <f t="shared" si="281"/>
        <v>0.74663020940711788</v>
      </c>
      <c r="AA506" s="26">
        <f t="shared" si="282"/>
        <v>-2.4905109155318366</v>
      </c>
      <c r="AB506" s="26">
        <f t="shared" si="283"/>
        <v>7.6526083219154356E-2</v>
      </c>
      <c r="AC506" s="26">
        <f t="shared" si="284"/>
        <v>1.8292998067387891</v>
      </c>
      <c r="AD506" s="26">
        <f t="shared" si="285"/>
        <v>0.86167829275679297</v>
      </c>
      <c r="AE506" s="26">
        <f t="shared" si="286"/>
        <v>9.5664473473377355E-3</v>
      </c>
      <c r="AF506" s="26">
        <f t="shared" si="287"/>
        <v>-3.9824703252170655</v>
      </c>
      <c r="AG506" s="26">
        <f t="shared" si="288"/>
        <v>1.8298461848217901E-2</v>
      </c>
      <c r="AH506" s="26">
        <f t="shared" si="289"/>
        <v>-0.99439672877698237</v>
      </c>
      <c r="AI506" s="26">
        <f t="shared" si="290"/>
        <v>0.27004451663116363</v>
      </c>
      <c r="AJ506" s="26">
        <f t="shared" si="291"/>
        <v>-0.93657862314863649</v>
      </c>
      <c r="AK506" s="26">
        <f t="shared" si="292"/>
        <v>0.28159196254360203</v>
      </c>
      <c r="AL506" s="26">
        <f t="shared" si="293"/>
        <v>3.9647016684578686E-2</v>
      </c>
      <c r="AM506" s="27">
        <f t="shared" si="294"/>
        <v>0.21791287693078903</v>
      </c>
    </row>
    <row r="507" spans="1:39" ht="15" customHeight="1" x14ac:dyDescent="0.2">
      <c r="A507" s="24">
        <v>496</v>
      </c>
      <c r="B507" s="29">
        <f t="shared" si="295"/>
        <v>4.6761291922180099</v>
      </c>
      <c r="C507" s="29">
        <f t="shared" si="296"/>
        <v>-5.0676678414163794</v>
      </c>
      <c r="D507" s="29">
        <f t="shared" si="297"/>
        <v>-3.586320677952783</v>
      </c>
      <c r="E507" s="29">
        <f t="shared" si="298"/>
        <v>-2.1045318861428637</v>
      </c>
      <c r="F507" s="29">
        <f t="shared" si="299"/>
        <v>1.5214369964748216</v>
      </c>
      <c r="G507" s="29">
        <f t="shared" si="300"/>
        <v>-0.43258523187641185</v>
      </c>
      <c r="H507" s="29">
        <f t="shared" si="301"/>
        <v>4.4710253684357735</v>
      </c>
      <c r="I507" s="29">
        <f t="shared" si="302"/>
        <v>2.5380288351645595</v>
      </c>
      <c r="J507" s="29">
        <f t="shared" si="303"/>
        <v>-1.7037276024091175</v>
      </c>
      <c r="K507" s="26">
        <f t="shared" si="266"/>
        <v>-3.586320677952783</v>
      </c>
      <c r="L507" s="26">
        <f t="shared" si="267"/>
        <v>2.6953448447661753E-2</v>
      </c>
      <c r="M507" s="26">
        <f t="shared" si="268"/>
        <v>-0.43258523187641185</v>
      </c>
      <c r="N507" s="26">
        <f t="shared" si="269"/>
        <v>0.39350917133273455</v>
      </c>
      <c r="O507" s="26">
        <f t="shared" si="270"/>
        <v>-0.58448042688860458</v>
      </c>
      <c r="P507" s="26">
        <f t="shared" si="271"/>
        <v>0.35790230040928739</v>
      </c>
      <c r="Q507" s="26">
        <f t="shared" si="272"/>
        <v>6.4047028319129895E-2</v>
      </c>
      <c r="R507" s="26">
        <f t="shared" si="273"/>
        <v>-8.6539885193691628</v>
      </c>
      <c r="S507" s="26">
        <f t="shared" si="274"/>
        <v>1.7439932203681583E-4</v>
      </c>
      <c r="T507" s="26">
        <f t="shared" si="275"/>
        <v>1.0888517645984097</v>
      </c>
      <c r="U507" s="26">
        <f t="shared" si="276"/>
        <v>0.74816543973404781</v>
      </c>
      <c r="V507" s="26">
        <f t="shared" si="277"/>
        <v>0.19591760090253296</v>
      </c>
      <c r="W507" s="26">
        <f t="shared" si="278"/>
        <v>0.5488233316709672</v>
      </c>
      <c r="X507" s="26">
        <f t="shared" si="279"/>
        <v>0.10178019302224303</v>
      </c>
      <c r="Y507" s="26">
        <f t="shared" si="280"/>
        <v>1.089808514265227</v>
      </c>
      <c r="Z507" s="26">
        <f t="shared" si="281"/>
        <v>0.74834566187970175</v>
      </c>
      <c r="AA507" s="26">
        <f t="shared" si="282"/>
        <v>-2.5371171180192755</v>
      </c>
      <c r="AB507" s="26">
        <f t="shared" si="283"/>
        <v>7.3296750547557493E-2</v>
      </c>
      <c r="AC507" s="26">
        <f t="shared" si="284"/>
        <v>1.8281741026274534</v>
      </c>
      <c r="AD507" s="26">
        <f t="shared" si="285"/>
        <v>0.86154406678552642</v>
      </c>
      <c r="AE507" s="26">
        <f t="shared" si="286"/>
        <v>9.5850227211453851E-3</v>
      </c>
      <c r="AF507" s="26">
        <f t="shared" si="287"/>
        <v>-3.9778593271511524</v>
      </c>
      <c r="AG507" s="26">
        <f t="shared" si="288"/>
        <v>1.8381476341309835E-2</v>
      </c>
      <c r="AH507" s="26">
        <f t="shared" si="289"/>
        <v>-1.015680121544454</v>
      </c>
      <c r="AI507" s="26">
        <f t="shared" si="290"/>
        <v>0.26586971417204747</v>
      </c>
      <c r="AJ507" s="26">
        <f t="shared" si="291"/>
        <v>-0.94675855441220325</v>
      </c>
      <c r="AK507" s="26">
        <f t="shared" si="292"/>
        <v>0.27953716985734706</v>
      </c>
      <c r="AL507" s="26">
        <f t="shared" si="293"/>
        <v>3.9070514665927647E-2</v>
      </c>
      <c r="AM507" s="27">
        <f t="shared" si="294"/>
        <v>0.21448275872844597</v>
      </c>
    </row>
    <row r="508" spans="1:39" ht="15" customHeight="1" x14ac:dyDescent="0.2">
      <c r="A508" s="24">
        <v>497</v>
      </c>
      <c r="B508" s="29">
        <f t="shared" si="295"/>
        <v>4.6854938568284519</v>
      </c>
      <c r="C508" s="29">
        <f t="shared" si="296"/>
        <v>-5.0721224711396893</v>
      </c>
      <c r="D508" s="29">
        <f t="shared" si="297"/>
        <v>-3.5865135379481692</v>
      </c>
      <c r="E508" s="29">
        <f t="shared" si="298"/>
        <v>-2.1295734199482963</v>
      </c>
      <c r="F508" s="29">
        <f t="shared" si="299"/>
        <v>1.5469721037611366</v>
      </c>
      <c r="G508" s="29">
        <f t="shared" si="300"/>
        <v>-0.45402312588471183</v>
      </c>
      <c r="H508" s="29">
        <f t="shared" si="301"/>
        <v>4.4801526820670059</v>
      </c>
      <c r="I508" s="29">
        <f t="shared" si="302"/>
        <v>2.575489903335956</v>
      </c>
      <c r="J508" s="29">
        <f t="shared" si="303"/>
        <v>-1.7140396804744975</v>
      </c>
      <c r="K508" s="26">
        <f t="shared" si="266"/>
        <v>-3.5865135379481692</v>
      </c>
      <c r="L508" s="26">
        <f t="shared" si="267"/>
        <v>2.6948390777700514E-2</v>
      </c>
      <c r="M508" s="26">
        <f t="shared" si="268"/>
        <v>-0.45402312588471183</v>
      </c>
      <c r="N508" s="26">
        <f t="shared" si="269"/>
        <v>0.3884046586926978</v>
      </c>
      <c r="O508" s="26">
        <f t="shared" si="270"/>
        <v>-0.59297449838270166</v>
      </c>
      <c r="P508" s="26">
        <f t="shared" si="271"/>
        <v>0.35595265767427786</v>
      </c>
      <c r="Q508" s="26">
        <f t="shared" si="272"/>
        <v>6.3351147252690823E-2</v>
      </c>
      <c r="R508" s="26">
        <f t="shared" si="273"/>
        <v>-8.6586360090878589</v>
      </c>
      <c r="S508" s="26">
        <f t="shared" si="274"/>
        <v>1.7359082387805272E-4</v>
      </c>
      <c r="T508" s="26">
        <f t="shared" si="275"/>
        <v>1.0929489778764248</v>
      </c>
      <c r="U508" s="26">
        <f t="shared" si="276"/>
        <v>0.74893662651506376</v>
      </c>
      <c r="V508" s="26">
        <f t="shared" si="277"/>
        <v>0.2156167527487205</v>
      </c>
      <c r="W508" s="26">
        <f t="shared" si="278"/>
        <v>0.55369631810119047</v>
      </c>
      <c r="X508" s="26">
        <f t="shared" si="279"/>
        <v>9.9593488238216885E-2</v>
      </c>
      <c r="Y508" s="26">
        <f t="shared" si="280"/>
        <v>1.0989803188802827</v>
      </c>
      <c r="Z508" s="26">
        <f t="shared" si="281"/>
        <v>0.75006899931554549</v>
      </c>
      <c r="AA508" s="26">
        <f t="shared" si="282"/>
        <v>-2.5835965458330081</v>
      </c>
      <c r="AB508" s="26">
        <f t="shared" si="283"/>
        <v>7.0201609126975234E-2</v>
      </c>
      <c r="AC508" s="26">
        <f t="shared" si="284"/>
        <v>1.8271874940488211</v>
      </c>
      <c r="AD508" s="26">
        <f t="shared" si="285"/>
        <v>0.86142633632014176</v>
      </c>
      <c r="AE508" s="26">
        <f t="shared" si="286"/>
        <v>9.6013301328292319E-3</v>
      </c>
      <c r="AF508" s="26">
        <f t="shared" si="287"/>
        <v>-3.9731421522594066</v>
      </c>
      <c r="AG508" s="26">
        <f t="shared" si="288"/>
        <v>1.8466784799479764E-2</v>
      </c>
      <c r="AH508" s="26">
        <f t="shared" si="289"/>
        <v>-1.0366244420718715</v>
      </c>
      <c r="AI508" s="26">
        <f t="shared" si="290"/>
        <v>0.26180183502438692</v>
      </c>
      <c r="AJ508" s="26">
        <f t="shared" si="291"/>
        <v>-0.95703768224581998</v>
      </c>
      <c r="AK508" s="26">
        <f t="shared" si="292"/>
        <v>0.27747169208497241</v>
      </c>
      <c r="AL508" s="26">
        <f t="shared" si="293"/>
        <v>3.8495269954248873E-2</v>
      </c>
      <c r="AM508" s="27">
        <f t="shared" si="294"/>
        <v>0.21104123557798582</v>
      </c>
    </row>
    <row r="509" spans="1:39" ht="15" customHeight="1" x14ac:dyDescent="0.2">
      <c r="A509" s="24">
        <v>498</v>
      </c>
      <c r="B509" s="29">
        <f t="shared" si="295"/>
        <v>4.6948694572122811</v>
      </c>
      <c r="C509" s="29">
        <f t="shared" si="296"/>
        <v>-5.07655403771086</v>
      </c>
      <c r="D509" s="29">
        <f t="shared" si="297"/>
        <v>-3.586638761308091</v>
      </c>
      <c r="E509" s="29">
        <f t="shared" si="298"/>
        <v>-2.1544809765241322</v>
      </c>
      <c r="F509" s="29">
        <f t="shared" si="299"/>
        <v>1.5726935003145635</v>
      </c>
      <c r="G509" s="29">
        <f t="shared" si="300"/>
        <v>-0.47544504912831703</v>
      </c>
      <c r="H509" s="29">
        <f t="shared" si="301"/>
        <v>4.4893529091096891</v>
      </c>
      <c r="I509" s="29">
        <f t="shared" si="302"/>
        <v>2.6129925228652238</v>
      </c>
      <c r="J509" s="29">
        <f t="shared" si="303"/>
        <v>-1.7244390282738544</v>
      </c>
      <c r="K509" s="26">
        <f t="shared" si="266"/>
        <v>-3.586638761308091</v>
      </c>
      <c r="L509" s="26">
        <f t="shared" si="267"/>
        <v>2.6945107343346493E-2</v>
      </c>
      <c r="M509" s="26">
        <f t="shared" si="268"/>
        <v>-0.47544504912831703</v>
      </c>
      <c r="N509" s="26">
        <f t="shared" si="269"/>
        <v>0.38332828587266587</v>
      </c>
      <c r="O509" s="26">
        <f t="shared" si="270"/>
        <v>-0.60183898744771014</v>
      </c>
      <c r="P509" s="26">
        <f t="shared" si="271"/>
        <v>0.35392307521324851</v>
      </c>
      <c r="Q509" s="26">
        <f t="shared" si="272"/>
        <v>6.2630771584201383E-2</v>
      </c>
      <c r="R509" s="26">
        <f t="shared" si="273"/>
        <v>-8.663192799018951</v>
      </c>
      <c r="S509" s="26">
        <f t="shared" si="274"/>
        <v>1.7280174285240832E-4</v>
      </c>
      <c r="T509" s="26">
        <f t="shared" si="275"/>
        <v>1.0972484511862464</v>
      </c>
      <c r="U509" s="26">
        <f t="shared" si="276"/>
        <v>0.74974419329210773</v>
      </c>
      <c r="V509" s="26">
        <f t="shared" si="277"/>
        <v>0.23541271086701587</v>
      </c>
      <c r="W509" s="26">
        <f t="shared" si="278"/>
        <v>0.55858287620943692</v>
      </c>
      <c r="X509" s="26">
        <f t="shared" si="279"/>
        <v>9.7424538587766646E-2</v>
      </c>
      <c r="Y509" s="26">
        <f t="shared" si="280"/>
        <v>1.1082306959041901</v>
      </c>
      <c r="Z509" s="26">
        <f t="shared" si="281"/>
        <v>0.75179911134019073</v>
      </c>
      <c r="AA509" s="26">
        <f t="shared" si="282"/>
        <v>-2.6299260256524493</v>
      </c>
      <c r="AB509" s="26">
        <f t="shared" si="283"/>
        <v>6.7237089834009583E-2</v>
      </c>
      <c r="AC509" s="26">
        <f t="shared" si="284"/>
        <v>1.8263425122827945</v>
      </c>
      <c r="AD509" s="26">
        <f t="shared" si="285"/>
        <v>0.86132543919101945</v>
      </c>
      <c r="AE509" s="26">
        <f t="shared" si="286"/>
        <v>9.6153169077818224E-3</v>
      </c>
      <c r="AF509" s="26">
        <f t="shared" si="287"/>
        <v>-3.9683233418066699</v>
      </c>
      <c r="AG509" s="26">
        <f t="shared" si="288"/>
        <v>1.8554332391578218E-2</v>
      </c>
      <c r="AH509" s="26">
        <f t="shared" si="289"/>
        <v>-1.0572325253378858</v>
      </c>
      <c r="AI509" s="26">
        <f t="shared" si="290"/>
        <v>0.25783867781040887</v>
      </c>
      <c r="AJ509" s="26">
        <f t="shared" si="291"/>
        <v>-0.96741154495108073</v>
      </c>
      <c r="AK509" s="26">
        <f t="shared" si="292"/>
        <v>0.27539673673465948</v>
      </c>
      <c r="AL509" s="26">
        <f t="shared" si="293"/>
        <v>3.7921681302049669E-2</v>
      </c>
      <c r="AM509" s="27">
        <f t="shared" si="294"/>
        <v>0.20759230838179954</v>
      </c>
    </row>
    <row r="510" spans="1:39" ht="15" customHeight="1" x14ac:dyDescent="0.2">
      <c r="A510" s="24">
        <v>499</v>
      </c>
      <c r="B510" s="29">
        <f t="shared" si="295"/>
        <v>4.7042522330512986</v>
      </c>
      <c r="C510" s="29">
        <f t="shared" si="296"/>
        <v>-5.0809623780774444</v>
      </c>
      <c r="D510" s="29">
        <f t="shared" si="297"/>
        <v>-3.5866973996214151</v>
      </c>
      <c r="E510" s="29">
        <f t="shared" si="298"/>
        <v>-2.1792456372992972</v>
      </c>
      <c r="F510" s="29">
        <f t="shared" si="299"/>
        <v>1.5985750929753524</v>
      </c>
      <c r="G510" s="29">
        <f t="shared" si="300"/>
        <v>-0.49683694108967247</v>
      </c>
      <c r="H510" s="29">
        <f t="shared" si="301"/>
        <v>4.4986240845466368</v>
      </c>
      <c r="I510" s="29">
        <f t="shared" si="302"/>
        <v>2.6505158126995054</v>
      </c>
      <c r="J510" s="29">
        <f t="shared" si="303"/>
        <v>-1.7349207768455099</v>
      </c>
      <c r="K510" s="26">
        <f t="shared" si="266"/>
        <v>-3.5866973996214151</v>
      </c>
      <c r="L510" s="26">
        <f t="shared" si="267"/>
        <v>2.6943569944037328E-2</v>
      </c>
      <c r="M510" s="26">
        <f t="shared" si="268"/>
        <v>-0.49683694108967247</v>
      </c>
      <c r="N510" s="26">
        <f t="shared" si="269"/>
        <v>0.3782842868015146</v>
      </c>
      <c r="O510" s="26">
        <f t="shared" si="270"/>
        <v>-0.61106330030842737</v>
      </c>
      <c r="P510" s="26">
        <f t="shared" si="271"/>
        <v>0.35181668291594892</v>
      </c>
      <c r="Q510" s="26">
        <f t="shared" si="272"/>
        <v>6.1887489188990674E-2</v>
      </c>
      <c r="R510" s="26">
        <f t="shared" si="273"/>
        <v>-8.6676597776988586</v>
      </c>
      <c r="S510" s="26">
        <f t="shared" si="274"/>
        <v>1.7203169511665698E-4</v>
      </c>
      <c r="T510" s="26">
        <f t="shared" si="275"/>
        <v>1.1017381518856799</v>
      </c>
      <c r="U510" s="26">
        <f t="shared" si="276"/>
        <v>0.75058564121784976</v>
      </c>
      <c r="V510" s="26">
        <f t="shared" si="277"/>
        <v>0.25529223991455563</v>
      </c>
      <c r="W510" s="26">
        <f t="shared" si="278"/>
        <v>0.56347866998095975</v>
      </c>
      <c r="X510" s="26">
        <f t="shared" si="279"/>
        <v>9.5275435780795933E-2</v>
      </c>
      <c r="Y510" s="26">
        <f t="shared" si="280"/>
        <v>1.1175548334298835</v>
      </c>
      <c r="Z510" s="26">
        <f t="shared" si="281"/>
        <v>0.75353488153170445</v>
      </c>
      <c r="AA510" s="26">
        <f t="shared" si="282"/>
        <v>-2.6760825783889697</v>
      </c>
      <c r="AB510" s="26">
        <f t="shared" si="283"/>
        <v>6.4399507328615546E-2</v>
      </c>
      <c r="AC510" s="26">
        <f t="shared" si="284"/>
        <v>1.8256413022635658</v>
      </c>
      <c r="AD510" s="26">
        <f t="shared" si="285"/>
        <v>0.86124166269007363</v>
      </c>
      <c r="AE510" s="26">
        <f t="shared" si="286"/>
        <v>9.6269380865076533E-3</v>
      </c>
      <c r="AF510" s="26">
        <f t="shared" si="287"/>
        <v>-3.963407544647561</v>
      </c>
      <c r="AG510" s="26">
        <f t="shared" si="288"/>
        <v>1.8644061578137385E-2</v>
      </c>
      <c r="AH510" s="26">
        <f t="shared" si="289"/>
        <v>-1.0775074854136173</v>
      </c>
      <c r="AI510" s="26">
        <f t="shared" si="290"/>
        <v>0.25397799164003465</v>
      </c>
      <c r="AJ510" s="26">
        <f t="shared" si="291"/>
        <v>-0.97787546947675585</v>
      </c>
      <c r="AK510" s="26">
        <f t="shared" si="292"/>
        <v>0.27331354029105592</v>
      </c>
      <c r="AL510" s="26">
        <f t="shared" si="293"/>
        <v>3.7350145653215323E-2</v>
      </c>
      <c r="AM510" s="27">
        <f t="shared" si="294"/>
        <v>0.2041400087095096</v>
      </c>
    </row>
    <row r="511" spans="1:39" ht="15" customHeight="1" x14ac:dyDescent="0.2">
      <c r="A511" s="24">
        <v>500</v>
      </c>
      <c r="B511" s="29">
        <f t="shared" si="295"/>
        <v>4.7136384112770013</v>
      </c>
      <c r="C511" s="29">
        <f t="shared" si="296"/>
        <v>-5.0853473277731576</v>
      </c>
      <c r="D511" s="29">
        <f t="shared" si="297"/>
        <v>-3.586690589913669</v>
      </c>
      <c r="E511" s="29">
        <f t="shared" si="298"/>
        <v>-2.2038588209364347</v>
      </c>
      <c r="F511" s="29">
        <f t="shared" si="299"/>
        <v>1.6245908283877051</v>
      </c>
      <c r="G511" s="29">
        <f t="shared" si="300"/>
        <v>-0.51818468931333117</v>
      </c>
      <c r="H511" s="29">
        <f t="shared" si="301"/>
        <v>4.5079641315268333</v>
      </c>
      <c r="I511" s="29">
        <f t="shared" si="302"/>
        <v>2.6880389098664264</v>
      </c>
      <c r="J511" s="29">
        <f t="shared" si="303"/>
        <v>-1.7454797511315385</v>
      </c>
      <c r="K511" s="26">
        <f t="shared" si="266"/>
        <v>-3.586690589913669</v>
      </c>
      <c r="L511" s="26">
        <f t="shared" si="267"/>
        <v>2.6943748478901478E-2</v>
      </c>
      <c r="M511" s="26">
        <f t="shared" si="268"/>
        <v>-0.51818468931333117</v>
      </c>
      <c r="N511" s="26">
        <f t="shared" si="269"/>
        <v>0.3732768119208138</v>
      </c>
      <c r="O511" s="26">
        <f t="shared" si="270"/>
        <v>-0.62063570482573072</v>
      </c>
      <c r="P511" s="26">
        <f t="shared" si="271"/>
        <v>0.34963688409867338</v>
      </c>
      <c r="Q511" s="26">
        <f t="shared" si="272"/>
        <v>6.1122975361114586E-2</v>
      </c>
      <c r="R511" s="26">
        <f t="shared" si="273"/>
        <v>-8.6720379176868256</v>
      </c>
      <c r="S511" s="26">
        <f t="shared" si="274"/>
        <v>1.7128029135344097E-4</v>
      </c>
      <c r="T511" s="26">
        <f t="shared" si="275"/>
        <v>1.106406139074374</v>
      </c>
      <c r="U511" s="26">
        <f t="shared" si="276"/>
        <v>0.75145849773995299</v>
      </c>
      <c r="V511" s="26">
        <f t="shared" si="277"/>
        <v>0.27524205535308588</v>
      </c>
      <c r="W511" s="26">
        <f t="shared" si="278"/>
        <v>0.5683793665117578</v>
      </c>
      <c r="X511" s="26">
        <f t="shared" si="279"/>
        <v>9.3148185626395749E-2</v>
      </c>
      <c r="Y511" s="26">
        <f t="shared" si="280"/>
        <v>1.1269478213633324</v>
      </c>
      <c r="Z511" s="26">
        <f t="shared" si="281"/>
        <v>0.75527519059590476</v>
      </c>
      <c r="AA511" s="26">
        <f t="shared" si="282"/>
        <v>-2.7220435102497658</v>
      </c>
      <c r="AB511" s="26">
        <f t="shared" si="283"/>
        <v>6.1685081828038418E-2</v>
      </c>
      <c r="AC511" s="26">
        <f t="shared" si="284"/>
        <v>1.825085617618954</v>
      </c>
      <c r="AD511" s="26">
        <f t="shared" si="285"/>
        <v>0.86117524256482647</v>
      </c>
      <c r="AE511" s="26">
        <f t="shared" si="286"/>
        <v>9.6361566384673848E-3</v>
      </c>
      <c r="AF511" s="26">
        <f t="shared" si="287"/>
        <v>-3.9583995064098252</v>
      </c>
      <c r="AG511" s="26">
        <f t="shared" si="288"/>
        <v>1.8735912179751849E-2</v>
      </c>
      <c r="AH511" s="26">
        <f t="shared" si="289"/>
        <v>-1.0974526818620607</v>
      </c>
      <c r="AI511" s="26">
        <f t="shared" si="290"/>
        <v>0.25021748930228171</v>
      </c>
      <c r="AJ511" s="26">
        <f t="shared" si="291"/>
        <v>-0.98842458388016086</v>
      </c>
      <c r="AK511" s="26">
        <f t="shared" si="292"/>
        <v>0.27122336411383402</v>
      </c>
      <c r="AL511" s="26">
        <f t="shared" si="293"/>
        <v>3.6781056620612693E-2</v>
      </c>
      <c r="AM511" s="27">
        <f t="shared" si="294"/>
        <v>0.20068837424659042</v>
      </c>
    </row>
    <row r="512" spans="1:39" ht="15" customHeight="1" x14ac:dyDescent="0.2">
      <c r="A512" s="24">
        <v>501</v>
      </c>
      <c r="B512" s="29">
        <f t="shared" si="295"/>
        <v>4.7230242180286481</v>
      </c>
      <c r="C512" s="29">
        <f t="shared" si="296"/>
        <v>-5.0897087220747572</v>
      </c>
      <c r="D512" s="29">
        <f t="shared" si="297"/>
        <v>-3.5866195538712238</v>
      </c>
      <c r="E512" s="29">
        <f t="shared" si="298"/>
        <v>-2.2283122932303479</v>
      </c>
      <c r="F512" s="29">
        <f t="shared" si="299"/>
        <v>1.6507148140323769</v>
      </c>
      <c r="G512" s="29">
        <f t="shared" si="300"/>
        <v>-0.53947421148264052</v>
      </c>
      <c r="H512" s="29">
        <f t="shared" si="301"/>
        <v>4.5173708671570072</v>
      </c>
      <c r="I512" s="29">
        <f t="shared" si="302"/>
        <v>2.7255410405441372</v>
      </c>
      <c r="J512" s="29">
        <f t="shared" si="303"/>
        <v>-1.7561105054290345</v>
      </c>
      <c r="K512" s="26">
        <f t="shared" si="266"/>
        <v>-3.5866195538712238</v>
      </c>
      <c r="L512" s="26">
        <f t="shared" si="267"/>
        <v>2.6945610949025898E-2</v>
      </c>
      <c r="M512" s="26">
        <f t="shared" si="268"/>
        <v>-0.53947421148264052</v>
      </c>
      <c r="N512" s="26">
        <f t="shared" si="269"/>
        <v>0.36830990254820634</v>
      </c>
      <c r="O512" s="26">
        <f t="shared" si="270"/>
        <v>-0.63054343249621003</v>
      </c>
      <c r="P512" s="26">
        <f t="shared" si="271"/>
        <v>0.34738732635193009</v>
      </c>
      <c r="Q512" s="26">
        <f t="shared" si="272"/>
        <v>6.0338977254971192E-2</v>
      </c>
      <c r="R512" s="26">
        <f t="shared" si="273"/>
        <v>-8.6763282759459806</v>
      </c>
      <c r="S512" s="26">
        <f t="shared" si="274"/>
        <v>1.7054713674059853E-4</v>
      </c>
      <c r="T512" s="26">
        <f t="shared" si="275"/>
        <v>1.1112406025497363</v>
      </c>
      <c r="U512" s="26">
        <f t="shared" si="276"/>
        <v>0.75236032575166434</v>
      </c>
      <c r="V512" s="26">
        <f t="shared" si="277"/>
        <v>0.29524886435127162</v>
      </c>
      <c r="W512" s="26">
        <f t="shared" si="278"/>
        <v>0.57328065346257007</v>
      </c>
      <c r="X512" s="26">
        <f t="shared" si="279"/>
        <v>9.1044700354665609E-2</v>
      </c>
      <c r="Y512" s="26">
        <f t="shared" si="280"/>
        <v>1.1364046641574244</v>
      </c>
      <c r="Z512" s="26">
        <f t="shared" si="281"/>
        <v>0.7570189196071595</v>
      </c>
      <c r="AA512" s="26">
        <f t="shared" si="282"/>
        <v>-2.7677865047129884</v>
      </c>
      <c r="AB512" s="26">
        <f t="shared" si="283"/>
        <v>5.9089960080808676E-2</v>
      </c>
      <c r="AC512" s="26">
        <f t="shared" si="284"/>
        <v>1.8246768191753791</v>
      </c>
      <c r="AD512" s="26">
        <f t="shared" si="285"/>
        <v>0.86112636249537122</v>
      </c>
      <c r="AE512" s="26">
        <f t="shared" si="286"/>
        <v>9.6429435968835176E-3</v>
      </c>
      <c r="AF512" s="26">
        <f t="shared" si="287"/>
        <v>-3.9533040579173329</v>
      </c>
      <c r="AG512" s="26">
        <f t="shared" si="288"/>
        <v>1.882982146394812E-2</v>
      </c>
      <c r="AH512" s="26">
        <f t="shared" si="289"/>
        <v>-1.1170716906806115</v>
      </c>
      <c r="AI512" s="26">
        <f t="shared" si="290"/>
        <v>0.24655485876139799</v>
      </c>
      <c r="AJ512" s="26">
        <f t="shared" si="291"/>
        <v>-0.99905383221427413</v>
      </c>
      <c r="AK512" s="26">
        <f t="shared" si="292"/>
        <v>0.2691274899119751</v>
      </c>
      <c r="AL512" s="26">
        <f t="shared" si="293"/>
        <v>3.6214802913160128E-2</v>
      </c>
      <c r="AM512" s="27">
        <f t="shared" si="294"/>
        <v>0.19724142411968046</v>
      </c>
    </row>
    <row r="513" spans="1:39" ht="15" customHeight="1" x14ac:dyDescent="0.2">
      <c r="A513" s="24">
        <v>502</v>
      </c>
      <c r="B513" s="29">
        <f t="shared" si="295"/>
        <v>4.7324058905561373</v>
      </c>
      <c r="C513" s="29">
        <f t="shared" si="296"/>
        <v>-5.0940463971491559</v>
      </c>
      <c r="D513" s="29">
        <f t="shared" si="297"/>
        <v>-3.5864855963763693</v>
      </c>
      <c r="E513" s="29">
        <f t="shared" si="298"/>
        <v>-2.2525981765677745</v>
      </c>
      <c r="F513" s="29">
        <f t="shared" si="299"/>
        <v>1.6769214346912136</v>
      </c>
      <c r="G513" s="29">
        <f t="shared" si="300"/>
        <v>-0.56069153720097242</v>
      </c>
      <c r="H513" s="29">
        <f t="shared" si="301"/>
        <v>4.5268420088464811</v>
      </c>
      <c r="I513" s="29">
        <f t="shared" si="302"/>
        <v>2.7630015925031679</v>
      </c>
      <c r="J513" s="29">
        <f t="shared" si="303"/>
        <v>-1.7668073592731992</v>
      </c>
      <c r="K513" s="26">
        <f t="shared" si="266"/>
        <v>-3.5864855963763693</v>
      </c>
      <c r="L513" s="26">
        <f t="shared" si="267"/>
        <v>2.6949123476170986E-2</v>
      </c>
      <c r="M513" s="26">
        <f t="shared" si="268"/>
        <v>-0.56069153720097242</v>
      </c>
      <c r="N513" s="26">
        <f t="shared" si="269"/>
        <v>0.36338746645751846</v>
      </c>
      <c r="O513" s="26">
        <f t="shared" si="270"/>
        <v>-0.64077278650186242</v>
      </c>
      <c r="P513" s="26">
        <f t="shared" si="271"/>
        <v>0.34507187084652202</v>
      </c>
      <c r="Q513" s="26">
        <f t="shared" si="272"/>
        <v>5.9537298024759384E-2</v>
      </c>
      <c r="R513" s="26">
        <f t="shared" si="273"/>
        <v>-8.6805319935255252</v>
      </c>
      <c r="S513" s="26">
        <f t="shared" si="274"/>
        <v>1.6983183102657856E-4</v>
      </c>
      <c r="T513" s="26">
        <f t="shared" si="275"/>
        <v>1.1162298974902412</v>
      </c>
      <c r="U513" s="26">
        <f t="shared" si="276"/>
        <v>0.75328873169437771</v>
      </c>
      <c r="V513" s="26">
        <f t="shared" si="277"/>
        <v>0.31529940788018829</v>
      </c>
      <c r="W513" s="26">
        <f t="shared" si="278"/>
        <v>0.5781782566300897</v>
      </c>
      <c r="X513" s="26">
        <f t="shared" si="279"/>
        <v>8.8966791589815228E-2</v>
      </c>
      <c r="Y513" s="26">
        <f t="shared" si="280"/>
        <v>1.1459202941797679</v>
      </c>
      <c r="Z513" s="26">
        <f t="shared" si="281"/>
        <v>0.75876495328147286</v>
      </c>
      <c r="AA513" s="26">
        <f t="shared" si="282"/>
        <v>-2.8132897137687469</v>
      </c>
      <c r="AB513" s="26">
        <f t="shared" si="283"/>
        <v>5.6610235465481051E-2</v>
      </c>
      <c r="AC513" s="26">
        <f t="shared" si="284"/>
        <v>1.8244158768249132</v>
      </c>
      <c r="AD513" s="26">
        <f t="shared" si="285"/>
        <v>0.86109515404602444</v>
      </c>
      <c r="AE513" s="26">
        <f t="shared" si="286"/>
        <v>9.6472781147488411E-3</v>
      </c>
      <c r="AF513" s="26">
        <f t="shared" si="287"/>
        <v>-3.9481261029693879</v>
      </c>
      <c r="AG513" s="26">
        <f t="shared" si="288"/>
        <v>1.8925724249551554E-2</v>
      </c>
      <c r="AH513" s="26">
        <f t="shared" si="289"/>
        <v>-1.1363682790775333</v>
      </c>
      <c r="AI513" s="26">
        <f t="shared" si="290"/>
        <v>0.24298777317341322</v>
      </c>
      <c r="AJ513" s="26">
        <f t="shared" si="291"/>
        <v>-1.0097579914555452</v>
      </c>
      <c r="AK513" s="26">
        <f t="shared" si="292"/>
        <v>0.26702721489370584</v>
      </c>
      <c r="AL513" s="26">
        <f t="shared" si="293"/>
        <v>3.5651766746944681E-2</v>
      </c>
      <c r="AM513" s="27">
        <f t="shared" si="294"/>
        <v>0.19380313447626812</v>
      </c>
    </row>
    <row r="514" spans="1:39" ht="15" customHeight="1" x14ac:dyDescent="0.2">
      <c r="A514" s="24">
        <v>503</v>
      </c>
      <c r="B514" s="29">
        <f t="shared" si="295"/>
        <v>4.7417796889564086</v>
      </c>
      <c r="C514" s="29">
        <f t="shared" si="296"/>
        <v>-5.0983601911790268</v>
      </c>
      <c r="D514" s="29">
        <f t="shared" si="297"/>
        <v>-3.5862901033767307</v>
      </c>
      <c r="E514" s="29">
        <f t="shared" si="298"/>
        <v>-2.2767089587757217</v>
      </c>
      <c r="F514" s="29">
        <f t="shared" si="299"/>
        <v>1.7031854634457346</v>
      </c>
      <c r="G514" s="29">
        <f t="shared" si="300"/>
        <v>-0.58182288808523852</v>
      </c>
      <c r="H514" s="29">
        <f t="shared" si="301"/>
        <v>4.5363751811402535</v>
      </c>
      <c r="I514" s="29">
        <f t="shared" si="302"/>
        <v>2.8004001880004341</v>
      </c>
      <c r="J514" s="29">
        <f t="shared" si="303"/>
        <v>-1.7775644334391199</v>
      </c>
      <c r="K514" s="26">
        <f t="shared" si="266"/>
        <v>-3.5862901033767307</v>
      </c>
      <c r="L514" s="26">
        <f t="shared" si="267"/>
        <v>2.6954250337444686E-2</v>
      </c>
      <c r="M514" s="26">
        <f t="shared" si="268"/>
        <v>-0.58182288808523852</v>
      </c>
      <c r="N514" s="26">
        <f t="shared" si="269"/>
        <v>0.35851325508977738</v>
      </c>
      <c r="O514" s="26">
        <f t="shared" si="270"/>
        <v>-0.65130925422803432</v>
      </c>
      <c r="P514" s="26">
        <f t="shared" si="271"/>
        <v>0.34269456055787989</v>
      </c>
      <c r="Q514" s="26">
        <f t="shared" si="272"/>
        <v>5.8719780917979206E-2</v>
      </c>
      <c r="R514" s="26">
        <f t="shared" si="273"/>
        <v>-8.6846502945557571</v>
      </c>
      <c r="S514" s="26">
        <f t="shared" si="274"/>
        <v>1.6913396870722966E-4</v>
      </c>
      <c r="T514" s="26">
        <f t="shared" si="275"/>
        <v>1.1213625753604961</v>
      </c>
      <c r="U514" s="26">
        <f t="shared" si="276"/>
        <v>0.75424137270922531</v>
      </c>
      <c r="V514" s="26">
        <f t="shared" si="277"/>
        <v>0.33538050363143168</v>
      </c>
      <c r="W514" s="26">
        <f t="shared" si="278"/>
        <v>0.58306795744804107</v>
      </c>
      <c r="X514" s="26">
        <f t="shared" si="279"/>
        <v>8.691616405327425E-2</v>
      </c>
      <c r="Y514" s="26">
        <f t="shared" si="280"/>
        <v>1.1554895855796778</v>
      </c>
      <c r="Z514" s="26">
        <f t="shared" si="281"/>
        <v>0.76051218324877834</v>
      </c>
      <c r="AA514" s="26">
        <f t="shared" si="282"/>
        <v>-2.8585318468609602</v>
      </c>
      <c r="AB514" s="26">
        <f t="shared" si="283"/>
        <v>5.424196713749637E-2</v>
      </c>
      <c r="AC514" s="26">
        <f t="shared" si="284"/>
        <v>1.8243033745747848</v>
      </c>
      <c r="AD514" s="26">
        <f t="shared" si="285"/>
        <v>0.86108169707262971</v>
      </c>
      <c r="AE514" s="26">
        <f t="shared" si="286"/>
        <v>9.6491474441103078E-3</v>
      </c>
      <c r="AF514" s="26">
        <f t="shared" si="287"/>
        <v>-3.942870605599349</v>
      </c>
      <c r="AG514" s="26">
        <f t="shared" si="288"/>
        <v>1.9023553027375347E-2</v>
      </c>
      <c r="AH514" s="26">
        <f t="shared" si="289"/>
        <v>-1.1553463834152256</v>
      </c>
      <c r="AI514" s="26">
        <f t="shared" si="290"/>
        <v>0.23951389962166209</v>
      </c>
      <c r="AJ514" s="26">
        <f t="shared" si="291"/>
        <v>-1.0205316900994092</v>
      </c>
      <c r="AK514" s="26">
        <f t="shared" si="292"/>
        <v>0.2649238466872208</v>
      </c>
      <c r="AL514" s="26">
        <f t="shared" si="293"/>
        <v>3.5092322271777034E-2</v>
      </c>
      <c r="AM514" s="27">
        <f t="shared" si="294"/>
        <v>0.19037741468714078</v>
      </c>
    </row>
    <row r="515" spans="1:39" ht="15" customHeight="1" x14ac:dyDescent="0.2">
      <c r="A515" s="24">
        <v>504</v>
      </c>
      <c r="B515" s="29">
        <f t="shared" si="295"/>
        <v>4.7511419076371677</v>
      </c>
      <c r="C515" s="29">
        <f t="shared" si="296"/>
        <v>-5.1026499454564105</v>
      </c>
      <c r="D515" s="29">
        <f t="shared" si="297"/>
        <v>-3.5860345391190367</v>
      </c>
      <c r="E515" s="29">
        <f t="shared" si="298"/>
        <v>-2.3006375011955114</v>
      </c>
      <c r="F515" s="29">
        <f t="shared" si="299"/>
        <v>1.7294821663676827</v>
      </c>
      <c r="G515" s="29">
        <f t="shared" si="300"/>
        <v>-0.6028547548869454</v>
      </c>
      <c r="H515" s="29">
        <f t="shared" si="301"/>
        <v>4.5459679229718182</v>
      </c>
      <c r="I515" s="29">
        <f t="shared" si="302"/>
        <v>2.8377167561837355</v>
      </c>
      <c r="J515" s="29">
        <f t="shared" si="303"/>
        <v>-1.7883756857718149</v>
      </c>
      <c r="K515" s="26">
        <f t="shared" si="266"/>
        <v>-3.5860345391190367</v>
      </c>
      <c r="L515" s="26">
        <f t="shared" si="267"/>
        <v>2.6960954015307122E-2</v>
      </c>
      <c r="M515" s="26">
        <f t="shared" si="268"/>
        <v>-0.6028547548869454</v>
      </c>
      <c r="N515" s="26">
        <f t="shared" si="269"/>
        <v>0.35369084275305462</v>
      </c>
      <c r="O515" s="26">
        <f t="shared" si="270"/>
        <v>-0.66213762265642062</v>
      </c>
      <c r="P515" s="26">
        <f t="shared" si="271"/>
        <v>0.34025958787190003</v>
      </c>
      <c r="Q515" s="26">
        <f t="shared" si="272"/>
        <v>5.7888293569377629E-2</v>
      </c>
      <c r="R515" s="26">
        <f t="shared" si="273"/>
        <v>-8.6886844845754467</v>
      </c>
      <c r="S515" s="26">
        <f t="shared" si="274"/>
        <v>1.6845313929834556E-4</v>
      </c>
      <c r="T515" s="26">
        <f t="shared" si="275"/>
        <v>1.1266274114807373</v>
      </c>
      <c r="U515" s="26">
        <f t="shared" si="276"/>
        <v>0.75521596292688353</v>
      </c>
      <c r="V515" s="26">
        <f t="shared" si="277"/>
        <v>0.35547908933101113</v>
      </c>
      <c r="W515" s="26">
        <f t="shared" si="278"/>
        <v>0.58794561022052239</v>
      </c>
      <c r="X515" s="26">
        <f t="shared" si="279"/>
        <v>8.4894410068268839E-2</v>
      </c>
      <c r="Y515" s="26">
        <f t="shared" si="280"/>
        <v>1.165107368518131</v>
      </c>
      <c r="Z515" s="26">
        <f t="shared" si="281"/>
        <v>0.76225951129234482</v>
      </c>
      <c r="AA515" s="26">
        <f t="shared" si="282"/>
        <v>-2.9034922560824565</v>
      </c>
      <c r="AB515" s="26">
        <f t="shared" si="283"/>
        <v>5.1981198149590187E-2</v>
      </c>
      <c r="AC515" s="26">
        <f t="shared" si="284"/>
        <v>1.8243395185389579</v>
      </c>
      <c r="AD515" s="26">
        <f t="shared" si="285"/>
        <v>0.86108602055748884</v>
      </c>
      <c r="AE515" s="26">
        <f t="shared" si="286"/>
        <v>9.6485468422772072E-3</v>
      </c>
      <c r="AF515" s="26">
        <f t="shared" si="287"/>
        <v>-3.9375425769382795</v>
      </c>
      <c r="AG515" s="26">
        <f t="shared" si="288"/>
        <v>1.9123238095920234E-2</v>
      </c>
      <c r="AH515" s="26">
        <f t="shared" si="289"/>
        <v>-1.1740100897147741</v>
      </c>
      <c r="AI515" s="26">
        <f t="shared" si="290"/>
        <v>0.2361309067493246</v>
      </c>
      <c r="AJ515" s="26">
        <f t="shared" si="291"/>
        <v>-1.0313694280689913</v>
      </c>
      <c r="AK515" s="26">
        <f t="shared" si="292"/>
        <v>0.2628186981210851</v>
      </c>
      <c r="AL515" s="26">
        <f t="shared" si="293"/>
        <v>3.4536834041031028E-2</v>
      </c>
      <c r="AM515" s="27">
        <f t="shared" si="294"/>
        <v>0.1869680845209547</v>
      </c>
    </row>
    <row r="516" spans="1:39" ht="15" customHeight="1" x14ac:dyDescent="0.2">
      <c r="A516" s="24">
        <v>505</v>
      </c>
      <c r="B516" s="29">
        <f t="shared" si="295"/>
        <v>4.760488886409064</v>
      </c>
      <c r="C516" s="29">
        <f t="shared" si="296"/>
        <v>-5.1069155054349729</v>
      </c>
      <c r="D516" s="29">
        <f t="shared" si="297"/>
        <v>-3.5857204427829714</v>
      </c>
      <c r="E516" s="29">
        <f t="shared" si="298"/>
        <v>-2.3243770458333182</v>
      </c>
      <c r="F516" s="29">
        <f t="shared" si="299"/>
        <v>1.7557874001328411</v>
      </c>
      <c r="G516" s="29">
        <f t="shared" si="300"/>
        <v>-0.62377397049040728</v>
      </c>
      <c r="H516" s="29">
        <f t="shared" si="301"/>
        <v>4.5556176952653757</v>
      </c>
      <c r="I516" s="29">
        <f t="shared" si="302"/>
        <v>2.8749316040692365</v>
      </c>
      <c r="J516" s="29">
        <f t="shared" si="303"/>
        <v>-1.7992349465748516</v>
      </c>
      <c r="K516" s="26">
        <f t="shared" si="266"/>
        <v>-3.5857204427829714</v>
      </c>
      <c r="L516" s="26">
        <f t="shared" si="267"/>
        <v>2.6969195262154445E-2</v>
      </c>
      <c r="M516" s="26">
        <f t="shared" si="268"/>
        <v>-0.62377397049040728</v>
      </c>
      <c r="N516" s="26">
        <f t="shared" si="269"/>
        <v>0.34892360810565376</v>
      </c>
      <c r="O516" s="26">
        <f t="shared" si="270"/>
        <v>-0.67324209506270094</v>
      </c>
      <c r="P516" s="26">
        <f t="shared" si="271"/>
        <v>0.33777126202849772</v>
      </c>
      <c r="Q516" s="26">
        <f t="shared" si="272"/>
        <v>5.7044712726162031E-2</v>
      </c>
      <c r="R516" s="26">
        <f t="shared" si="273"/>
        <v>-8.6926359482179443</v>
      </c>
      <c r="S516" s="26">
        <f t="shared" si="274"/>
        <v>1.6778892769761961E-4</v>
      </c>
      <c r="T516" s="26">
        <f t="shared" si="275"/>
        <v>1.1320134296424338</v>
      </c>
      <c r="U516" s="26">
        <f t="shared" si="276"/>
        <v>0.75621027897485948</v>
      </c>
      <c r="V516" s="26">
        <f t="shared" si="277"/>
        <v>0.37558226598007494</v>
      </c>
      <c r="W516" s="26">
        <f t="shared" si="278"/>
        <v>0.59280715888556612</v>
      </c>
      <c r="X516" s="26">
        <f t="shared" si="279"/>
        <v>8.2903004927422294E-2</v>
      </c>
      <c r="Y516" s="26">
        <f t="shared" si="280"/>
        <v>1.1747684436260926</v>
      </c>
      <c r="Z516" s="26">
        <f t="shared" si="281"/>
        <v>0.76400585252486364</v>
      </c>
      <c r="AA516" s="26">
        <f t="shared" si="282"/>
        <v>-2.9481510163237257</v>
      </c>
      <c r="AB516" s="26">
        <f t="shared" si="283"/>
        <v>4.9823972476474354E-2</v>
      </c>
      <c r="AC516" s="26">
        <f t="shared" si="284"/>
        <v>1.8245241475866179</v>
      </c>
      <c r="AD516" s="26">
        <f t="shared" si="285"/>
        <v>0.86110810383690239</v>
      </c>
      <c r="AE516" s="26">
        <f t="shared" si="286"/>
        <v>9.6454794098903441E-3</v>
      </c>
      <c r="AF516" s="26">
        <f t="shared" si="287"/>
        <v>-3.9321470618088803</v>
      </c>
      <c r="AG516" s="26">
        <f t="shared" si="288"/>
        <v>1.9224707710681341E-2</v>
      </c>
      <c r="AH516" s="26">
        <f t="shared" si="289"/>
        <v>-1.1923636161908844</v>
      </c>
      <c r="AI516" s="26">
        <f t="shared" si="290"/>
        <v>0.23283647144485262</v>
      </c>
      <c r="AJ516" s="26">
        <f t="shared" si="291"/>
        <v>-1.0422655976049957</v>
      </c>
      <c r="AK516" s="26">
        <f t="shared" si="292"/>
        <v>0.26071308194606635</v>
      </c>
      <c r="AL516" s="26">
        <f t="shared" si="293"/>
        <v>3.3985655548908152E-2</v>
      </c>
      <c r="AM516" s="27">
        <f t="shared" si="294"/>
        <v>0.18357885261238283</v>
      </c>
    </row>
    <row r="517" spans="1:39" ht="15" customHeight="1" x14ac:dyDescent="0.2">
      <c r="A517" s="24">
        <v>506</v>
      </c>
      <c r="B517" s="29">
        <f t="shared" si="295"/>
        <v>4.7698170211165207</v>
      </c>
      <c r="C517" s="29">
        <f t="shared" si="296"/>
        <v>-5.1111567217327316</v>
      </c>
      <c r="D517" s="29">
        <f t="shared" si="297"/>
        <v>-3.5853494245558766</v>
      </c>
      <c r="E517" s="29">
        <f t="shared" si="298"/>
        <v>-2.3479212214545382</v>
      </c>
      <c r="F517" s="29">
        <f t="shared" si="299"/>
        <v>1.7820777018794127</v>
      </c>
      <c r="G517" s="29">
        <f t="shared" si="300"/>
        <v>-0.64456777779275132</v>
      </c>
      <c r="H517" s="29">
        <f t="shared" si="301"/>
        <v>4.5653218888166078</v>
      </c>
      <c r="I517" s="29">
        <f t="shared" si="302"/>
        <v>2.9120254851836762</v>
      </c>
      <c r="J517" s="29">
        <f t="shared" si="303"/>
        <v>-1.8101359533069279</v>
      </c>
      <c r="K517" s="26">
        <f t="shared" si="266"/>
        <v>-3.5853494245558766</v>
      </c>
      <c r="L517" s="26">
        <f t="shared" si="267"/>
        <v>2.697893317862194E-2</v>
      </c>
      <c r="M517" s="26">
        <f t="shared" si="268"/>
        <v>-0.64456777779275132</v>
      </c>
      <c r="N517" s="26">
        <f t="shared" si="269"/>
        <v>0.34421471814932619</v>
      </c>
      <c r="O517" s="26">
        <f t="shared" si="270"/>
        <v>-0.68460640750349055</v>
      </c>
      <c r="P517" s="26">
        <f t="shared" si="271"/>
        <v>0.33523397684208761</v>
      </c>
      <c r="Q517" s="26">
        <f t="shared" si="272"/>
        <v>5.6190909614680665E-2</v>
      </c>
      <c r="R517" s="26">
        <f t="shared" si="273"/>
        <v>-8.6965061462886091</v>
      </c>
      <c r="S517" s="26">
        <f t="shared" si="274"/>
        <v>1.6714091462904357E-4</v>
      </c>
      <c r="T517" s="26">
        <f t="shared" si="275"/>
        <v>1.1375099240866615</v>
      </c>
      <c r="U517" s="26">
        <f t="shared" si="276"/>
        <v>0.75722216477061466</v>
      </c>
      <c r="V517" s="26">
        <f t="shared" si="277"/>
        <v>0.39567734052712789</v>
      </c>
      <c r="W517" s="26">
        <f t="shared" si="278"/>
        <v>0.59764865310849691</v>
      </c>
      <c r="X517" s="26">
        <f t="shared" si="279"/>
        <v>8.0943303172703332E-2</v>
      </c>
      <c r="Y517" s="26">
        <f t="shared" si="280"/>
        <v>1.1844675965606442</v>
      </c>
      <c r="Z517" s="26">
        <f t="shared" si="281"/>
        <v>0.76575013847292062</v>
      </c>
      <c r="AA517" s="26">
        <f t="shared" si="282"/>
        <v>-2.9924889992472896</v>
      </c>
      <c r="AB517" s="26">
        <f t="shared" si="283"/>
        <v>4.7766350882759906E-2</v>
      </c>
      <c r="AC517" s="26">
        <f t="shared" si="284"/>
        <v>1.8248567463326677</v>
      </c>
      <c r="AD517" s="26">
        <f t="shared" si="285"/>
        <v>0.86114787818126048</v>
      </c>
      <c r="AE517" s="26">
        <f t="shared" si="286"/>
        <v>9.6399558667830398E-3</v>
      </c>
      <c r="AF517" s="26">
        <f t="shared" si="287"/>
        <v>-3.9266891251720875</v>
      </c>
      <c r="AG517" s="26">
        <f t="shared" si="288"/>
        <v>1.9327888245598515E-2</v>
      </c>
      <c r="AH517" s="26">
        <f t="shared" si="289"/>
        <v>-1.2104112973678767</v>
      </c>
      <c r="AI517" s="26">
        <f t="shared" si="290"/>
        <v>0.22962828471374616</v>
      </c>
      <c r="AJ517" s="26">
        <f t="shared" si="291"/>
        <v>-1.0532145048292538</v>
      </c>
      <c r="AK517" s="26">
        <f t="shared" si="292"/>
        <v>0.25860830557255632</v>
      </c>
      <c r="AL517" s="26">
        <f t="shared" si="293"/>
        <v>3.3439127855554335E-2</v>
      </c>
      <c r="AM517" s="27">
        <f t="shared" si="294"/>
        <v>0.18021329650972137</v>
      </c>
    </row>
    <row r="518" spans="1:39" ht="15" customHeight="1" x14ac:dyDescent="0.2">
      <c r="A518" s="24">
        <v>507</v>
      </c>
      <c r="B518" s="29">
        <f t="shared" si="295"/>
        <v>4.7791227737278064</v>
      </c>
      <c r="C518" s="29">
        <f t="shared" si="296"/>
        <v>-5.1153734510781232</v>
      </c>
      <c r="D518" s="29">
        <f t="shared" si="297"/>
        <v>-3.5849231611935322</v>
      </c>
      <c r="E518" s="29">
        <f t="shared" si="298"/>
        <v>-2.3712640485080612</v>
      </c>
      <c r="F518" s="29">
        <f t="shared" si="299"/>
        <v>1.8083303707369709</v>
      </c>
      <c r="G518" s="29">
        <f t="shared" si="300"/>
        <v>-0.66522389163956608</v>
      </c>
      <c r="H518" s="29">
        <f t="shared" si="301"/>
        <v>4.5750778323819112</v>
      </c>
      <c r="I518" s="29">
        <f t="shared" si="302"/>
        <v>2.94897966501554</v>
      </c>
      <c r="J518" s="29">
        <f t="shared" si="303"/>
        <v>-1.8210723843537724</v>
      </c>
      <c r="K518" s="26">
        <f t="shared" si="266"/>
        <v>-3.5849231611935322</v>
      </c>
      <c r="L518" s="26">
        <f t="shared" si="267"/>
        <v>2.6990125304647814E-2</v>
      </c>
      <c r="M518" s="26">
        <f t="shared" si="268"/>
        <v>-0.66522389163956608</v>
      </c>
      <c r="N518" s="26">
        <f t="shared" si="269"/>
        <v>0.3395671148896291</v>
      </c>
      <c r="O518" s="26">
        <f t="shared" si="270"/>
        <v>-0.69621394366175648</v>
      </c>
      <c r="P518" s="26">
        <f t="shared" si="271"/>
        <v>0.33265217911211503</v>
      </c>
      <c r="Q518" s="26">
        <f t="shared" si="272"/>
        <v>5.5328736134019327E-2</v>
      </c>
      <c r="R518" s="26">
        <f t="shared" si="273"/>
        <v>-8.7002966122716554</v>
      </c>
      <c r="S518" s="26">
        <f t="shared" si="274"/>
        <v>1.6650867716228406E-4</v>
      </c>
      <c r="T518" s="26">
        <f t="shared" si="275"/>
        <v>1.1431064790974048</v>
      </c>
      <c r="U518" s="26">
        <f t="shared" si="276"/>
        <v>0.75824953565794884</v>
      </c>
      <c r="V518" s="26">
        <f t="shared" si="277"/>
        <v>0.41575186746677861</v>
      </c>
      <c r="W518" s="26">
        <f t="shared" si="278"/>
        <v>0.60246626351237598</v>
      </c>
      <c r="X518" s="26">
        <f t="shared" si="279"/>
        <v>7.9016535822905853E-2</v>
      </c>
      <c r="Y518" s="26">
        <f t="shared" si="280"/>
        <v>1.1941996125342742</v>
      </c>
      <c r="Z518" s="26">
        <f t="shared" si="281"/>
        <v>0.76749132004407694</v>
      </c>
      <c r="AA518" s="26">
        <f t="shared" si="282"/>
        <v>-3.0364879401476275</v>
      </c>
      <c r="AB518" s="26">
        <f t="shared" si="283"/>
        <v>4.5804425583802773E-2</v>
      </c>
      <c r="AC518" s="26">
        <f t="shared" si="284"/>
        <v>1.8253364601397668</v>
      </c>
      <c r="AD518" s="26">
        <f t="shared" si="285"/>
        <v>0.8612052286844456</v>
      </c>
      <c r="AE518" s="26">
        <f t="shared" si="286"/>
        <v>9.6319942722685216E-3</v>
      </c>
      <c r="AF518" s="26">
        <f t="shared" si="287"/>
        <v>-3.921173838543849</v>
      </c>
      <c r="AG518" s="26">
        <f t="shared" si="288"/>
        <v>1.9432704365155012E-2</v>
      </c>
      <c r="AH518" s="26">
        <f t="shared" si="289"/>
        <v>-1.2281575694106563</v>
      </c>
      <c r="AI518" s="26">
        <f t="shared" si="290"/>
        <v>0.22650405684861852</v>
      </c>
      <c r="AJ518" s="26">
        <f t="shared" si="291"/>
        <v>-1.0642103916994206</v>
      </c>
      <c r="AK518" s="26">
        <f t="shared" si="292"/>
        <v>0.25650566589004387</v>
      </c>
      <c r="AL518" s="26">
        <f t="shared" si="293"/>
        <v>3.2897578316847406E-2</v>
      </c>
      <c r="AM518" s="27">
        <f t="shared" si="294"/>
        <v>0.17687484454604113</v>
      </c>
    </row>
    <row r="519" spans="1:39" ht="15" customHeight="1" x14ac:dyDescent="0.2">
      <c r="A519" s="24">
        <v>508</v>
      </c>
      <c r="B519" s="29">
        <f t="shared" si="295"/>
        <v>4.7884026818161116</v>
      </c>
      <c r="C519" s="29">
        <f t="shared" si="296"/>
        <v>-5.1195655571933578</v>
      </c>
      <c r="D519" s="29">
        <f t="shared" si="297"/>
        <v>-3.5844433911162152</v>
      </c>
      <c r="E519" s="29">
        <f t="shared" si="298"/>
        <v>-2.3943999427867833</v>
      </c>
      <c r="F519" s="29">
        <f t="shared" si="299"/>
        <v>1.8345235405687499</v>
      </c>
      <c r="G519" s="29">
        <f t="shared" si="300"/>
        <v>-0.68573055416707485</v>
      </c>
      <c r="H519" s="29">
        <f t="shared" si="301"/>
        <v>4.5848828009076579</v>
      </c>
      <c r="I519" s="29">
        <f t="shared" si="302"/>
        <v>2.9857759824924179</v>
      </c>
      <c r="J519" s="29">
        <f t="shared" si="303"/>
        <v>-1.8320378916601303</v>
      </c>
      <c r="K519" s="26">
        <f t="shared" si="266"/>
        <v>-3.5844433911162152</v>
      </c>
      <c r="L519" s="26">
        <f t="shared" si="267"/>
        <v>2.7002727722248682E-2</v>
      </c>
      <c r="M519" s="26">
        <f t="shared" si="268"/>
        <v>-0.68573055416707485</v>
      </c>
      <c r="N519" s="26">
        <f t="shared" si="269"/>
        <v>0.33498350475174654</v>
      </c>
      <c r="O519" s="26">
        <f t="shared" si="270"/>
        <v>-0.70804784672990029</v>
      </c>
      <c r="P519" s="26">
        <f t="shared" si="271"/>
        <v>0.33003033810273891</v>
      </c>
      <c r="Q519" s="26">
        <f t="shared" si="272"/>
        <v>5.4460012034104076E-2</v>
      </c>
      <c r="R519" s="26">
        <f t="shared" si="273"/>
        <v>-8.7040089483095731</v>
      </c>
      <c r="S519" s="26">
        <f t="shared" si="274"/>
        <v>1.6589178929913217E-4</v>
      </c>
      <c r="T519" s="26">
        <f t="shared" si="275"/>
        <v>1.148792986401675</v>
      </c>
      <c r="U519" s="26">
        <f t="shared" si="276"/>
        <v>0.75929038193383713</v>
      </c>
      <c r="V519" s="26">
        <f t="shared" si="277"/>
        <v>0.43579368886698511</v>
      </c>
      <c r="W519" s="26">
        <f t="shared" si="278"/>
        <v>0.60725629586625307</v>
      </c>
      <c r="X519" s="26">
        <f t="shared" si="279"/>
        <v>7.7123808568348079E-2</v>
      </c>
      <c r="Y519" s="26">
        <f t="shared" si="280"/>
        <v>1.2039592906998964</v>
      </c>
      <c r="Z519" s="26">
        <f t="shared" si="281"/>
        <v>0.76922837035351377</v>
      </c>
      <c r="AA519" s="26">
        <f t="shared" si="282"/>
        <v>-3.0801304969538581</v>
      </c>
      <c r="AB519" s="26">
        <f t="shared" si="283"/>
        <v>4.3934333661760805E-2</v>
      </c>
      <c r="AC519" s="26">
        <f t="shared" si="284"/>
        <v>1.8259621117980149</v>
      </c>
      <c r="AD519" s="26">
        <f t="shared" si="285"/>
        <v>0.86127999641779973</v>
      </c>
      <c r="AE519" s="26">
        <f t="shared" si="286"/>
        <v>9.6216196969228281E-3</v>
      </c>
      <c r="AF519" s="26">
        <f t="shared" si="287"/>
        <v>-3.9156062664934614</v>
      </c>
      <c r="AG519" s="26">
        <f t="shared" si="288"/>
        <v>1.9539079205614981E-2</v>
      </c>
      <c r="AH519" s="26">
        <f t="shared" si="289"/>
        <v>-1.2456069563851082</v>
      </c>
      <c r="AI519" s="26">
        <f t="shared" si="290"/>
        <v>0.22346152198967983</v>
      </c>
      <c r="AJ519" s="26">
        <f t="shared" si="291"/>
        <v>-1.0752474580967464</v>
      </c>
      <c r="AK519" s="26">
        <f t="shared" si="292"/>
        <v>0.25440644422754116</v>
      </c>
      <c r="AL519" s="26">
        <f t="shared" si="293"/>
        <v>3.2361319432250506E-2</v>
      </c>
      <c r="AM519" s="27">
        <f t="shared" si="294"/>
        <v>0.1735667597316255</v>
      </c>
    </row>
    <row r="520" spans="1:39" ht="15" customHeight="1" x14ac:dyDescent="0.2">
      <c r="A520" s="24">
        <v>509</v>
      </c>
      <c r="B520" s="29">
        <f t="shared" si="295"/>
        <v>4.797653367375041</v>
      </c>
      <c r="C520" s="29">
        <f t="shared" si="296"/>
        <v>-5.1237329116099959</v>
      </c>
      <c r="D520" s="29">
        <f t="shared" si="297"/>
        <v>-3.5839119090927429</v>
      </c>
      <c r="E520" s="29">
        <f t="shared" si="298"/>
        <v>-2.4173237177518923</v>
      </c>
      <c r="F520" s="29">
        <f t="shared" si="299"/>
        <v>1.8606362435955628</v>
      </c>
      <c r="G520" s="29">
        <f t="shared" si="300"/>
        <v>-0.7060765830804604</v>
      </c>
      <c r="H520" s="29">
        <f t="shared" si="301"/>
        <v>4.5947340238335288</v>
      </c>
      <c r="I520" s="29">
        <f t="shared" si="302"/>
        <v>3.0223969067919692</v>
      </c>
      <c r="J520" s="29">
        <f t="shared" si="303"/>
        <v>-1.8430261320240851</v>
      </c>
      <c r="K520" s="26">
        <f t="shared" si="266"/>
        <v>-3.5839119090927429</v>
      </c>
      <c r="L520" s="26">
        <f t="shared" si="267"/>
        <v>2.7016695168874297E-2</v>
      </c>
      <c r="M520" s="26">
        <f t="shared" si="268"/>
        <v>-0.7060765830804604</v>
      </c>
      <c r="N520" s="26">
        <f t="shared" si="269"/>
        <v>0.33046635077435299</v>
      </c>
      <c r="O520" s="26">
        <f t="shared" si="270"/>
        <v>-0.72009112714088519</v>
      </c>
      <c r="P520" s="26">
        <f t="shared" si="271"/>
        <v>0.32737291643018646</v>
      </c>
      <c r="Q520" s="26">
        <f t="shared" si="272"/>
        <v>5.3586513206002925E-2</v>
      </c>
      <c r="R520" s="26">
        <f t="shared" si="273"/>
        <v>-8.7076448207027397</v>
      </c>
      <c r="S520" s="26">
        <f t="shared" si="274"/>
        <v>1.6528982261876564E-4</v>
      </c>
      <c r="T520" s="26">
        <f t="shared" si="275"/>
        <v>1.1545596605151025</v>
      </c>
      <c r="U520" s="26">
        <f t="shared" si="276"/>
        <v>0.76034277180394194</v>
      </c>
      <c r="V520" s="26">
        <f t="shared" si="277"/>
        <v>0.45579097234956123</v>
      </c>
      <c r="W520" s="26">
        <f t="shared" si="278"/>
        <v>0.61201520407053644</v>
      </c>
      <c r="X520" s="26">
        <f t="shared" si="279"/>
        <v>7.5266100936213734E-2</v>
      </c>
      <c r="Y520" s="26">
        <f t="shared" si="280"/>
        <v>1.2137414582822981</v>
      </c>
      <c r="Z520" s="26">
        <f t="shared" si="281"/>
        <v>0.7709602873900705</v>
      </c>
      <c r="AA520" s="26">
        <f t="shared" si="282"/>
        <v>-3.1234003008323525</v>
      </c>
      <c r="AB520" s="26">
        <f t="shared" si="283"/>
        <v>4.215226921302425E-2</v>
      </c>
      <c r="AC520" s="26">
        <f t="shared" si="284"/>
        <v>1.8267322195552542</v>
      </c>
      <c r="AD520" s="26">
        <f t="shared" si="285"/>
        <v>0.86137198080385269</v>
      </c>
      <c r="AE520" s="26">
        <f t="shared" si="286"/>
        <v>9.6088638531236937E-3</v>
      </c>
      <c r="AF520" s="26">
        <f t="shared" si="287"/>
        <v>-3.9099914533276978</v>
      </c>
      <c r="AG520" s="26">
        <f t="shared" si="288"/>
        <v>1.9646934563891414E-2</v>
      </c>
      <c r="AH520" s="26">
        <f t="shared" si="289"/>
        <v>-1.2627640572367897</v>
      </c>
      <c r="AI520" s="26">
        <f t="shared" si="290"/>
        <v>0.2204984421501997</v>
      </c>
      <c r="AJ520" s="26">
        <f t="shared" si="291"/>
        <v>-1.0863198838121306</v>
      </c>
      <c r="AK520" s="26">
        <f t="shared" si="292"/>
        <v>0.25231190150658295</v>
      </c>
      <c r="AL520" s="26">
        <f t="shared" si="293"/>
        <v>3.1830647820933804E-2</v>
      </c>
      <c r="AM520" s="27">
        <f t="shared" si="294"/>
        <v>0.17029212581627418</v>
      </c>
    </row>
    <row r="521" spans="1:39" ht="15" customHeight="1" x14ac:dyDescent="0.2">
      <c r="A521" s="24">
        <v>510</v>
      </c>
      <c r="B521" s="29">
        <f t="shared" si="295"/>
        <v>4.806871544923589</v>
      </c>
      <c r="C521" s="29">
        <f t="shared" si="296"/>
        <v>-5.1278753944126709</v>
      </c>
      <c r="D521" s="29">
        <f t="shared" si="297"/>
        <v>-3.5833305605682222</v>
      </c>
      <c r="E521" s="29">
        <f t="shared" si="298"/>
        <v>-2.440030585470041</v>
      </c>
      <c r="F521" s="29">
        <f t="shared" si="299"/>
        <v>1.8866484647002233</v>
      </c>
      <c r="G521" s="29">
        <f t="shared" si="300"/>
        <v>-0.72625141257287507</v>
      </c>
      <c r="H521" s="29">
        <f t="shared" si="301"/>
        <v>4.6046286934070562</v>
      </c>
      <c r="I521" s="29">
        <f t="shared" si="302"/>
        <v>3.0588255888975544</v>
      </c>
      <c r="J521" s="29">
        <f t="shared" si="303"/>
        <v>-1.8540307968740182</v>
      </c>
      <c r="K521" s="26">
        <f t="shared" si="266"/>
        <v>-3.5833305605682222</v>
      </c>
      <c r="L521" s="26">
        <f t="shared" si="267"/>
        <v>2.7031981160133469E-2</v>
      </c>
      <c r="M521" s="26">
        <f t="shared" si="268"/>
        <v>-0.72625141257287507</v>
      </c>
      <c r="N521" s="26">
        <f t="shared" si="269"/>
        <v>0.32601786754331563</v>
      </c>
      <c r="O521" s="26">
        <f t="shared" si="270"/>
        <v>-0.73232676510512129</v>
      </c>
      <c r="P521" s="26">
        <f t="shared" si="271"/>
        <v>0.32468434265071289</v>
      </c>
      <c r="Q521" s="26">
        <f t="shared" si="272"/>
        <v>5.2709961181262768E-2</v>
      </c>
      <c r="R521" s="26">
        <f t="shared" si="273"/>
        <v>-8.711205954980894</v>
      </c>
      <c r="S521" s="26">
        <f t="shared" si="274"/>
        <v>1.6470234697325768E-4</v>
      </c>
      <c r="T521" s="26">
        <f t="shared" si="275"/>
        <v>1.1603970521273483</v>
      </c>
      <c r="U521" s="26">
        <f t="shared" si="276"/>
        <v>0.76140485379766476</v>
      </c>
      <c r="V521" s="26">
        <f t="shared" si="277"/>
        <v>0.47573224658582447</v>
      </c>
      <c r="W521" s="26">
        <f t="shared" si="278"/>
        <v>0.61673960180171994</v>
      </c>
      <c r="X521" s="26">
        <f t="shared" si="279"/>
        <v>7.3444266413552103E-2</v>
      </c>
      <c r="Y521" s="26">
        <f t="shared" si="280"/>
        <v>1.2235409843553668</v>
      </c>
      <c r="Z521" s="26">
        <f t="shared" si="281"/>
        <v>0.772686096504412</v>
      </c>
      <c r="AA521" s="26">
        <f t="shared" si="282"/>
        <v>-3.166281998042916</v>
      </c>
      <c r="AB521" s="26">
        <f t="shared" si="283"/>
        <v>4.0454494217693253E-2</v>
      </c>
      <c r="AC521" s="26">
        <f t="shared" si="284"/>
        <v>1.8276450161858793</v>
      </c>
      <c r="AD521" s="26">
        <f t="shared" si="285"/>
        <v>0.86148094216612126</v>
      </c>
      <c r="AE521" s="26">
        <f t="shared" si="286"/>
        <v>9.5937646915927217E-3</v>
      </c>
      <c r="AF521" s="26">
        <f t="shared" si="287"/>
        <v>-3.9043344100573041</v>
      </c>
      <c r="AG521" s="26">
        <f t="shared" si="288"/>
        <v>1.9756191092545481E-2</v>
      </c>
      <c r="AH521" s="26">
        <f t="shared" si="289"/>
        <v>-1.2796335333426927</v>
      </c>
      <c r="AI521" s="26">
        <f t="shared" si="290"/>
        <v>0.21761261076649727</v>
      </c>
      <c r="AJ521" s="26">
        <f t="shared" si="291"/>
        <v>-1.0974218502174851</v>
      </c>
      <c r="AK521" s="26">
        <f t="shared" si="292"/>
        <v>0.25022327363150354</v>
      </c>
      <c r="AL521" s="26">
        <f t="shared" si="293"/>
        <v>3.1305843333433149E-2</v>
      </c>
      <c r="AM521" s="27">
        <f t="shared" si="294"/>
        <v>0.16705383561984075</v>
      </c>
    </row>
    <row r="522" spans="1:39" ht="15" customHeight="1" x14ac:dyDescent="0.2">
      <c r="A522" s="24">
        <v>511</v>
      </c>
      <c r="B522" s="29">
        <f t="shared" si="295"/>
        <v>4.8160540288670859</v>
      </c>
      <c r="C522" s="29">
        <f t="shared" si="296"/>
        <v>-5.1319928949078255</v>
      </c>
      <c r="D522" s="29">
        <f t="shared" si="297"/>
        <v>-3.5827012356937455</v>
      </c>
      <c r="E522" s="29">
        <f t="shared" si="298"/>
        <v>-2.4625161561340172</v>
      </c>
      <c r="F522" s="29">
        <f t="shared" si="299"/>
        <v>1.9125411863431725</v>
      </c>
      <c r="G522" s="29">
        <f t="shared" si="300"/>
        <v>-0.7462451267558966</v>
      </c>
      <c r="H522" s="29">
        <f t="shared" si="301"/>
        <v>4.6145639729500427</v>
      </c>
      <c r="I522" s="29">
        <f t="shared" si="302"/>
        <v>3.0950459074226822</v>
      </c>
      <c r="J522" s="29">
        <f t="shared" si="303"/>
        <v>-1.865045640367577</v>
      </c>
      <c r="K522" s="26">
        <f t="shared" si="266"/>
        <v>-3.5827012356937455</v>
      </c>
      <c r="L522" s="26">
        <f t="shared" si="267"/>
        <v>2.704853812061539E-2</v>
      </c>
      <c r="M522" s="26">
        <f t="shared" si="268"/>
        <v>-0.7462451267558966</v>
      </c>
      <c r="N522" s="26">
        <f t="shared" si="269"/>
        <v>0.32164001877273013</v>
      </c>
      <c r="O522" s="26">
        <f t="shared" si="270"/>
        <v>-0.74473780706932646</v>
      </c>
      <c r="P522" s="26">
        <f t="shared" si="271"/>
        <v>0.32196898579309957</v>
      </c>
      <c r="Q522" s="26">
        <f t="shared" si="272"/>
        <v>5.1832013906318579E-2</v>
      </c>
      <c r="R522" s="26">
        <f t="shared" si="273"/>
        <v>-8.7146941306015719</v>
      </c>
      <c r="S522" s="26">
        <f t="shared" si="274"/>
        <v>1.6412893122453708E-4</v>
      </c>
      <c r="T522" s="26">
        <f t="shared" si="275"/>
        <v>1.166296059587276</v>
      </c>
      <c r="U522" s="26">
        <f t="shared" si="276"/>
        <v>0.76247485866801845</v>
      </c>
      <c r="V522" s="26">
        <f t="shared" si="277"/>
        <v>0.49560643391850911</v>
      </c>
      <c r="W522" s="26">
        <f t="shared" si="278"/>
        <v>0.62142627270496609</v>
      </c>
      <c r="X522" s="26">
        <f t="shared" si="279"/>
        <v>7.1659033499027358E-2</v>
      </c>
      <c r="Y522" s="26">
        <f t="shared" si="280"/>
        <v>1.2333527931733403</v>
      </c>
      <c r="Z522" s="26">
        <f t="shared" si="281"/>
        <v>0.77440485270495008</v>
      </c>
      <c r="AA522" s="26">
        <f t="shared" si="282"/>
        <v>-3.2087612828899137</v>
      </c>
      <c r="AB522" s="26">
        <f t="shared" si="283"/>
        <v>3.8837348136324987E-2</v>
      </c>
      <c r="AC522" s="26">
        <f t="shared" si="284"/>
        <v>1.8286984688068526</v>
      </c>
      <c r="AD522" s="26">
        <f t="shared" si="285"/>
        <v>0.8616066044133448</v>
      </c>
      <c r="AE522" s="26">
        <f t="shared" si="286"/>
        <v>9.5763659710022177E-3</v>
      </c>
      <c r="AF522" s="26">
        <f t="shared" si="287"/>
        <v>-3.8986401017344852</v>
      </c>
      <c r="AG522" s="26">
        <f t="shared" si="288"/>
        <v>1.9866768499433748E-2</v>
      </c>
      <c r="AH522" s="26">
        <f t="shared" si="289"/>
        <v>-1.2962200965467412</v>
      </c>
      <c r="AI522" s="26">
        <f t="shared" si="290"/>
        <v>0.21480185581961631</v>
      </c>
      <c r="AJ522" s="26">
        <f t="shared" si="291"/>
        <v>-1.1085475614298508</v>
      </c>
      <c r="AK522" s="26">
        <f t="shared" si="292"/>
        <v>0.24814176715514916</v>
      </c>
      <c r="AL522" s="26">
        <f t="shared" si="293"/>
        <v>3.0787168303440131E-2</v>
      </c>
      <c r="AM522" s="27">
        <f t="shared" si="294"/>
        <v>0.16385458167978831</v>
      </c>
    </row>
    <row r="523" spans="1:39" ht="15" customHeight="1" x14ac:dyDescent="0.2">
      <c r="A523" s="24">
        <v>512</v>
      </c>
      <c r="B523" s="29">
        <f t="shared" si="295"/>
        <v>4.825197740091518</v>
      </c>
      <c r="C523" s="29">
        <f t="shared" si="296"/>
        <v>-5.136085312215247</v>
      </c>
      <c r="D523" s="29">
        <f t="shared" si="297"/>
        <v>-3.5820258631181741</v>
      </c>
      <c r="E523" s="29">
        <f t="shared" si="298"/>
        <v>-2.4847764361585005</v>
      </c>
      <c r="F523" s="29">
        <f t="shared" si="299"/>
        <v>1.9382964241492666</v>
      </c>
      <c r="G523" s="29">
        <f t="shared" si="300"/>
        <v>-0.76604848562571271</v>
      </c>
      <c r="H523" s="29">
        <f t="shared" si="301"/>
        <v>4.6245370050214465</v>
      </c>
      <c r="I523" s="29">
        <f t="shared" si="302"/>
        <v>3.131042508346876</v>
      </c>
      <c r="J523" s="29">
        <f t="shared" si="303"/>
        <v>-1.8760645056723235</v>
      </c>
      <c r="K523" s="26">
        <f t="shared" si="266"/>
        <v>-3.5820258631181741</v>
      </c>
      <c r="L523" s="26">
        <f t="shared" si="267"/>
        <v>2.706631752147438E-2</v>
      </c>
      <c r="M523" s="26">
        <f t="shared" si="268"/>
        <v>-0.76604848562571271</v>
      </c>
      <c r="N523" s="26">
        <f t="shared" si="269"/>
        <v>0.31733451739406426</v>
      </c>
      <c r="O523" s="26">
        <f t="shared" si="270"/>
        <v>-0.75730745537804856</v>
      </c>
      <c r="P523" s="26">
        <f t="shared" si="271"/>
        <v>0.31923113202885789</v>
      </c>
      <c r="Q523" s="26">
        <f t="shared" si="272"/>
        <v>5.095425782821305E-2</v>
      </c>
      <c r="R523" s="26">
        <f t="shared" si="273"/>
        <v>-8.7181111753334211</v>
      </c>
      <c r="S523" s="26">
        <f t="shared" si="274"/>
        <v>1.6356914401385186E-4</v>
      </c>
      <c r="T523" s="26">
        <f t="shared" si="275"/>
        <v>1.172247938523554</v>
      </c>
      <c r="U523" s="26">
        <f t="shared" si="276"/>
        <v>0.76355110079781241</v>
      </c>
      <c r="V523" s="26">
        <f t="shared" si="277"/>
        <v>0.51540287978004917</v>
      </c>
      <c r="W523" s="26">
        <f t="shared" si="278"/>
        <v>0.62607217905158452</v>
      </c>
      <c r="X523" s="26">
        <f t="shared" si="279"/>
        <v>6.9911007639615136E-2</v>
      </c>
      <c r="Y523" s="26">
        <f t="shared" si="280"/>
        <v>1.243171876973344</v>
      </c>
      <c r="Z523" s="26">
        <f t="shared" si="281"/>
        <v>0.77611564274995704</v>
      </c>
      <c r="AA523" s="26">
        <f t="shared" si="282"/>
        <v>-3.2508249217842131</v>
      </c>
      <c r="AB523" s="26">
        <f t="shared" si="283"/>
        <v>3.7297256253225643E-2</v>
      </c>
      <c r="AC523" s="26">
        <f t="shared" si="284"/>
        <v>1.8298902991744135</v>
      </c>
      <c r="AD523" s="26">
        <f t="shared" si="285"/>
        <v>0.86174865781922283</v>
      </c>
      <c r="AE523" s="26">
        <f t="shared" si="286"/>
        <v>9.5567168073931678E-3</v>
      </c>
      <c r="AF523" s="26">
        <f t="shared" si="287"/>
        <v>-3.892913435241903</v>
      </c>
      <c r="AG523" s="26">
        <f t="shared" si="288"/>
        <v>1.9978585750540779E-2</v>
      </c>
      <c r="AH523" s="26">
        <f t="shared" si="289"/>
        <v>-1.3125284976349465</v>
      </c>
      <c r="AI523" s="26">
        <f t="shared" si="290"/>
        <v>0.21206404256601055</v>
      </c>
      <c r="AJ523" s="26">
        <f t="shared" si="291"/>
        <v>-1.1196912647948931</v>
      </c>
      <c r="AK523" s="26">
        <f t="shared" si="292"/>
        <v>0.24606855525200078</v>
      </c>
      <c r="AL523" s="26">
        <f t="shared" si="293"/>
        <v>3.027486694190348E-2</v>
      </c>
      <c r="AM523" s="27">
        <f t="shared" si="294"/>
        <v>0.16069684921712485</v>
      </c>
    </row>
    <row r="524" spans="1:39" ht="15" customHeight="1" x14ac:dyDescent="0.2">
      <c r="A524" s="24">
        <v>513</v>
      </c>
      <c r="B524" s="29">
        <f t="shared" si="295"/>
        <v>4.8342997117788604</v>
      </c>
      <c r="C524" s="29">
        <f t="shared" si="296"/>
        <v>-5.1401525557810874</v>
      </c>
      <c r="D524" s="29">
        <f t="shared" si="297"/>
        <v>-3.5813064036034037</v>
      </c>
      <c r="E524" s="29">
        <f t="shared" si="298"/>
        <v>-2.5068078248625905</v>
      </c>
      <c r="F524" s="29">
        <f t="shared" si="299"/>
        <v>1.9638972533488142</v>
      </c>
      <c r="G524" s="29">
        <f t="shared" si="300"/>
        <v>-0.78565294372702843</v>
      </c>
      <c r="H524" s="29">
        <f t="shared" si="301"/>
        <v>4.6345449194254407</v>
      </c>
      <c r="I524" s="29">
        <f t="shared" si="302"/>
        <v>3.1668008384254884</v>
      </c>
      <c r="J524" s="29">
        <f t="shared" si="303"/>
        <v>-1.887081349309383</v>
      </c>
      <c r="K524" s="26">
        <f t="shared" ref="K524:K587" si="304">0*B524+0*C524+D524</f>
        <v>-3.5813064036034037</v>
      </c>
      <c r="L524" s="26">
        <f t="shared" ref="L524:L587" si="305">1/(1+EXP(-K524))</f>
        <v>2.7085270023401924E-2</v>
      </c>
      <c r="M524" s="26">
        <f t="shared" ref="M524:M587" si="306">0*E524+0*F524+G524</f>
        <v>-0.78565294372702843</v>
      </c>
      <c r="N524" s="26">
        <f t="shared" ref="N524:N587" si="307">1/(1+EXP(-M524))</f>
        <v>0.3131028279757172</v>
      </c>
      <c r="O524" s="26">
        <f t="shared" ref="O524:O587" si="308">L524*H524+N524*I524+J524</f>
        <v>-0.77001915058426662</v>
      </c>
      <c r="P524" s="26">
        <f t="shared" ref="P524:P587" si="309">1/(1+EXP(-O524))</f>
        <v>0.31647496362229344</v>
      </c>
      <c r="Q524" s="26">
        <f t="shared" ref="Q524:Q587" si="310">0.5*(0-P524)^2</f>
        <v>5.0078201299865975E-2</v>
      </c>
      <c r="R524" s="26">
        <f t="shared" ref="R524:R587" si="311">0*B524+1*C524+D524</f>
        <v>-8.721458959384492</v>
      </c>
      <c r="S524" s="26">
        <f t="shared" ref="S524:S587" si="312">1/(1+EXP(-R524))</f>
        <v>1.6302255455471145E-4</v>
      </c>
      <c r="T524" s="26">
        <f t="shared" ref="T524:T587" si="313">0*E524+1*F524+G524</f>
        <v>1.1782443096217858</v>
      </c>
      <c r="U524" s="26">
        <f t="shared" ref="U524:U587" si="314">1/(1+EXP(-T524))</f>
        <v>0.76463197913152414</v>
      </c>
      <c r="V524" s="26">
        <f t="shared" ref="V524:V587" si="315">S524*H524+U524*I524+J524</f>
        <v>0.53511137864323155</v>
      </c>
      <c r="W524" s="26">
        <f t="shared" ref="W524:W587" si="316">1/(1+EXP(-V524))</f>
        <v>0.63067446880813416</v>
      </c>
      <c r="X524" s="26">
        <f t="shared" ref="X524:X587" si="317">0.5*(1-W524)^2</f>
        <v>6.8200673995076941E-2</v>
      </c>
      <c r="Y524" s="26">
        <f t="shared" ref="Y524:Y587" si="318">1*B524+0*C524+D524</f>
        <v>1.2529933081754567</v>
      </c>
      <c r="Z524" s="26">
        <f t="shared" ref="Z524:Z587" si="319">1/(1+EXP(-Y524))</f>
        <v>0.77781758702703541</v>
      </c>
      <c r="AA524" s="26">
        <f t="shared" ref="AA524:AA587" si="320">1*E524+0*F524+G524</f>
        <v>-3.2924607685896188</v>
      </c>
      <c r="AB524" s="26">
        <f t="shared" ref="AB524:AB587" si="321">1/(1+EXP(-AA524))</f>
        <v>3.5830736798665788E-2</v>
      </c>
      <c r="AC524" s="26">
        <f t="shared" ref="AC524:AC587" si="322">Z524*H524+AB524*I524+J524</f>
        <v>1.8312180042219373</v>
      </c>
      <c r="AD524" s="26">
        <f t="shared" ref="AD524:AD587" si="323">1/(1+EXP(-AC524))</f>
        <v>0.86190676186188864</v>
      </c>
      <c r="AE524" s="26">
        <f t="shared" ref="AE524:AE587" si="324">0.5*(1-AD524)^2</f>
        <v>9.5348712097345668E-3</v>
      </c>
      <c r="AF524" s="26">
        <f t="shared" ref="AF524:AF587" si="325">1*B524+1*C524+D524</f>
        <v>-3.8871592476056307</v>
      </c>
      <c r="AG524" s="26">
        <f t="shared" ref="AG524:AG587" si="326">1/(1+EXP(-AF524))</f>
        <v>2.0091561274558942E-2</v>
      </c>
      <c r="AH524" s="26">
        <f t="shared" ref="AH524:AH587" si="327">1*E524+1*F524+G524</f>
        <v>-1.3285635152408046</v>
      </c>
      <c r="AI524" s="26">
        <f t="shared" ref="AI524:AI587" si="328">1/(1+EXP(-AH524))</f>
        <v>0.2093970759070756</v>
      </c>
      <c r="AJ524" s="26">
        <f t="shared" ref="AJ524:AJ587" si="329">AG524*H524+AI524*I524+J524</f>
        <v>-1.1308472705346784</v>
      </c>
      <c r="AK524" s="26">
        <f t="shared" ref="AK524:AK587" si="330">1/(1+EXP(-AJ524))</f>
        <v>0.24400477402481668</v>
      </c>
      <c r="AL524" s="26">
        <f t="shared" ref="AL524:AL587" si="331">0.5*(0-AK524)^2</f>
        <v>2.9769164873450927E-2</v>
      </c>
      <c r="AM524" s="27">
        <f t="shared" ref="AM524:AM587" si="332">Q524+X524+AE524+AL524</f>
        <v>0.15758291137812841</v>
      </c>
    </row>
    <row r="525" spans="1:39" ht="15" customHeight="1" x14ac:dyDescent="0.2">
      <c r="A525" s="24">
        <v>514</v>
      </c>
      <c r="B525" s="29">
        <f t="shared" ref="B525:B588" si="333">B524-$C$6*(((((P524)-0)*(P524)*(1-(P524)))*H524*(L524)*(1-(L524))*0)+((((W524)-1)*(W524)*(1-(W524)))*H524*(S524)*(1-(S524))*0)+((((AD524)-1)*(AD524)*(1-(AD524)))*H524*(Z524)*(1-(Z524))*1)+((((AK524)-0)*(AK524)*(1-(AK524)))*H524*(AG524)*(1-(AG524))*1))</f>
        <v>4.8433570944404627</v>
      </c>
      <c r="C525" s="29">
        <f t="shared" ref="C525:C588" si="334">C524-$C$6*(((((P524)-0)*(P524)*(1-(P524)))*H524*(L524)*(1-(L524))*0)+((((W524)-1)*(W524)*(1-(W524)))*H524*(S524)*(1-(S524))*1)+((((AD524)-1)*(AD524)*(1-(AD524)))*H524*(Z524)*(1-(Z524))*0)+((((AK524)-0)*(AK524)*(1-(AK524)))*H524*(AG524)*(1-(AG524))*1))</f>
        <v>-5.1441945458119109</v>
      </c>
      <c r="D525" s="29">
        <f t="shared" ref="D525:D588" si="335">D524-$C$6*(((((P524)-0)*(P524)*(1-(P524)))*H524*(L524)*(1-(L524)))+((((W524)-1)*(W524)*(1-(W524)))*H524*(S524)*(1-(S524)))+((((AD524)-1)*(AD524)*(1-(AD524)))*H524*(Z524)*(1-(Z524)))+((((AK524)-0)*(AK524)*(1-(AK524)))*H524*(AG524)*(1-(AG524))))</f>
        <v>-3.5805448435250189</v>
      </c>
      <c r="E525" s="29">
        <f t="shared" ref="E525:E588" si="336">E524-$C$6*(((((P524)-0)*(P524)*(1-(P524)))*I524*(N524)*(1-(N524))*0)+((((W524)-1)*(W524)*(1-(W524)))*I524*(U524)*(1-(U524))*0)+((((AD524)-1)*(AD524)*(1-(AD524)))*I524*(AB524)*(1-(AB524))*1)+((((AK524)-0)*(AK524)*(1-(AK524)))*I524*(AI524)*(1-(AI524))*1))</f>
        <v>-2.5286071097696432</v>
      </c>
      <c r="F525" s="29">
        <f t="shared" ref="F525:F588" si="337">F524-$C$6*(((((P524)-0)*(P524)*(1-(P524)))*I524*(N524)*(1-(N524))*0)+((((W524)-1)*(W524)*(1-(W524)))*I524*(U524)*(1-(U524))*1)+((((AD524)-1)*(AD524)*(1-(AD524)))*I524*(AB524)*(1-(AB524))*0)+((((AK524)-0)*(AK524)*(1-(AK524)))*I524*(AI524)*(1-(AI524))*1))</f>
        <v>1.9893278263698226</v>
      </c>
      <c r="G525" s="29">
        <f t="shared" ref="G525:G588" si="338">G524-$C$6*(((((P524)-0)*(P524)*(1-(P524)))*I524*(N524)*(1-(N524)))+((((W524)-1)*(W524)*(1-(W524)))*I524*(U524)*(1-(U524)))+((((AD524)-1)*(AD524)*(1-(AD524)))*I524*(AB524)*(1-(AB524)))+((((AK524)-0)*(AK524)*(1-(AK524)))*I524*(AI524)*(1-(AI524))))</f>
        <v>-0.80505066179638907</v>
      </c>
      <c r="H525" s="29">
        <f t="shared" ref="H525:H588" si="339">H524-$C$6*((((P524)-0)*(P524)*(1-(P524))*L524)+(((W524)-1)*(W524)*(1-(W524))*S524)+(((AD524)-1)*(AD524)*(1-(AD524))*Z524)+(((AK524)-0)*(AK524)*(1-(AK524))*AG524))</f>
        <v>4.6445848410176795</v>
      </c>
      <c r="I525" s="29">
        <f t="shared" ref="I525:I588" si="340">I524-$C$6*((((P524)-0)*(P524)*(1-(P524))*N524)+(((W524)-1)*(W524)*(1-(W524))*U524)+(((AD524)-1)*(AD524)*(1-(AD524))*AB524)+(((AK524)-0)*(AK524)*(1-(AK524))*AI524))</f>
        <v>3.2023071721537053</v>
      </c>
      <c r="J525" s="29">
        <f t="shared" ref="J525:J588" si="341">J524-$C$6*((((P524)-0)*(P524)*(1-(P524)))+(((W524)-1)*(W524)*(1-(W524)))+(((AD524)-1)*(AD524)*(1-(AD524)))+(((AK524)-0)*(AK524)*(1-(AK524))))</f>
        <v>-1.8980902634643104</v>
      </c>
      <c r="K525" s="26">
        <f t="shared" si="304"/>
        <v>-3.5805448435250189</v>
      </c>
      <c r="L525" s="26">
        <f t="shared" si="305"/>
        <v>2.7105345623581256E-2</v>
      </c>
      <c r="M525" s="26">
        <f t="shared" si="306"/>
        <v>-0.80505066179638907</v>
      </c>
      <c r="N525" s="26">
        <f t="shared" si="307"/>
        <v>0.30894617126536755</v>
      </c>
      <c r="O525" s="26">
        <f t="shared" si="308"/>
        <v>-0.78285664601796645</v>
      </c>
      <c r="P525" s="26">
        <f t="shared" si="309"/>
        <v>0.31370454025277345</v>
      </c>
      <c r="Q525" s="26">
        <f t="shared" si="310"/>
        <v>4.920526928760198E-2</v>
      </c>
      <c r="R525" s="26">
        <f t="shared" si="311"/>
        <v>-8.7247393893369303</v>
      </c>
      <c r="S525" s="26">
        <f t="shared" si="312"/>
        <v>1.6248873344031377E-4</v>
      </c>
      <c r="T525" s="26">
        <f t="shared" si="313"/>
        <v>1.1842771645734336</v>
      </c>
      <c r="U525" s="26">
        <f t="shared" si="314"/>
        <v>0.76571597765158372</v>
      </c>
      <c r="V525" s="26">
        <f t="shared" si="315"/>
        <v>0.5547221963102158</v>
      </c>
      <c r="W525" s="26">
        <f t="shared" si="316"/>
        <v>0.63523048109362834</v>
      </c>
      <c r="X525" s="26">
        <f t="shared" si="317"/>
        <v>6.6528400961592918E-2</v>
      </c>
      <c r="Y525" s="26">
        <f t="shared" si="318"/>
        <v>1.2628122509154438</v>
      </c>
      <c r="Z525" s="26">
        <f t="shared" si="319"/>
        <v>0.77950984121368971</v>
      </c>
      <c r="AA525" s="26">
        <f t="shared" si="320"/>
        <v>-3.333657771566032</v>
      </c>
      <c r="AB525" s="26">
        <f t="shared" si="321"/>
        <v>3.4434406894193852E-2</v>
      </c>
      <c r="AC525" s="26">
        <f t="shared" si="322"/>
        <v>1.8326788766270272</v>
      </c>
      <c r="AD525" s="26">
        <f t="shared" si="323"/>
        <v>0.86208054809072432</v>
      </c>
      <c r="AE525" s="26">
        <f t="shared" si="324"/>
        <v>9.5108876074775032E-3</v>
      </c>
      <c r="AF525" s="26">
        <f t="shared" si="325"/>
        <v>-3.8813822948964671</v>
      </c>
      <c r="AG525" s="26">
        <f t="shared" si="326"/>
        <v>2.0205613167807043E-2</v>
      </c>
      <c r="AH525" s="26">
        <f t="shared" si="327"/>
        <v>-1.3443299451962096</v>
      </c>
      <c r="AI525" s="26">
        <f t="shared" si="328"/>
        <v>0.20679890242194468</v>
      </c>
      <c r="AJ525" s="26">
        <f t="shared" si="329"/>
        <v>-1.142009970422339</v>
      </c>
      <c r="AK525" s="26">
        <f t="shared" si="330"/>
        <v>0.24195151916532207</v>
      </c>
      <c r="AL525" s="26">
        <f t="shared" si="331"/>
        <v>2.9270268813203604E-2</v>
      </c>
      <c r="AM525" s="27">
        <f t="shared" si="332"/>
        <v>0.15451482666987601</v>
      </c>
    </row>
    <row r="526" spans="1:39" ht="15" customHeight="1" x14ac:dyDescent="0.2">
      <c r="A526" s="24">
        <v>515</v>
      </c>
      <c r="B526" s="29">
        <f t="shared" si="333"/>
        <v>4.8523671601740563</v>
      </c>
      <c r="C526" s="29">
        <f t="shared" si="334"/>
        <v>-5.1482112136301357</v>
      </c>
      <c r="D526" s="29">
        <f t="shared" si="335"/>
        <v>-3.5797431883199406</v>
      </c>
      <c r="E526" s="29">
        <f t="shared" si="336"/>
        <v>-2.5501714605723125</v>
      </c>
      <c r="F526" s="29">
        <f t="shared" si="337"/>
        <v>2.0145733819804077</v>
      </c>
      <c r="G526" s="29">
        <f t="shared" si="338"/>
        <v>-0.82423451176699247</v>
      </c>
      <c r="H526" s="29">
        <f t="shared" si="339"/>
        <v>4.6546538972672415</v>
      </c>
      <c r="I526" s="29">
        <f t="shared" si="340"/>
        <v>3.2375486322772717</v>
      </c>
      <c r="J526" s="29">
        <f t="shared" si="341"/>
        <v>-1.9090854961932835</v>
      </c>
      <c r="K526" s="26">
        <f t="shared" si="304"/>
        <v>-3.5797431883199406</v>
      </c>
      <c r="L526" s="26">
        <f t="shared" si="305"/>
        <v>2.7126493805208502E-2</v>
      </c>
      <c r="M526" s="26">
        <f t="shared" si="306"/>
        <v>-0.82423451176699247</v>
      </c>
      <c r="N526" s="26">
        <f t="shared" si="307"/>
        <v>0.30486553062600291</v>
      </c>
      <c r="O526" s="26">
        <f t="shared" si="308"/>
        <v>-0.79580407437697365</v>
      </c>
      <c r="P526" s="26">
        <f t="shared" si="309"/>
        <v>0.31092378275416532</v>
      </c>
      <c r="Q526" s="26">
        <f t="shared" si="310"/>
        <v>4.8336799341079699E-2</v>
      </c>
      <c r="R526" s="26">
        <f t="shared" si="311"/>
        <v>-8.7279544019500754</v>
      </c>
      <c r="S526" s="26">
        <f t="shared" si="312"/>
        <v>1.6196725345658526E-4</v>
      </c>
      <c r="T526" s="26">
        <f t="shared" si="313"/>
        <v>1.1903388702134152</v>
      </c>
      <c r="U526" s="26">
        <f t="shared" si="314"/>
        <v>0.76680166541833528</v>
      </c>
      <c r="V526" s="26">
        <f t="shared" si="315"/>
        <v>0.57422608841731337</v>
      </c>
      <c r="W526" s="26">
        <f t="shared" si="316"/>
        <v>0.63973775003013422</v>
      </c>
      <c r="X526" s="26">
        <f t="shared" si="317"/>
        <v>6.4894444376675034E-2</v>
      </c>
      <c r="Y526" s="26">
        <f t="shared" si="318"/>
        <v>1.2726239718541157</v>
      </c>
      <c r="Z526" s="26">
        <f t="shared" si="319"/>
        <v>0.78119159771521962</v>
      </c>
      <c r="AA526" s="26">
        <f t="shared" si="320"/>
        <v>-3.3744059723393049</v>
      </c>
      <c r="AB526" s="26">
        <f t="shared" si="321"/>
        <v>3.3104987375451374E-2</v>
      </c>
      <c r="AC526" s="26">
        <f t="shared" si="322"/>
        <v>1.8342700252232356</v>
      </c>
      <c r="AD526" s="26">
        <f t="shared" si="323"/>
        <v>0.86226962299161813</v>
      </c>
      <c r="AE526" s="26">
        <f t="shared" si="324"/>
        <v>9.4848283754355028E-3</v>
      </c>
      <c r="AF526" s="26">
        <f t="shared" si="325"/>
        <v>-3.87558724177602</v>
      </c>
      <c r="AG526" s="26">
        <f t="shared" si="326"/>
        <v>2.0320659398114886E-2</v>
      </c>
      <c r="AH526" s="26">
        <f t="shared" si="327"/>
        <v>-1.3598325903588973</v>
      </c>
      <c r="AI526" s="26">
        <f t="shared" si="328"/>
        <v>0.20426751208428159</v>
      </c>
      <c r="AJ526" s="26">
        <f t="shared" si="329"/>
        <v>-1.153173855363661</v>
      </c>
      <c r="AK526" s="26">
        <f t="shared" si="330"/>
        <v>0.23990984298412993</v>
      </c>
      <c r="AL526" s="26">
        <f t="shared" si="331"/>
        <v>2.8778366380334937E-2</v>
      </c>
      <c r="AM526" s="27">
        <f t="shared" si="332"/>
        <v>0.15149443847352517</v>
      </c>
    </row>
    <row r="527" spans="1:39" ht="15" customHeight="1" x14ac:dyDescent="0.2">
      <c r="A527" s="24">
        <v>516</v>
      </c>
      <c r="B527" s="29">
        <f t="shared" si="333"/>
        <v>4.8613273061575146</v>
      </c>
      <c r="C527" s="29">
        <f t="shared" si="334"/>
        <v>-5.1522025019520221</v>
      </c>
      <c r="D527" s="29">
        <f t="shared" si="335"/>
        <v>-3.5789034559415547</v>
      </c>
      <c r="E527" s="29">
        <f t="shared" si="336"/>
        <v>-2.5714984218263002</v>
      </c>
      <c r="F527" s="29">
        <f t="shared" si="337"/>
        <v>2.0396202464684383</v>
      </c>
      <c r="G527" s="29">
        <f t="shared" si="338"/>
        <v>-0.84319807559764237</v>
      </c>
      <c r="H527" s="29">
        <f t="shared" si="339"/>
        <v>4.6647492255361982</v>
      </c>
      <c r="I527" s="29">
        <f t="shared" si="340"/>
        <v>3.2725132039465956</v>
      </c>
      <c r="J527" s="29">
        <f t="shared" si="341"/>
        <v>-1.9200614694772724</v>
      </c>
      <c r="K527" s="26">
        <f t="shared" si="304"/>
        <v>-3.5789034559415547</v>
      </c>
      <c r="L527" s="26">
        <f t="shared" si="305"/>
        <v>2.7148663688171579E-2</v>
      </c>
      <c r="M527" s="26">
        <f t="shared" si="306"/>
        <v>-0.84319807559764237</v>
      </c>
      <c r="N527" s="26">
        <f t="shared" si="307"/>
        <v>0.300861660123106</v>
      </c>
      <c r="O527" s="26">
        <f t="shared" si="308"/>
        <v>-0.80884600624937408</v>
      </c>
      <c r="P527" s="26">
        <f t="shared" si="309"/>
        <v>0.30813645927251998</v>
      </c>
      <c r="Q527" s="26">
        <f t="shared" si="310"/>
        <v>4.7474038766502684E-2</v>
      </c>
      <c r="R527" s="26">
        <f t="shared" si="311"/>
        <v>-8.7311059578935772</v>
      </c>
      <c r="S527" s="26">
        <f t="shared" si="312"/>
        <v>1.6145769039220884E-4</v>
      </c>
      <c r="T527" s="26">
        <f t="shared" si="313"/>
        <v>1.1964221708707958</v>
      </c>
      <c r="U527" s="26">
        <f t="shared" si="314"/>
        <v>0.76788769619437691</v>
      </c>
      <c r="V527" s="26">
        <f t="shared" si="315"/>
        <v>0.59361431510317186</v>
      </c>
      <c r="W527" s="26">
        <f t="shared" si="316"/>
        <v>0.64419400701905827</v>
      </c>
      <c r="X527" s="26">
        <f t="shared" si="317"/>
        <v>6.3298952320576973E-2</v>
      </c>
      <c r="Y527" s="26">
        <f t="shared" si="318"/>
        <v>1.2824238502159599</v>
      </c>
      <c r="Z527" s="26">
        <f t="shared" si="319"/>
        <v>0.78286208687846592</v>
      </c>
      <c r="AA527" s="26">
        <f t="shared" si="320"/>
        <v>-3.4146964974239427</v>
      </c>
      <c r="AB527" s="26">
        <f t="shared" si="321"/>
        <v>3.1839306555392029E-2</v>
      </c>
      <c r="AC527" s="26">
        <f t="shared" si="322"/>
        <v>1.8359883950977272</v>
      </c>
      <c r="AD527" s="26">
        <f t="shared" si="323"/>
        <v>0.86247357082517706</v>
      </c>
      <c r="AE527" s="26">
        <f t="shared" si="324"/>
        <v>9.456759360788795E-3</v>
      </c>
      <c r="AF527" s="26">
        <f t="shared" si="325"/>
        <v>-3.8697786517360622</v>
      </c>
      <c r="AG527" s="26">
        <f t="shared" si="326"/>
        <v>2.0436618006343218E-2</v>
      </c>
      <c r="AH527" s="26">
        <f t="shared" si="327"/>
        <v>-1.3750762509555043</v>
      </c>
      <c r="AI527" s="26">
        <f t="shared" si="328"/>
        <v>0.20180093968151147</v>
      </c>
      <c r="AJ527" s="26">
        <f t="shared" si="329"/>
        <v>-1.164333531783027</v>
      </c>
      <c r="AK527" s="26">
        <f t="shared" si="330"/>
        <v>0.23788075181996568</v>
      </c>
      <c r="AL527" s="26">
        <f t="shared" si="331"/>
        <v>2.8293626043216051E-2</v>
      </c>
      <c r="AM527" s="27">
        <f t="shared" si="332"/>
        <v>0.14852337649108452</v>
      </c>
    </row>
    <row r="528" spans="1:39" ht="15" customHeight="1" x14ac:dyDescent="0.2">
      <c r="A528" s="24">
        <v>517</v>
      </c>
      <c r="B528" s="29">
        <f t="shared" si="333"/>
        <v>4.8702350573991469</v>
      </c>
      <c r="C528" s="29">
        <f t="shared" si="334"/>
        <v>-5.1561683650900809</v>
      </c>
      <c r="D528" s="29">
        <f t="shared" si="335"/>
        <v>-3.5780276703808238</v>
      </c>
      <c r="E528" s="29">
        <f t="shared" si="336"/>
        <v>-2.5925859044500013</v>
      </c>
      <c r="F528" s="29">
        <f t="shared" si="337"/>
        <v>2.064455827418378</v>
      </c>
      <c r="G528" s="29">
        <f t="shared" si="338"/>
        <v>-0.86193563844951182</v>
      </c>
      <c r="H528" s="29">
        <f t="shared" si="339"/>
        <v>4.6748679800433077</v>
      </c>
      <c r="I528" s="29">
        <f t="shared" si="340"/>
        <v>3.3071897427046797</v>
      </c>
      <c r="J528" s="29">
        <f t="shared" si="341"/>
        <v>-1.931012795101541</v>
      </c>
      <c r="K528" s="26">
        <f t="shared" si="304"/>
        <v>-3.5780276703808238</v>
      </c>
      <c r="L528" s="26">
        <f t="shared" si="305"/>
        <v>2.7171804179505051E-2</v>
      </c>
      <c r="M528" s="26">
        <f t="shared" si="306"/>
        <v>-0.86193563844951182</v>
      </c>
      <c r="N528" s="26">
        <f t="shared" si="307"/>
        <v>0.29693509401449697</v>
      </c>
      <c r="O528" s="26">
        <f t="shared" si="308"/>
        <v>-0.82196750060897172</v>
      </c>
      <c r="P528" s="26">
        <f t="shared" si="309"/>
        <v>0.30534617380348339</v>
      </c>
      <c r="Q528" s="26">
        <f t="shared" si="310"/>
        <v>4.6618142928213542E-2</v>
      </c>
      <c r="R528" s="26">
        <f t="shared" si="311"/>
        <v>-8.7341960354709052</v>
      </c>
      <c r="S528" s="26">
        <f t="shared" si="312"/>
        <v>1.6095962383736486E-4</v>
      </c>
      <c r="T528" s="26">
        <f t="shared" si="313"/>
        <v>1.2025201889688661</v>
      </c>
      <c r="U528" s="26">
        <f t="shared" si="314"/>
        <v>0.76897280767599463</v>
      </c>
      <c r="V528" s="26">
        <f t="shared" si="315"/>
        <v>0.6128786518548841</v>
      </c>
      <c r="W528" s="26">
        <f t="shared" si="316"/>
        <v>0.64859718149986301</v>
      </c>
      <c r="X528" s="26">
        <f t="shared" si="317"/>
        <v>6.1741970424920113E-2</v>
      </c>
      <c r="Y528" s="26">
        <f t="shared" si="318"/>
        <v>1.2922073870183231</v>
      </c>
      <c r="Z528" s="26">
        <f t="shared" si="319"/>
        <v>0.7845205779821266</v>
      </c>
      <c r="AA528" s="26">
        <f t="shared" si="320"/>
        <v>-3.4545215428995131</v>
      </c>
      <c r="AB528" s="26">
        <f t="shared" si="321"/>
        <v>3.0634302997498225E-2</v>
      </c>
      <c r="AC528" s="26">
        <f t="shared" si="322"/>
        <v>1.8378307872404047</v>
      </c>
      <c r="AD528" s="26">
        <f t="shared" si="323"/>
        <v>0.8626919564157135</v>
      </c>
      <c r="AE528" s="26">
        <f t="shared" si="324"/>
        <v>9.4267494164721605E-3</v>
      </c>
      <c r="AF528" s="26">
        <f t="shared" si="325"/>
        <v>-3.8639609780717579</v>
      </c>
      <c r="AG528" s="26">
        <f t="shared" si="326"/>
        <v>2.0553407304260335E-2</v>
      </c>
      <c r="AH528" s="26">
        <f t="shared" si="327"/>
        <v>-1.3900657154811351</v>
      </c>
      <c r="AI528" s="26">
        <f t="shared" si="328"/>
        <v>0.19939726595369922</v>
      </c>
      <c r="AJ528" s="26">
        <f t="shared" si="329"/>
        <v>-1.175483736728635</v>
      </c>
      <c r="AK528" s="26">
        <f t="shared" si="330"/>
        <v>0.23586520383336779</v>
      </c>
      <c r="AL528" s="26">
        <f t="shared" si="331"/>
        <v>2.7816197189678066E-2</v>
      </c>
      <c r="AM528" s="27">
        <f t="shared" si="332"/>
        <v>0.14560305995928388</v>
      </c>
    </row>
    <row r="529" spans="1:39" ht="15" customHeight="1" x14ac:dyDescent="0.2">
      <c r="A529" s="24">
        <v>518</v>
      </c>
      <c r="B529" s="29">
        <f t="shared" si="333"/>
        <v>4.8790880687700025</v>
      </c>
      <c r="C529" s="29">
        <f t="shared" si="334"/>
        <v>-5.160108769082445</v>
      </c>
      <c r="D529" s="29">
        <f t="shared" si="335"/>
        <v>-3.5771178553090937</v>
      </c>
      <c r="E529" s="29">
        <f t="shared" si="336"/>
        <v>-2.6134321761188515</v>
      </c>
      <c r="F529" s="29">
        <f t="shared" si="337"/>
        <v>2.0890686007022436</v>
      </c>
      <c r="G529" s="29">
        <f t="shared" si="338"/>
        <v>-0.88044217677670222</v>
      </c>
      <c r="H529" s="29">
        <f t="shared" si="339"/>
        <v>4.6850073384828583</v>
      </c>
      <c r="I529" s="29">
        <f t="shared" si="340"/>
        <v>3.3415679765812185</v>
      </c>
      <c r="J529" s="29">
        <f t="shared" si="341"/>
        <v>-1.941934288362215</v>
      </c>
      <c r="K529" s="26">
        <f t="shared" si="304"/>
        <v>-3.5771178553090937</v>
      </c>
      <c r="L529" s="26">
        <f t="shared" si="305"/>
        <v>2.7195864122286081E-2</v>
      </c>
      <c r="M529" s="26">
        <f t="shared" si="306"/>
        <v>-0.88044217677670222</v>
      </c>
      <c r="N529" s="26">
        <f t="shared" si="307"/>
        <v>0.29308615739498128</v>
      </c>
      <c r="O529" s="26">
        <f t="shared" si="308"/>
        <v>-0.83515414744260985</v>
      </c>
      <c r="P529" s="26">
        <f t="shared" si="309"/>
        <v>0.30255635703620082</v>
      </c>
      <c r="Q529" s="26">
        <f t="shared" si="310"/>
        <v>4.5770174591508513E-2</v>
      </c>
      <c r="R529" s="26">
        <f t="shared" si="311"/>
        <v>-8.7372266243915391</v>
      </c>
      <c r="S529" s="26">
        <f t="shared" si="312"/>
        <v>1.6047263796336298E-4</v>
      </c>
      <c r="T529" s="26">
        <f t="shared" si="313"/>
        <v>1.2086264239255415</v>
      </c>
      <c r="U529" s="26">
        <f t="shared" si="314"/>
        <v>0.77005582035670928</v>
      </c>
      <c r="V529" s="26">
        <f t="shared" si="315"/>
        <v>0.63201139660822814</v>
      </c>
      <c r="W529" s="26">
        <f t="shared" si="316"/>
        <v>0.65294540026932135</v>
      </c>
      <c r="X529" s="26">
        <f t="shared" si="317"/>
        <v>6.0223447597110784E-2</v>
      </c>
      <c r="Y529" s="26">
        <f t="shared" si="318"/>
        <v>1.3019702134609088</v>
      </c>
      <c r="Z529" s="26">
        <f t="shared" si="319"/>
        <v>0.78616638000637851</v>
      </c>
      <c r="AA529" s="26">
        <f t="shared" si="320"/>
        <v>-3.4938743528955536</v>
      </c>
      <c r="AB529" s="26">
        <f t="shared" si="321"/>
        <v>2.9487027373477921E-2</v>
      </c>
      <c r="AC529" s="26">
        <f t="shared" si="322"/>
        <v>1.8397938776319596</v>
      </c>
      <c r="AD529" s="26">
        <f t="shared" si="323"/>
        <v>0.86292432787192452</v>
      </c>
      <c r="AE529" s="26">
        <f t="shared" si="324"/>
        <v>9.3948699446818242E-3</v>
      </c>
      <c r="AF529" s="26">
        <f t="shared" si="325"/>
        <v>-3.8581385556215362</v>
      </c>
      <c r="AG529" s="26">
        <f t="shared" si="326"/>
        <v>2.0670946067557268E-2</v>
      </c>
      <c r="AH529" s="26">
        <f t="shared" si="327"/>
        <v>-1.4048057521933099</v>
      </c>
      <c r="AI529" s="26">
        <f t="shared" si="328"/>
        <v>0.19705461846880459</v>
      </c>
      <c r="AJ529" s="26">
        <f t="shared" si="329"/>
        <v>-1.1866193516295385</v>
      </c>
      <c r="AK529" s="26">
        <f t="shared" si="330"/>
        <v>0.23386410718537454</v>
      </c>
      <c r="AL529" s="26">
        <f t="shared" si="331"/>
        <v>2.7346210314806173E-2</v>
      </c>
      <c r="AM529" s="27">
        <f t="shared" si="332"/>
        <v>0.14273470244810729</v>
      </c>
    </row>
    <row r="530" spans="1:39" ht="15" customHeight="1" x14ac:dyDescent="0.2">
      <c r="A530" s="24">
        <v>519</v>
      </c>
      <c r="B530" s="29">
        <f t="shared" si="333"/>
        <v>4.8878841263484727</v>
      </c>
      <c r="C530" s="29">
        <f t="shared" si="334"/>
        <v>-5.1640236917523508</v>
      </c>
      <c r="D530" s="29">
        <f t="shared" si="335"/>
        <v>-3.5761760278947263</v>
      </c>
      <c r="E530" s="29">
        <f t="shared" si="336"/>
        <v>-2.634035850652662</v>
      </c>
      <c r="F530" s="29">
        <f t="shared" si="337"/>
        <v>2.1134480913425313</v>
      </c>
      <c r="G530" s="29">
        <f t="shared" si="338"/>
        <v>-0.89871334192153407</v>
      </c>
      <c r="H530" s="29">
        <f t="shared" si="339"/>
        <v>4.6951645082741873</v>
      </c>
      <c r="I530" s="29">
        <f t="shared" si="340"/>
        <v>3.3756385026341804</v>
      </c>
      <c r="J530" s="29">
        <f t="shared" si="341"/>
        <v>-1.9528209796251523</v>
      </c>
      <c r="K530" s="26">
        <f t="shared" si="304"/>
        <v>-3.5761760278947263</v>
      </c>
      <c r="L530" s="26">
        <f t="shared" si="305"/>
        <v>2.7220792441702262E-2</v>
      </c>
      <c r="M530" s="26">
        <f t="shared" si="306"/>
        <v>-0.89871334192153407</v>
      </c>
      <c r="N530" s="26">
        <f t="shared" si="307"/>
        <v>0.28931497775431142</v>
      </c>
      <c r="O530" s="26">
        <f t="shared" si="308"/>
        <v>-0.84839210276956867</v>
      </c>
      <c r="P530" s="26">
        <f t="shared" si="309"/>
        <v>0.29977025940100704</v>
      </c>
      <c r="Q530" s="26">
        <f t="shared" si="310"/>
        <v>4.4931104210673527E-2</v>
      </c>
      <c r="R530" s="26">
        <f t="shared" si="311"/>
        <v>-8.7401997196470766</v>
      </c>
      <c r="S530" s="26">
        <f t="shared" si="312"/>
        <v>1.5999632227591914E-4</v>
      </c>
      <c r="T530" s="26">
        <f t="shared" si="313"/>
        <v>1.2147347494209972</v>
      </c>
      <c r="U530" s="26">
        <f t="shared" si="314"/>
        <v>0.77113563605030755</v>
      </c>
      <c r="V530" s="26">
        <f t="shared" si="315"/>
        <v>0.65100537323336849</v>
      </c>
      <c r="W530" s="26">
        <f t="shared" si="316"/>
        <v>0.65723698545733522</v>
      </c>
      <c r="X530" s="26">
        <f t="shared" si="317"/>
        <v>5.8743242069187511E-2</v>
      </c>
      <c r="Y530" s="26">
        <f t="shared" si="318"/>
        <v>1.3117080984537464</v>
      </c>
      <c r="Z530" s="26">
        <f t="shared" si="319"/>
        <v>0.78779884218642415</v>
      </c>
      <c r="AA530" s="26">
        <f t="shared" si="320"/>
        <v>-3.5327491925741961</v>
      </c>
      <c r="AB530" s="26">
        <f t="shared" si="321"/>
        <v>2.8394643483076177E-2</v>
      </c>
      <c r="AC530" s="26">
        <f t="shared" si="322"/>
        <v>1.8418742356780864</v>
      </c>
      <c r="AD530" s="26">
        <f t="shared" si="323"/>
        <v>0.86317021922306347</v>
      </c>
      <c r="AE530" s="26">
        <f t="shared" si="324"/>
        <v>9.3611944537322547E-3</v>
      </c>
      <c r="AF530" s="26">
        <f t="shared" si="325"/>
        <v>-3.8523155932986044</v>
      </c>
      <c r="AG530" s="26">
        <f t="shared" si="326"/>
        <v>2.0789153722855037E-2</v>
      </c>
      <c r="AH530" s="26">
        <f t="shared" si="327"/>
        <v>-1.4193011012316648</v>
      </c>
      <c r="AI530" s="26">
        <f t="shared" si="328"/>
        <v>0.19477117225105037</v>
      </c>
      <c r="AJ530" s="26">
        <f t="shared" si="329"/>
        <v>-1.1977354146547075</v>
      </c>
      <c r="AK530" s="26">
        <f t="shared" si="330"/>
        <v>0.23187831859730171</v>
      </c>
      <c r="AL530" s="26">
        <f t="shared" si="331"/>
        <v>2.6883777317755878E-2</v>
      </c>
      <c r="AM530" s="27">
        <f t="shared" si="332"/>
        <v>0.13991931805134916</v>
      </c>
    </row>
    <row r="531" spans="1:39" ht="15" customHeight="1" x14ac:dyDescent="0.2">
      <c r="A531" s="24">
        <v>520</v>
      </c>
      <c r="B531" s="29">
        <f t="shared" si="333"/>
        <v>4.8966211481114605</v>
      </c>
      <c r="C531" s="29">
        <f t="shared" si="334"/>
        <v>-5.167913122701389</v>
      </c>
      <c r="D531" s="29">
        <f t="shared" si="335"/>
        <v>-3.5752041928414324</v>
      </c>
      <c r="E531" s="29">
        <f t="shared" si="336"/>
        <v>-2.6543958765015416</v>
      </c>
      <c r="F531" s="29">
        <f t="shared" si="337"/>
        <v>2.1375848489302878</v>
      </c>
      <c r="G531" s="29">
        <f t="shared" si="338"/>
        <v>-0.91674543981480583</v>
      </c>
      <c r="H531" s="29">
        <f t="shared" si="339"/>
        <v>4.7053367324218662</v>
      </c>
      <c r="I531" s="29">
        <f t="shared" si="340"/>
        <v>3.4093927783358149</v>
      </c>
      <c r="J531" s="29">
        <f t="shared" si="341"/>
        <v>-1.9636681237845033</v>
      </c>
      <c r="K531" s="26">
        <f t="shared" si="304"/>
        <v>-3.5752041928414324</v>
      </c>
      <c r="L531" s="26">
        <f t="shared" si="305"/>
        <v>2.7246538287105857E-2</v>
      </c>
      <c r="M531" s="26">
        <f t="shared" si="306"/>
        <v>-0.91674543981480583</v>
      </c>
      <c r="N531" s="26">
        <f t="shared" si="307"/>
        <v>0.28562149721804747</v>
      </c>
      <c r="O531" s="26">
        <f t="shared" si="308"/>
        <v>-0.8616681163981712</v>
      </c>
      <c r="P531" s="26">
        <f t="shared" si="309"/>
        <v>0.2969909461940955</v>
      </c>
      <c r="Q531" s="26">
        <f t="shared" si="310"/>
        <v>4.410181106063206E-2</v>
      </c>
      <c r="R531" s="26">
        <f t="shared" si="311"/>
        <v>-8.7431173155428219</v>
      </c>
      <c r="S531" s="26">
        <f t="shared" si="312"/>
        <v>1.5953027233547531E-4</v>
      </c>
      <c r="T531" s="26">
        <f t="shared" si="313"/>
        <v>1.2208394091154819</v>
      </c>
      <c r="U531" s="26">
        <f t="shared" si="314"/>
        <v>0.77221123610288034</v>
      </c>
      <c r="V531" s="26">
        <f t="shared" si="315"/>
        <v>0.66985393158478335</v>
      </c>
      <c r="W531" s="26">
        <f t="shared" si="316"/>
        <v>0.66147045126958537</v>
      </c>
      <c r="X531" s="26">
        <f t="shared" si="317"/>
        <v>5.7301127681809089E-2</v>
      </c>
      <c r="Y531" s="26">
        <f t="shared" si="318"/>
        <v>1.3214169552700281</v>
      </c>
      <c r="Z531" s="26">
        <f t="shared" si="319"/>
        <v>0.78941735435629501</v>
      </c>
      <c r="AA531" s="26">
        <f t="shared" si="320"/>
        <v>-3.5711413163163472</v>
      </c>
      <c r="AB531" s="26">
        <f t="shared" si="321"/>
        <v>2.735442851517076E-2</v>
      </c>
      <c r="AC531" s="26">
        <f t="shared" si="322"/>
        <v>1.8440683419145869</v>
      </c>
      <c r="AD531" s="26">
        <f t="shared" si="323"/>
        <v>0.86342915295704936</v>
      </c>
      <c r="AE531" s="26">
        <f t="shared" si="324"/>
        <v>9.3257981310145097E-3</v>
      </c>
      <c r="AF531" s="26">
        <f t="shared" si="325"/>
        <v>-3.8464961674313609</v>
      </c>
      <c r="AG531" s="26">
        <f t="shared" si="326"/>
        <v>2.0907950527639885E-2</v>
      </c>
      <c r="AH531" s="26">
        <f t="shared" si="327"/>
        <v>-1.4335564673860597</v>
      </c>
      <c r="AI531" s="26">
        <f t="shared" si="328"/>
        <v>0.1925451501794066</v>
      </c>
      <c r="AJ531" s="26">
        <f t="shared" si="329"/>
        <v>-1.2088271316418864</v>
      </c>
      <c r="AK531" s="26">
        <f t="shared" si="330"/>
        <v>0.22990864228360813</v>
      </c>
      <c r="AL531" s="26">
        <f t="shared" si="331"/>
        <v>2.6428991898346042E-2</v>
      </c>
      <c r="AM531" s="27">
        <f t="shared" si="332"/>
        <v>0.13715772877180171</v>
      </c>
    </row>
    <row r="532" spans="1:39" ht="15" customHeight="1" x14ac:dyDescent="0.2">
      <c r="A532" s="24">
        <v>521</v>
      </c>
      <c r="B532" s="29">
        <f t="shared" si="333"/>
        <v>4.9052971840095596</v>
      </c>
      <c r="C532" s="29">
        <f t="shared" si="334"/>
        <v>-5.171777063240631</v>
      </c>
      <c r="D532" s="29">
        <f t="shared" si="335"/>
        <v>-3.5742043366913281</v>
      </c>
      <c r="E532" s="29">
        <f t="shared" si="336"/>
        <v>-2.6745115244411708</v>
      </c>
      <c r="F532" s="29">
        <f t="shared" si="337"/>
        <v>2.161470418292172</v>
      </c>
      <c r="G532" s="29">
        <f t="shared" si="338"/>
        <v>-0.93453540737684748</v>
      </c>
      <c r="H532" s="29">
        <f t="shared" si="339"/>
        <v>4.7155212949708867</v>
      </c>
      <c r="I532" s="29">
        <f t="shared" si="340"/>
        <v>3.4428231082423091</v>
      </c>
      <c r="J532" s="29">
        <f t="shared" si="341"/>
        <v>-1.974471207688667</v>
      </c>
      <c r="K532" s="26">
        <f t="shared" si="304"/>
        <v>-3.5742043366913281</v>
      </c>
      <c r="L532" s="26">
        <f t="shared" si="305"/>
        <v>2.7273051168967929E-2</v>
      </c>
      <c r="M532" s="26">
        <f t="shared" si="306"/>
        <v>-0.93453540737684748</v>
      </c>
      <c r="N532" s="26">
        <f t="shared" si="307"/>
        <v>0.28200548525570257</v>
      </c>
      <c r="O532" s="26">
        <f t="shared" si="308"/>
        <v>-0.87496955283314959</v>
      </c>
      <c r="P532" s="26">
        <f t="shared" si="309"/>
        <v>0.29422129463359609</v>
      </c>
      <c r="Q532" s="26">
        <f t="shared" si="310"/>
        <v>4.3283085107934681E-2</v>
      </c>
      <c r="R532" s="26">
        <f t="shared" si="311"/>
        <v>-8.74598139993196</v>
      </c>
      <c r="S532" s="26">
        <f t="shared" si="312"/>
        <v>1.590740904386968E-4</v>
      </c>
      <c r="T532" s="26">
        <f t="shared" si="313"/>
        <v>1.2269350109153245</v>
      </c>
      <c r="U532" s="26">
        <f t="shared" si="314"/>
        <v>0.77328167932520964</v>
      </c>
      <c r="V532" s="26">
        <f t="shared" si="315"/>
        <v>0.68855094433352582</v>
      </c>
      <c r="W532" s="26">
        <f t="shared" si="316"/>
        <v>0.66564449961784244</v>
      </c>
      <c r="X532" s="26">
        <f t="shared" si="317"/>
        <v>5.5896800317901479E-2</v>
      </c>
      <c r="Y532" s="26">
        <f t="shared" si="318"/>
        <v>1.3310928473182315</v>
      </c>
      <c r="Z532" s="26">
        <f t="shared" si="319"/>
        <v>0.79102134709079741</v>
      </c>
      <c r="AA532" s="26">
        <f t="shared" si="320"/>
        <v>-3.6090469318180185</v>
      </c>
      <c r="AB532" s="26">
        <f t="shared" si="321"/>
        <v>2.6363772629392948E-2</v>
      </c>
      <c r="AC532" s="26">
        <f t="shared" si="322"/>
        <v>1.8463726049234652</v>
      </c>
      <c r="AD532" s="26">
        <f t="shared" si="323"/>
        <v>0.86370064244936218</v>
      </c>
      <c r="AE532" s="26">
        <f t="shared" si="324"/>
        <v>9.2887574343583062E-3</v>
      </c>
      <c r="AF532" s="26">
        <f t="shared" si="325"/>
        <v>-3.8406842159223995</v>
      </c>
      <c r="AG532" s="26">
        <f t="shared" si="326"/>
        <v>2.1027257742154876E-2</v>
      </c>
      <c r="AH532" s="26">
        <f t="shared" si="327"/>
        <v>-1.4475765135258463</v>
      </c>
      <c r="AI532" s="26">
        <f t="shared" si="328"/>
        <v>0.19037482317354909</v>
      </c>
      <c r="AJ532" s="26">
        <f t="shared" si="329"/>
        <v>-1.2198898855812561</v>
      </c>
      <c r="AK532" s="26">
        <f t="shared" si="330"/>
        <v>0.22795582924607696</v>
      </c>
      <c r="AL532" s="26">
        <f t="shared" si="331"/>
        <v>2.5981930043633299E-2</v>
      </c>
      <c r="AM532" s="27">
        <f t="shared" si="332"/>
        <v>0.13445057290382778</v>
      </c>
    </row>
    <row r="533" spans="1:39" ht="15" customHeight="1" x14ac:dyDescent="0.2">
      <c r="A533" s="24">
        <v>522</v>
      </c>
      <c r="B533" s="29">
        <f t="shared" si="333"/>
        <v>4.9139104154661375</v>
      </c>
      <c r="C533" s="29">
        <f t="shared" si="334"/>
        <v>-5.1756155262640942</v>
      </c>
      <c r="D533" s="29">
        <f t="shared" si="335"/>
        <v>-3.5731784224304182</v>
      </c>
      <c r="E533" s="29">
        <f t="shared" si="336"/>
        <v>-2.6943823745912723</v>
      </c>
      <c r="F533" s="29">
        <f t="shared" si="337"/>
        <v>2.1850973060975796</v>
      </c>
      <c r="G533" s="29">
        <f t="shared" si="338"/>
        <v>-0.9520807861991416</v>
      </c>
      <c r="H533" s="29">
        <f t="shared" si="339"/>
        <v>4.7257155260454367</v>
      </c>
      <c r="I533" s="29">
        <f t="shared" si="340"/>
        <v>3.4759226264157586</v>
      </c>
      <c r="J533" s="29">
        <f t="shared" si="341"/>
        <v>-1.9852259556194787</v>
      </c>
      <c r="K533" s="26">
        <f t="shared" si="304"/>
        <v>-3.5731784224304182</v>
      </c>
      <c r="L533" s="26">
        <f t="shared" si="305"/>
        <v>2.7300281089758374E-2</v>
      </c>
      <c r="M533" s="26">
        <f t="shared" si="306"/>
        <v>-0.9520807861991416</v>
      </c>
      <c r="N533" s="26">
        <f t="shared" si="307"/>
        <v>0.27846655165813106</v>
      </c>
      <c r="O533" s="26">
        <f t="shared" si="308"/>
        <v>-0.88828440579973256</v>
      </c>
      <c r="P533" s="26">
        <f t="shared" si="309"/>
        <v>0.29146399268786988</v>
      </c>
      <c r="Q533" s="26">
        <f t="shared" si="310"/>
        <v>4.247562951677733E-2</v>
      </c>
      <c r="R533" s="26">
        <f t="shared" si="311"/>
        <v>-8.7487939486945123</v>
      </c>
      <c r="S533" s="26">
        <f t="shared" si="312"/>
        <v>1.5862738625606527E-4</v>
      </c>
      <c r="T533" s="26">
        <f t="shared" si="313"/>
        <v>1.233016519898438</v>
      </c>
      <c r="U533" s="26">
        <f t="shared" si="314"/>
        <v>0.77434609967819257</v>
      </c>
      <c r="V533" s="26">
        <f t="shared" si="315"/>
        <v>0.70709080083082942</v>
      </c>
      <c r="W533" s="26">
        <f t="shared" si="316"/>
        <v>0.66975801476574859</v>
      </c>
      <c r="X533" s="26">
        <f t="shared" si="317"/>
        <v>5.4529884405729763E-2</v>
      </c>
      <c r="Y533" s="26">
        <f t="shared" si="318"/>
        <v>1.3407319930357193</v>
      </c>
      <c r="Z533" s="26">
        <f t="shared" si="319"/>
        <v>0.79261029165486629</v>
      </c>
      <c r="AA533" s="26">
        <f t="shared" si="320"/>
        <v>-3.6464631607904137</v>
      </c>
      <c r="AB533" s="26">
        <f t="shared" si="321"/>
        <v>2.5420177936306357E-2</v>
      </c>
      <c r="AC533" s="26">
        <f t="shared" si="322"/>
        <v>1.8487833774136464</v>
      </c>
      <c r="AD533" s="26">
        <f t="shared" si="323"/>
        <v>0.86398419427376494</v>
      </c>
      <c r="AE533" s="26">
        <f t="shared" si="324"/>
        <v>9.2501497036784602E-3</v>
      </c>
      <c r="AF533" s="26">
        <f t="shared" si="325"/>
        <v>-3.8348835332283748</v>
      </c>
      <c r="AG533" s="26">
        <f t="shared" si="326"/>
        <v>2.1146997792378299E-2</v>
      </c>
      <c r="AH533" s="26">
        <f t="shared" si="327"/>
        <v>-1.4613658546928343</v>
      </c>
      <c r="AI533" s="26">
        <f t="shared" si="328"/>
        <v>0.18825851018496589</v>
      </c>
      <c r="AJ533" s="26">
        <f t="shared" si="329"/>
        <v>-1.2309192446555435</v>
      </c>
      <c r="AK533" s="26">
        <f t="shared" si="330"/>
        <v>0.22602057691415883</v>
      </c>
      <c r="AL533" s="26">
        <f t="shared" si="331"/>
        <v>2.5542650594304595E-2</v>
      </c>
      <c r="AM533" s="27">
        <f t="shared" si="332"/>
        <v>0.13179831422049015</v>
      </c>
    </row>
    <row r="534" spans="1:39" ht="15" customHeight="1" x14ac:dyDescent="0.2">
      <c r="A534" s="24">
        <v>523</v>
      </c>
      <c r="B534" s="29">
        <f t="shared" si="333"/>
        <v>4.922459154341996</v>
      </c>
      <c r="C534" s="29">
        <f t="shared" si="334"/>
        <v>-5.179428536069282</v>
      </c>
      <c r="D534" s="29">
        <f t="shared" si="335"/>
        <v>-3.5721283844285816</v>
      </c>
      <c r="E534" s="29">
        <f t="shared" si="336"/>
        <v>-2.7140083028722537</v>
      </c>
      <c r="F534" s="29">
        <f t="shared" si="337"/>
        <v>2.2084589440822673</v>
      </c>
      <c r="G534" s="29">
        <f t="shared" si="338"/>
        <v>-0.96937969406070712</v>
      </c>
      <c r="H534" s="29">
        <f t="shared" si="339"/>
        <v>4.735916806463937</v>
      </c>
      <c r="I534" s="29">
        <f t="shared" si="340"/>
        <v>3.5086852750844484</v>
      </c>
      <c r="J534" s="29">
        <f t="shared" si="341"/>
        <v>-1.9959283329261148</v>
      </c>
      <c r="K534" s="26">
        <f t="shared" si="304"/>
        <v>-3.5721283844285816</v>
      </c>
      <c r="L534" s="26">
        <f t="shared" si="305"/>
        <v>2.7328178667899584E-2</v>
      </c>
      <c r="M534" s="26">
        <f t="shared" si="306"/>
        <v>-0.96937969406070712</v>
      </c>
      <c r="N534" s="26">
        <f t="shared" si="307"/>
        <v>0.27500415960555052</v>
      </c>
      <c r="O534" s="26">
        <f t="shared" si="308"/>
        <v>-0.90160130688779128</v>
      </c>
      <c r="P534" s="26">
        <f t="shared" si="309"/>
        <v>0.28872153950798501</v>
      </c>
      <c r="Q534" s="26">
        <f t="shared" si="310"/>
        <v>4.1680063687930473E-2</v>
      </c>
      <c r="R534" s="26">
        <f t="shared" si="311"/>
        <v>-8.7515569204978636</v>
      </c>
      <c r="S534" s="26">
        <f t="shared" si="312"/>
        <v>1.581897774213182E-4</v>
      </c>
      <c r="T534" s="26">
        <f t="shared" si="313"/>
        <v>1.2390792500215602</v>
      </c>
      <c r="U534" s="26">
        <f t="shared" si="314"/>
        <v>0.77540370374480216</v>
      </c>
      <c r="V534" s="26">
        <f t="shared" si="315"/>
        <v>0.72546839827471699</v>
      </c>
      <c r="W534" s="26">
        <f t="shared" si="316"/>
        <v>0.67381005712146058</v>
      </c>
      <c r="X534" s="26">
        <f t="shared" si="317"/>
        <v>5.3199939417552404E-2</v>
      </c>
      <c r="Y534" s="26">
        <f t="shared" si="318"/>
        <v>1.3503307699134144</v>
      </c>
      <c r="Z534" s="26">
        <f t="shared" si="319"/>
        <v>0.79418369977079806</v>
      </c>
      <c r="AA534" s="26">
        <f t="shared" si="320"/>
        <v>-3.6833879969329608</v>
      </c>
      <c r="AB534" s="26">
        <f t="shared" si="321"/>
        <v>2.4521256951877866E-2</v>
      </c>
      <c r="AC534" s="26">
        <f t="shared" si="322"/>
        <v>1.8512969714317333</v>
      </c>
      <c r="AD534" s="26">
        <f t="shared" si="323"/>
        <v>0.86427931038785877</v>
      </c>
      <c r="AE534" s="26">
        <f t="shared" si="324"/>
        <v>9.2100527943975909E-3</v>
      </c>
      <c r="AF534" s="26">
        <f t="shared" si="325"/>
        <v>-3.8290977661558676</v>
      </c>
      <c r="AG534" s="26">
        <f t="shared" si="326"/>
        <v>2.1267094423329198E-2</v>
      </c>
      <c r="AH534" s="26">
        <f t="shared" si="327"/>
        <v>-1.4749290528506935</v>
      </c>
      <c r="AI534" s="26">
        <f t="shared" si="328"/>
        <v>0.18619457801106165</v>
      </c>
      <c r="AJ534" s="26">
        <f t="shared" si="329"/>
        <v>-1.24191096885404</v>
      </c>
      <c r="AK534" s="26">
        <f t="shared" si="330"/>
        <v>0.22410352911335626</v>
      </c>
      <c r="AL534" s="26">
        <f t="shared" si="331"/>
        <v>2.511119588053046E-2</v>
      </c>
      <c r="AM534" s="27">
        <f t="shared" si="332"/>
        <v>0.12920125178041092</v>
      </c>
    </row>
    <row r="535" spans="1:39" ht="15" customHeight="1" x14ac:dyDescent="0.2">
      <c r="A535" s="24">
        <v>524</v>
      </c>
      <c r="B535" s="29">
        <f t="shared" si="333"/>
        <v>4.9309418414084503</v>
      </c>
      <c r="C535" s="29">
        <f t="shared" si="334"/>
        <v>-5.1832161281297147</v>
      </c>
      <c r="D535" s="29">
        <f t="shared" si="335"/>
        <v>-3.5710561237402869</v>
      </c>
      <c r="E535" s="29">
        <f t="shared" si="336"/>
        <v>-2.7333894670142831</v>
      </c>
      <c r="F535" s="29">
        <f t="shared" si="337"/>
        <v>2.2315496495400886</v>
      </c>
      <c r="G535" s="29">
        <f t="shared" si="338"/>
        <v>-0.98643079480037243</v>
      </c>
      <c r="H535" s="29">
        <f t="shared" si="339"/>
        <v>4.7461225719269136</v>
      </c>
      <c r="I535" s="29">
        <f t="shared" si="340"/>
        <v>3.5411057800337962</v>
      </c>
      <c r="J535" s="29">
        <f t="shared" si="341"/>
        <v>-2.0065745479281754</v>
      </c>
      <c r="K535" s="26">
        <f t="shared" si="304"/>
        <v>-3.5710561237402869</v>
      </c>
      <c r="L535" s="26">
        <f t="shared" si="305"/>
        <v>2.7356695254071101E-2</v>
      </c>
      <c r="M535" s="26">
        <f t="shared" si="306"/>
        <v>-0.98643079480037243</v>
      </c>
      <c r="N535" s="26">
        <f t="shared" si="307"/>
        <v>0.27161763866809358</v>
      </c>
      <c r="O535" s="26">
        <f t="shared" si="308"/>
        <v>-0.91490952884278531</v>
      </c>
      <c r="P535" s="26">
        <f t="shared" si="309"/>
        <v>0.28599624729188172</v>
      </c>
      <c r="Q535" s="26">
        <f t="shared" si="310"/>
        <v>4.089692673251958E-2</v>
      </c>
      <c r="R535" s="26">
        <f t="shared" si="311"/>
        <v>-8.7542722518700025</v>
      </c>
      <c r="S535" s="26">
        <f t="shared" si="312"/>
        <v>1.5776089006933619E-4</v>
      </c>
      <c r="T535" s="26">
        <f t="shared" si="313"/>
        <v>1.2451188547397161</v>
      </c>
      <c r="U535" s="26">
        <f t="shared" si="314"/>
        <v>0.77645376802232835</v>
      </c>
      <c r="V535" s="26">
        <f t="shared" si="315"/>
        <v>0.74367913046603729</v>
      </c>
      <c r="W535" s="26">
        <f t="shared" si="316"/>
        <v>0.67779985630908524</v>
      </c>
      <c r="X535" s="26">
        <f t="shared" si="317"/>
        <v>5.1906466297223064E-2</v>
      </c>
      <c r="Y535" s="26">
        <f t="shared" si="318"/>
        <v>1.3598857176681634</v>
      </c>
      <c r="Z535" s="26">
        <f t="shared" si="319"/>
        <v>0.7957411232148498</v>
      </c>
      <c r="AA535" s="26">
        <f t="shared" si="320"/>
        <v>-3.7198202618146556</v>
      </c>
      <c r="AB535" s="26">
        <f t="shared" si="321"/>
        <v>2.366473059878637E-2</v>
      </c>
      <c r="AC535" s="26">
        <f t="shared" si="322"/>
        <v>1.8539096726786037</v>
      </c>
      <c r="AD535" s="26">
        <f t="shared" si="323"/>
        <v>0.86458549018827857</v>
      </c>
      <c r="AE535" s="26">
        <f t="shared" si="324"/>
        <v>9.1685447337743996E-3</v>
      </c>
      <c r="AF535" s="26">
        <f t="shared" si="325"/>
        <v>-3.8233304104615513</v>
      </c>
      <c r="AG535" s="26">
        <f t="shared" si="326"/>
        <v>2.1387472842057283E-2</v>
      </c>
      <c r="AH535" s="26">
        <f t="shared" si="327"/>
        <v>-1.488270612274567</v>
      </c>
      <c r="AI535" s="26">
        <f t="shared" si="328"/>
        <v>0.18418144095010669</v>
      </c>
      <c r="AJ535" s="26">
        <f t="shared" si="329"/>
        <v>-1.2528610151926372</v>
      </c>
      <c r="AK535" s="26">
        <f t="shared" si="330"/>
        <v>0.2222052763410223</v>
      </c>
      <c r="AL535" s="26">
        <f t="shared" si="331"/>
        <v>2.4687592416895044E-2</v>
      </c>
      <c r="AM535" s="27">
        <f t="shared" si="332"/>
        <v>0.12665953018041209</v>
      </c>
    </row>
    <row r="536" spans="1:39" ht="15" customHeight="1" x14ac:dyDescent="0.2">
      <c r="A536" s="24">
        <v>525</v>
      </c>
      <c r="B536" s="29">
        <f t="shared" si="333"/>
        <v>4.9393570443722696</v>
      </c>
      <c r="C536" s="29">
        <f t="shared" si="334"/>
        <v>-5.1869783488244829</v>
      </c>
      <c r="D536" s="29">
        <f t="shared" si="335"/>
        <v>-3.5699635037863864</v>
      </c>
      <c r="E536" s="29">
        <f t="shared" si="336"/>
        <v>-2.7525262922307165</v>
      </c>
      <c r="F536" s="29">
        <f t="shared" si="337"/>
        <v>2.2543645837012436</v>
      </c>
      <c r="G536" s="29">
        <f t="shared" si="338"/>
        <v>-1.003233267027462</v>
      </c>
      <c r="H536" s="29">
        <f t="shared" si="339"/>
        <v>4.756330316777964</v>
      </c>
      <c r="I536" s="29">
        <f t="shared" si="340"/>
        <v>3.5731796232168689</v>
      </c>
      <c r="J536" s="29">
        <f t="shared" si="341"/>
        <v>-2.0171610522126127</v>
      </c>
      <c r="K536" s="26">
        <f t="shared" si="304"/>
        <v>-3.5699635037863864</v>
      </c>
      <c r="L536" s="26">
        <f t="shared" si="305"/>
        <v>2.7385783039275254E-2</v>
      </c>
      <c r="M536" s="26">
        <f t="shared" si="306"/>
        <v>-1.003233267027462</v>
      </c>
      <c r="N536" s="26">
        <f t="shared" si="307"/>
        <v>0.26830619760164109</v>
      </c>
      <c r="O536" s="26">
        <f t="shared" si="308"/>
        <v>-0.92819898404122125</v>
      </c>
      <c r="P536" s="26">
        <f t="shared" si="309"/>
        <v>0.28329024440713141</v>
      </c>
      <c r="Q536" s="26">
        <f t="shared" si="310"/>
        <v>4.0126681288126125E-2</v>
      </c>
      <c r="R536" s="26">
        <f t="shared" si="311"/>
        <v>-8.7569418526108684</v>
      </c>
      <c r="S536" s="26">
        <f t="shared" si="312"/>
        <v>1.573403593199233E-4</v>
      </c>
      <c r="T536" s="26">
        <f t="shared" si="313"/>
        <v>1.2511313166737816</v>
      </c>
      <c r="U536" s="26">
        <f t="shared" si="314"/>
        <v>0.77749563606833005</v>
      </c>
      <c r="V536" s="26">
        <f t="shared" si="315"/>
        <v>0.7617188744478689</v>
      </c>
      <c r="W536" s="26">
        <f t="shared" si="316"/>
        <v>0.68172680364865568</v>
      </c>
      <c r="X536" s="26">
        <f t="shared" si="317"/>
        <v>5.0648913757850689E-2</v>
      </c>
      <c r="Y536" s="26">
        <f t="shared" si="318"/>
        <v>1.3693935405858833</v>
      </c>
      <c r="Z536" s="26">
        <f t="shared" si="319"/>
        <v>0.79728215325552954</v>
      </c>
      <c r="AA536" s="26">
        <f t="shared" si="320"/>
        <v>-3.7557595592581787</v>
      </c>
      <c r="AB536" s="26">
        <f t="shared" si="321"/>
        <v>2.2848425823224366E-2</v>
      </c>
      <c r="AC536" s="26">
        <f t="shared" si="322"/>
        <v>1.8566177539168049</v>
      </c>
      <c r="AD536" s="26">
        <f t="shared" si="323"/>
        <v>0.86490223243194608</v>
      </c>
      <c r="AE536" s="26">
        <f t="shared" si="324"/>
        <v>9.1257034009359604E-3</v>
      </c>
      <c r="AF536" s="26">
        <f t="shared" si="325"/>
        <v>-3.8175848082385997</v>
      </c>
      <c r="AG536" s="26">
        <f t="shared" si="326"/>
        <v>2.1508059849794439E-2</v>
      </c>
      <c r="AH536" s="26">
        <f t="shared" si="327"/>
        <v>-1.5013949755569349</v>
      </c>
      <c r="AI536" s="26">
        <f t="shared" si="328"/>
        <v>0.1822175603146606</v>
      </c>
      <c r="AJ536" s="26">
        <f t="shared" si="329"/>
        <v>-1.2637655415853244</v>
      </c>
      <c r="AK536" s="26">
        <f t="shared" si="330"/>
        <v>0.22032635632691111</v>
      </c>
      <c r="AL536" s="26">
        <f t="shared" si="331"/>
        <v>2.4271851646146501E-2</v>
      </c>
      <c r="AM536" s="27">
        <f t="shared" si="332"/>
        <v>0.12417315009305929</v>
      </c>
    </row>
    <row r="537" spans="1:39" ht="15" customHeight="1" x14ac:dyDescent="0.2">
      <c r="A537" s="24">
        <v>526</v>
      </c>
      <c r="B537" s="29">
        <f t="shared" si="333"/>
        <v>4.9477034554960388</v>
      </c>
      <c r="C537" s="29">
        <f t="shared" si="334"/>
        <v>-5.1907152551298745</v>
      </c>
      <c r="D537" s="29">
        <f t="shared" si="335"/>
        <v>-3.5688523464315294</v>
      </c>
      <c r="E537" s="29">
        <f t="shared" si="336"/>
        <v>-2.7714194566639891</v>
      </c>
      <c r="F537" s="29">
        <f t="shared" si="337"/>
        <v>2.2768997085756215</v>
      </c>
      <c r="G537" s="29">
        <f t="shared" si="338"/>
        <v>-1.0197867721110472</v>
      </c>
      <c r="H537" s="29">
        <f t="shared" si="339"/>
        <v>4.7665375973415083</v>
      </c>
      <c r="I537" s="29">
        <f t="shared" si="340"/>
        <v>3.6049030130615378</v>
      </c>
      <c r="J537" s="29">
        <f t="shared" si="341"/>
        <v>-2.027684539456637</v>
      </c>
      <c r="K537" s="26">
        <f t="shared" si="304"/>
        <v>-3.5688523464315294</v>
      </c>
      <c r="L537" s="26">
        <f t="shared" si="305"/>
        <v>2.7415395154207274E-2</v>
      </c>
      <c r="M537" s="26">
        <f t="shared" si="306"/>
        <v>-1.0197867721110472</v>
      </c>
      <c r="N537" s="26">
        <f t="shared" si="307"/>
        <v>0.26506893682231741</v>
      </c>
      <c r="O537" s="26">
        <f t="shared" si="308"/>
        <v>-0.9414602186883434</v>
      </c>
      <c r="P537" s="26">
        <f t="shared" si="309"/>
        <v>0.28060547960192828</v>
      </c>
      <c r="Q537" s="26">
        <f t="shared" si="310"/>
        <v>3.9369717591314093E-2</v>
      </c>
      <c r="R537" s="26">
        <f t="shared" si="311"/>
        <v>-8.7595676015614039</v>
      </c>
      <c r="S537" s="26">
        <f t="shared" si="312"/>
        <v>1.5692782970576057E-4</v>
      </c>
      <c r="T537" s="26">
        <f t="shared" si="313"/>
        <v>1.2571129364645743</v>
      </c>
      <c r="U537" s="26">
        <f t="shared" si="314"/>
        <v>0.77852871553288661</v>
      </c>
      <c r="V537" s="26">
        <f t="shared" si="315"/>
        <v>0.7795839753231566</v>
      </c>
      <c r="W537" s="26">
        <f t="shared" si="316"/>
        <v>0.68559044416991632</v>
      </c>
      <c r="X537" s="26">
        <f t="shared" si="317"/>
        <v>4.9426684398635255E-2</v>
      </c>
      <c r="Y537" s="26">
        <f t="shared" si="318"/>
        <v>1.3788511090645095</v>
      </c>
      <c r="Z537" s="26">
        <f t="shared" si="319"/>
        <v>0.79880641994653834</v>
      </c>
      <c r="AA537" s="26">
        <f t="shared" si="320"/>
        <v>-3.7912062287750361</v>
      </c>
      <c r="AB537" s="26">
        <f t="shared" si="321"/>
        <v>2.2070272891439518E-2</v>
      </c>
      <c r="AC537" s="26">
        <f t="shared" si="322"/>
        <v>1.8594174874617484</v>
      </c>
      <c r="AD537" s="26">
        <f t="shared" si="323"/>
        <v>0.86522903702126341</v>
      </c>
      <c r="AE537" s="26">
        <f t="shared" si="324"/>
        <v>9.0816062311079929E-3</v>
      </c>
      <c r="AF537" s="26">
        <f t="shared" si="325"/>
        <v>-3.8118641460653651</v>
      </c>
      <c r="AG537" s="26">
        <f t="shared" si="326"/>
        <v>2.1628783962868207E-2</v>
      </c>
      <c r="AH537" s="26">
        <f t="shared" si="327"/>
        <v>-1.5143065201994148</v>
      </c>
      <c r="AI537" s="26">
        <f t="shared" si="328"/>
        <v>0.18030144382067029</v>
      </c>
      <c r="AJ537" s="26">
        <f t="shared" si="329"/>
        <v>-1.2746209094243686</v>
      </c>
      <c r="AK537" s="26">
        <f t="shared" si="330"/>
        <v>0.2184672548542626</v>
      </c>
      <c r="AL537" s="26">
        <f t="shared" si="331"/>
        <v>2.3863970721778663E-2</v>
      </c>
      <c r="AM537" s="27">
        <f t="shared" si="332"/>
        <v>0.12174197894283599</v>
      </c>
    </row>
    <row r="538" spans="1:39" ht="15" customHeight="1" x14ac:dyDescent="0.2">
      <c r="A538" s="24">
        <v>527</v>
      </c>
      <c r="B538" s="29">
        <f t="shared" si="333"/>
        <v>4.9559798888571605</v>
      </c>
      <c r="C538" s="29">
        <f t="shared" si="334"/>
        <v>-5.1944269142780914</v>
      </c>
      <c r="D538" s="29">
        <f t="shared" si="335"/>
        <v>-3.5677244284661151</v>
      </c>
      <c r="E538" s="29">
        <f t="shared" si="336"/>
        <v>-2.7900698767070469</v>
      </c>
      <c r="F538" s="29">
        <f t="shared" si="337"/>
        <v>2.2991517427951327</v>
      </c>
      <c r="G538" s="29">
        <f t="shared" si="338"/>
        <v>-1.0360914218433575</v>
      </c>
      <c r="H538" s="29">
        <f t="shared" si="339"/>
        <v>4.776742034844168</v>
      </c>
      <c r="I538" s="29">
        <f t="shared" si="340"/>
        <v>3.6362728529324668</v>
      </c>
      <c r="J538" s="29">
        <f t="shared" si="341"/>
        <v>-2.0381419429134882</v>
      </c>
      <c r="K538" s="26">
        <f t="shared" si="304"/>
        <v>-3.5677244284661151</v>
      </c>
      <c r="L538" s="26">
        <f t="shared" si="305"/>
        <v>2.7445485759604458E-2</v>
      </c>
      <c r="M538" s="26">
        <f t="shared" si="306"/>
        <v>-1.0360914218433575</v>
      </c>
      <c r="N538" s="26">
        <f t="shared" si="307"/>
        <v>0.26190486046294031</v>
      </c>
      <c r="O538" s="26">
        <f t="shared" si="308"/>
        <v>-0.95468440326641302</v>
      </c>
      <c r="P538" s="26">
        <f t="shared" si="309"/>
        <v>0.27794372713947391</v>
      </c>
      <c r="Q538" s="26">
        <f t="shared" si="310"/>
        <v>3.8626357728091164E-2</v>
      </c>
      <c r="R538" s="26">
        <f t="shared" si="311"/>
        <v>-8.7621513427442075</v>
      </c>
      <c r="S538" s="26">
        <f t="shared" si="312"/>
        <v>1.5652295554361844E-4</v>
      </c>
      <c r="T538" s="26">
        <f t="shared" si="313"/>
        <v>1.2630603209517752</v>
      </c>
      <c r="U538" s="26">
        <f t="shared" si="314"/>
        <v>0.77955247510843206</v>
      </c>
      <c r="V538" s="26">
        <f t="shared" si="315"/>
        <v>0.79727122954077911</v>
      </c>
      <c r="W538" s="26">
        <f t="shared" si="316"/>
        <v>0.68939046827883199</v>
      </c>
      <c r="X538" s="26">
        <f t="shared" si="317"/>
        <v>4.8239140598021639E-2</v>
      </c>
      <c r="Y538" s="26">
        <f t="shared" si="318"/>
        <v>1.3882554603910453</v>
      </c>
      <c r="Z538" s="26">
        <f t="shared" si="319"/>
        <v>0.80031359128778723</v>
      </c>
      <c r="AA538" s="26">
        <f t="shared" si="320"/>
        <v>-3.8261612985504043</v>
      </c>
      <c r="AB538" s="26">
        <f t="shared" si="321"/>
        <v>2.1328302425500205E-2</v>
      </c>
      <c r="AC538" s="26">
        <f t="shared" si="322"/>
        <v>1.8623051567569608</v>
      </c>
      <c r="AD538" s="26">
        <f t="shared" si="323"/>
        <v>0.86556540665245263</v>
      </c>
      <c r="AE538" s="26">
        <f t="shared" si="324"/>
        <v>9.0363299442602144E-3</v>
      </c>
      <c r="AF538" s="26">
        <f t="shared" si="325"/>
        <v>-3.8061714538870461</v>
      </c>
      <c r="AG538" s="26">
        <f t="shared" si="326"/>
        <v>2.1749575522099645E-2</v>
      </c>
      <c r="AH538" s="26">
        <f t="shared" si="327"/>
        <v>-1.5270095557552716</v>
      </c>
      <c r="AI538" s="26">
        <f t="shared" si="328"/>
        <v>0.1784316448688188</v>
      </c>
      <c r="AJ538" s="26">
        <f t="shared" si="329"/>
        <v>-1.2854236849364846</v>
      </c>
      <c r="AK538" s="26">
        <f t="shared" si="330"/>
        <v>0.21662840681613105</v>
      </c>
      <c r="AL538" s="26">
        <f t="shared" si="331"/>
        <v>2.3463933319847585E-2</v>
      </c>
      <c r="AM538" s="27">
        <f t="shared" si="332"/>
        <v>0.11936576159022061</v>
      </c>
    </row>
    <row r="539" spans="1:39" ht="15" customHeight="1" x14ac:dyDescent="0.2">
      <c r="A539" s="24">
        <v>528</v>
      </c>
      <c r="B539" s="29">
        <f t="shared" si="333"/>
        <v>4.9641852772879744</v>
      </c>
      <c r="C539" s="29">
        <f t="shared" si="334"/>
        <v>-5.1981134033879615</v>
      </c>
      <c r="D539" s="29">
        <f t="shared" si="335"/>
        <v>-3.566581478496389</v>
      </c>
      <c r="E539" s="29">
        <f t="shared" si="336"/>
        <v>-2.8084786922973137</v>
      </c>
      <c r="F539" s="29">
        <f t="shared" si="337"/>
        <v>2.321118116940954</v>
      </c>
      <c r="G539" s="29">
        <f t="shared" si="338"/>
        <v>-1.0521477461275806</v>
      </c>
      <c r="H539" s="29">
        <f t="shared" si="339"/>
        <v>4.7869413179294922</v>
      </c>
      <c r="I539" s="29">
        <f t="shared" si="340"/>
        <v>3.6672867081816114</v>
      </c>
      <c r="J539" s="29">
        <f t="shared" si="341"/>
        <v>-2.0485304317002164</v>
      </c>
      <c r="K539" s="26">
        <f t="shared" si="304"/>
        <v>-3.566581478496389</v>
      </c>
      <c r="L539" s="26">
        <f t="shared" si="305"/>
        <v>2.7476010127375387E-2</v>
      </c>
      <c r="M539" s="26">
        <f t="shared" si="306"/>
        <v>-1.0521477461275806</v>
      </c>
      <c r="N539" s="26">
        <f t="shared" si="307"/>
        <v>0.25881288793354418</v>
      </c>
      <c r="O539" s="26">
        <f t="shared" si="308"/>
        <v>-0.96786331974485051</v>
      </c>
      <c r="P539" s="26">
        <f t="shared" si="309"/>
        <v>0.27530659269867247</v>
      </c>
      <c r="Q539" s="26">
        <f t="shared" si="310"/>
        <v>3.7896859991676371E-2</v>
      </c>
      <c r="R539" s="26">
        <f t="shared" si="311"/>
        <v>-8.7646948818843509</v>
      </c>
      <c r="S539" s="26">
        <f t="shared" si="312"/>
        <v>1.5612540124864974E-4</v>
      </c>
      <c r="T539" s="26">
        <f t="shared" si="313"/>
        <v>1.2689703708133735</v>
      </c>
      <c r="U539" s="26">
        <f t="shared" si="314"/>
        <v>0.78056644142674292</v>
      </c>
      <c r="V539" s="26">
        <f t="shared" si="315"/>
        <v>0.81477786693071375</v>
      </c>
      <c r="W539" s="26">
        <f t="shared" si="316"/>
        <v>0.69312670318789549</v>
      </c>
      <c r="X539" s="26">
        <f t="shared" si="317"/>
        <v>4.7085610148164994E-2</v>
      </c>
      <c r="Y539" s="26">
        <f t="shared" si="318"/>
        <v>1.3976037987915855</v>
      </c>
      <c r="Z539" s="26">
        <f t="shared" si="319"/>
        <v>0.80180337226818155</v>
      </c>
      <c r="AA539" s="26">
        <f t="shared" si="320"/>
        <v>-3.8606264384248945</v>
      </c>
      <c r="AB539" s="26">
        <f t="shared" si="321"/>
        <v>2.062064223280154E-2</v>
      </c>
      <c r="AC539" s="26">
        <f t="shared" si="322"/>
        <v>1.8652770670400654</v>
      </c>
      <c r="AD539" s="26">
        <f t="shared" si="323"/>
        <v>0.86591084832744236</v>
      </c>
      <c r="AE539" s="26">
        <f t="shared" si="324"/>
        <v>8.9899502981330842E-3</v>
      </c>
      <c r="AF539" s="26">
        <f t="shared" si="325"/>
        <v>-3.800509604596376</v>
      </c>
      <c r="AG539" s="26">
        <f t="shared" si="326"/>
        <v>2.1870366790528069E-2</v>
      </c>
      <c r="AH539" s="26">
        <f t="shared" si="327"/>
        <v>-1.5395083214839402</v>
      </c>
      <c r="AI539" s="26">
        <f t="shared" si="328"/>
        <v>0.17660676173390119</v>
      </c>
      <c r="AJ539" s="26">
        <f t="shared" si="329"/>
        <v>-1.296170639390632</v>
      </c>
      <c r="AK539" s="26">
        <f t="shared" si="330"/>
        <v>0.21481019748105587</v>
      </c>
      <c r="AL539" s="26">
        <f t="shared" si="331"/>
        <v>2.307171047092511E-2</v>
      </c>
      <c r="AM539" s="27">
        <f t="shared" si="332"/>
        <v>0.11704413090889956</v>
      </c>
    </row>
    <row r="540" spans="1:39" ht="15" customHeight="1" x14ac:dyDescent="0.2">
      <c r="A540" s="24">
        <v>529</v>
      </c>
      <c r="B540" s="29">
        <f t="shared" si="333"/>
        <v>4.9723186690383994</v>
      </c>
      <c r="C540" s="29">
        <f t="shared" si="334"/>
        <v>-5.2017748090723899</v>
      </c>
      <c r="D540" s="29">
        <f t="shared" si="335"/>
        <v>-3.5654251742413434</v>
      </c>
      <c r="E540" s="29">
        <f t="shared" si="336"/>
        <v>-2.8266472522733244</v>
      </c>
      <c r="F540" s="29">
        <f t="shared" si="337"/>
        <v>2.342796928791862</v>
      </c>
      <c r="G540" s="29">
        <f t="shared" si="338"/>
        <v>-1.0679566609952604</v>
      </c>
      <c r="H540" s="29">
        <f t="shared" si="339"/>
        <v>4.797133204778274</v>
      </c>
      <c r="I540" s="29">
        <f t="shared" si="340"/>
        <v>3.6979427721920817</v>
      </c>
      <c r="J540" s="29">
        <f t="shared" si="341"/>
        <v>-2.0588474060265427</v>
      </c>
      <c r="K540" s="26">
        <f t="shared" si="304"/>
        <v>-3.5654251742413434</v>
      </c>
      <c r="L540" s="26">
        <f t="shared" si="305"/>
        <v>2.7506924712429406E-2</v>
      </c>
      <c r="M540" s="26">
        <f t="shared" si="306"/>
        <v>-1.0679566609952604</v>
      </c>
      <c r="N540" s="26">
        <f t="shared" si="307"/>
        <v>0.25579186492556349</v>
      </c>
      <c r="O540" s="26">
        <f t="shared" si="308"/>
        <v>-0.98098934604019083</v>
      </c>
      <c r="P540" s="26">
        <f t="shared" si="309"/>
        <v>0.27269551989354346</v>
      </c>
      <c r="Q540" s="26">
        <f t="shared" si="310"/>
        <v>3.7181423285004976E-2</v>
      </c>
      <c r="R540" s="26">
        <f t="shared" si="311"/>
        <v>-8.7671999833137342</v>
      </c>
      <c r="S540" s="26">
        <f t="shared" si="312"/>
        <v>1.5573484159229147E-4</v>
      </c>
      <c r="T540" s="26">
        <f t="shared" si="313"/>
        <v>1.2748402677966015</v>
      </c>
      <c r="U540" s="26">
        <f t="shared" si="314"/>
        <v>0.78157019593062127</v>
      </c>
      <c r="V540" s="26">
        <f t="shared" si="315"/>
        <v>0.83210153175559087</v>
      </c>
      <c r="W540" s="26">
        <f t="shared" si="316"/>
        <v>0.69679910421240976</v>
      </c>
      <c r="X540" s="26">
        <f t="shared" si="317"/>
        <v>4.5965391603198576E-2</v>
      </c>
      <c r="Y540" s="26">
        <f t="shared" si="318"/>
        <v>1.4068934947970559</v>
      </c>
      <c r="Z540" s="26">
        <f t="shared" si="319"/>
        <v>0.80327550380395973</v>
      </c>
      <c r="AA540" s="26">
        <f t="shared" si="320"/>
        <v>-3.8946039132685848</v>
      </c>
      <c r="AB540" s="26">
        <f t="shared" si="321"/>
        <v>1.9945513978781144E-2</v>
      </c>
      <c r="AC540" s="26">
        <f t="shared" si="322"/>
        <v>1.8683295551119192</v>
      </c>
      <c r="AD540" s="26">
        <f t="shared" si="323"/>
        <v>0.86626487473077263</v>
      </c>
      <c r="AE540" s="26">
        <f t="shared" si="324"/>
        <v>8.9425418653879696E-3</v>
      </c>
      <c r="AF540" s="26">
        <f t="shared" si="325"/>
        <v>-3.7948813142753339</v>
      </c>
      <c r="AG540" s="26">
        <f t="shared" si="326"/>
        <v>2.1991092039420523E-2</v>
      </c>
      <c r="AH540" s="26">
        <f t="shared" si="327"/>
        <v>-1.5518069844767228</v>
      </c>
      <c r="AI540" s="26">
        <f t="shared" si="328"/>
        <v>0.17482543667706718</v>
      </c>
      <c r="AJ540" s="26">
        <f t="shared" si="329"/>
        <v>-1.3068587482396183</v>
      </c>
      <c r="AK540" s="26">
        <f t="shared" si="330"/>
        <v>0.21301296394199376</v>
      </c>
      <c r="AL540" s="26">
        <f t="shared" si="331"/>
        <v>2.2687261403676568E-2</v>
      </c>
      <c r="AM540" s="27">
        <f t="shared" si="332"/>
        <v>0.11477661815726808</v>
      </c>
    </row>
    <row r="541" spans="1:39" ht="15" customHeight="1" x14ac:dyDescent="0.2">
      <c r="A541" s="24">
        <v>530</v>
      </c>
      <c r="B541" s="29">
        <f t="shared" si="333"/>
        <v>4.9803792242011049</v>
      </c>
      <c r="C541" s="29">
        <f t="shared" si="334"/>
        <v>-5.2054112270270885</v>
      </c>
      <c r="D541" s="29">
        <f t="shared" si="335"/>
        <v>-3.5642571402306005</v>
      </c>
      <c r="E541" s="29">
        <f t="shared" si="336"/>
        <v>-2.8445770998766586</v>
      </c>
      <c r="F541" s="29">
        <f t="shared" si="337"/>
        <v>2.3641868988795487</v>
      </c>
      <c r="G541" s="29">
        <f t="shared" si="338"/>
        <v>-1.0835194372147552</v>
      </c>
      <c r="H541" s="29">
        <f t="shared" si="339"/>
        <v>4.8073155248489412</v>
      </c>
      <c r="I541" s="29">
        <f t="shared" si="340"/>
        <v>3.7282398317883114</v>
      </c>
      <c r="J541" s="29">
        <f t="shared" si="341"/>
        <v>-2.0690904915017323</v>
      </c>
      <c r="K541" s="26">
        <f t="shared" si="304"/>
        <v>-3.5642571402306005</v>
      </c>
      <c r="L541" s="26">
        <f t="shared" si="305"/>
        <v>2.7538187215236636E-2</v>
      </c>
      <c r="M541" s="26">
        <f t="shared" si="306"/>
        <v>-1.0835194372147552</v>
      </c>
      <c r="N541" s="26">
        <f t="shared" si="307"/>
        <v>0.2528405738151891</v>
      </c>
      <c r="O541" s="26">
        <f t="shared" si="308"/>
        <v>-0.99405543818572784</v>
      </c>
      <c r="P541" s="26">
        <f t="shared" si="309"/>
        <v>0.2701117972744953</v>
      </c>
      <c r="Q541" s="26">
        <f t="shared" si="310"/>
        <v>3.6480191513429024E-2</v>
      </c>
      <c r="R541" s="26">
        <f t="shared" si="311"/>
        <v>-8.7696683672576885</v>
      </c>
      <c r="S541" s="26">
        <f t="shared" si="312"/>
        <v>1.553509619049202E-4</v>
      </c>
      <c r="T541" s="26">
        <f t="shared" si="313"/>
        <v>1.2806674616647935</v>
      </c>
      <c r="U541" s="26">
        <f t="shared" si="314"/>
        <v>0.78256337174554069</v>
      </c>
      <c r="V541" s="26">
        <f t="shared" si="315"/>
        <v>0.84924026302952216</v>
      </c>
      <c r="W541" s="26">
        <f t="shared" si="316"/>
        <v>0.70040774602529576</v>
      </c>
      <c r="X541" s="26">
        <f t="shared" si="317"/>
        <v>4.4877759320821844E-2</v>
      </c>
      <c r="Y541" s="26">
        <f t="shared" si="318"/>
        <v>1.4161220839705044</v>
      </c>
      <c r="Z541" s="26">
        <f t="shared" si="319"/>
        <v>0.80472976158630638</v>
      </c>
      <c r="AA541" s="26">
        <f t="shared" si="320"/>
        <v>-3.928096537091414</v>
      </c>
      <c r="AB541" s="26">
        <f t="shared" si="321"/>
        <v>1.9301229747298421E-2</v>
      </c>
      <c r="AC541" s="26">
        <f t="shared" si="322"/>
        <v>1.8714589982264811</v>
      </c>
      <c r="AD541" s="26">
        <f t="shared" si="323"/>
        <v>0.86662700547394433</v>
      </c>
      <c r="AE541" s="26">
        <f t="shared" si="324"/>
        <v>8.8941778344236375E-3</v>
      </c>
      <c r="AF541" s="26">
        <f t="shared" si="325"/>
        <v>-3.789289143056584</v>
      </c>
      <c r="AG541" s="26">
        <f t="shared" si="326"/>
        <v>2.2111687622632822E-2</v>
      </c>
      <c r="AH541" s="26">
        <f t="shared" si="327"/>
        <v>-1.5639096382118651</v>
      </c>
      <c r="AI541" s="26">
        <f t="shared" si="328"/>
        <v>0.17308635499473149</v>
      </c>
      <c r="AJ541" s="26">
        <f t="shared" si="329"/>
        <v>-1.3174851892824297</v>
      </c>
      <c r="AK541" s="26">
        <f t="shared" si="330"/>
        <v>0.21123699672265711</v>
      </c>
      <c r="AL541" s="26">
        <f t="shared" si="331"/>
        <v>2.2310534392203926E-2</v>
      </c>
      <c r="AM541" s="27">
        <f t="shared" si="332"/>
        <v>0.11256266306087845</v>
      </c>
    </row>
    <row r="542" spans="1:39" ht="15" customHeight="1" x14ac:dyDescent="0.2">
      <c r="A542" s="24">
        <v>531</v>
      </c>
      <c r="B542" s="29">
        <f t="shared" si="333"/>
        <v>4.9883662109376044</v>
      </c>
      <c r="C542" s="29">
        <f t="shared" si="334"/>
        <v>-5.2090227616048788</v>
      </c>
      <c r="D542" s="29">
        <f t="shared" si="335"/>
        <v>-3.563078945893448</v>
      </c>
      <c r="E542" s="29">
        <f t="shared" si="336"/>
        <v>-2.8622699584739402</v>
      </c>
      <c r="F542" s="29">
        <f t="shared" si="337"/>
        <v>2.3852873266871399</v>
      </c>
      <c r="G542" s="29">
        <f t="shared" si="338"/>
        <v>-1.0988376697104987</v>
      </c>
      <c r="H542" s="29">
        <f t="shared" si="339"/>
        <v>4.8174861802543889</v>
      </c>
      <c r="I542" s="29">
        <f t="shared" si="340"/>
        <v>3.7581772323516165</v>
      </c>
      <c r="J542" s="29">
        <f t="shared" si="341"/>
        <v>-2.0792575326524809</v>
      </c>
      <c r="K542" s="26">
        <f t="shared" si="304"/>
        <v>-3.563078945893448</v>
      </c>
      <c r="L542" s="26">
        <f t="shared" si="305"/>
        <v>2.7569756635249236E-2</v>
      </c>
      <c r="M542" s="26">
        <f t="shared" si="306"/>
        <v>-1.0988376697104987</v>
      </c>
      <c r="N542" s="26">
        <f t="shared" si="307"/>
        <v>0.24995774343568805</v>
      </c>
      <c r="O542" s="26">
        <f t="shared" si="308"/>
        <v>-1.0070551106392014</v>
      </c>
      <c r="P542" s="26">
        <f t="shared" si="309"/>
        <v>0.26755656568615988</v>
      </c>
      <c r="Q542" s="26">
        <f t="shared" si="310"/>
        <v>3.5793257920886189E-2</v>
      </c>
      <c r="R542" s="26">
        <f t="shared" si="311"/>
        <v>-8.7721017074983259</v>
      </c>
      <c r="S542" s="26">
        <f t="shared" si="312"/>
        <v>1.5497345822495154E-4</v>
      </c>
      <c r="T542" s="26">
        <f t="shared" si="313"/>
        <v>1.2864496569766413</v>
      </c>
      <c r="U542" s="26">
        <f t="shared" si="314"/>
        <v>0.78354565057408454</v>
      </c>
      <c r="V542" s="26">
        <f t="shared" si="315"/>
        <v>0.86619247433648416</v>
      </c>
      <c r="W542" s="26">
        <f t="shared" si="316"/>
        <v>0.70395281395298237</v>
      </c>
      <c r="X542" s="26">
        <f t="shared" si="317"/>
        <v>4.3821968183178732E-2</v>
      </c>
      <c r="Y542" s="26">
        <f t="shared" si="318"/>
        <v>1.4252872650441564</v>
      </c>
      <c r="Z542" s="26">
        <f t="shared" si="319"/>
        <v>0.80616595485173703</v>
      </c>
      <c r="AA542" s="26">
        <f t="shared" si="320"/>
        <v>-3.9611076281844388</v>
      </c>
      <c r="AB542" s="26">
        <f t="shared" si="321"/>
        <v>1.8686188528232901E-2</v>
      </c>
      <c r="AC542" s="26">
        <f t="shared" si="322"/>
        <v>1.8746618221235805</v>
      </c>
      <c r="AD542" s="26">
        <f t="shared" si="323"/>
        <v>0.86699676821048877</v>
      </c>
      <c r="AE542" s="26">
        <f t="shared" si="324"/>
        <v>8.8449298332272264E-3</v>
      </c>
      <c r="AF542" s="26">
        <f t="shared" si="325"/>
        <v>-3.7837354965607224</v>
      </c>
      <c r="AG542" s="26">
        <f t="shared" si="326"/>
        <v>2.2232092039490236E-2</v>
      </c>
      <c r="AH542" s="26">
        <f t="shared" si="327"/>
        <v>-1.5758203014972989</v>
      </c>
      <c r="AI542" s="26">
        <f t="shared" si="328"/>
        <v>0.17138824401684191</v>
      </c>
      <c r="AJ542" s="26">
        <f t="shared" si="329"/>
        <v>-1.3280473399372745</v>
      </c>
      <c r="AK542" s="26">
        <f t="shared" si="330"/>
        <v>0.20948254151598616</v>
      </c>
      <c r="AL542" s="26">
        <f t="shared" si="331"/>
        <v>2.1941467599998432E-2</v>
      </c>
      <c r="AM542" s="27">
        <f t="shared" si="332"/>
        <v>0.11040162353729058</v>
      </c>
    </row>
    <row r="543" spans="1:39" ht="15" customHeight="1" x14ac:dyDescent="0.2">
      <c r="A543" s="24">
        <v>532</v>
      </c>
      <c r="B543" s="29">
        <f t="shared" si="333"/>
        <v>4.9962790015417857</v>
      </c>
      <c r="C543" s="29">
        <f t="shared" si="334"/>
        <v>-5.2126095253795803</v>
      </c>
      <c r="D543" s="29">
        <f t="shared" si="335"/>
        <v>-3.5618921040257279</v>
      </c>
      <c r="E543" s="29">
        <f t="shared" si="336"/>
        <v>-2.8797277175655513</v>
      </c>
      <c r="F543" s="29">
        <f t="shared" si="337"/>
        <v>2.4060980477789324</v>
      </c>
      <c r="G543" s="29">
        <f t="shared" si="338"/>
        <v>-1.113913247973662</v>
      </c>
      <c r="H543" s="29">
        <f t="shared" si="339"/>
        <v>4.8276431467931857</v>
      </c>
      <c r="I543" s="29">
        <f t="shared" si="340"/>
        <v>3.7877548429453709</v>
      </c>
      <c r="J543" s="29">
        <f t="shared" si="341"/>
        <v>-2.0893465857793845</v>
      </c>
      <c r="K543" s="26">
        <f t="shared" si="304"/>
        <v>-3.5618921040257279</v>
      </c>
      <c r="L543" s="26">
        <f t="shared" si="305"/>
        <v>2.7601593315403183E-2</v>
      </c>
      <c r="M543" s="26">
        <f t="shared" si="306"/>
        <v>-1.113913247973662</v>
      </c>
      <c r="N543" s="26">
        <f t="shared" si="307"/>
        <v>0.24714205820107316</v>
      </c>
      <c r="O543" s="26">
        <f t="shared" si="308"/>
        <v>-1.0199824151231043</v>
      </c>
      <c r="P543" s="26">
        <f t="shared" si="309"/>
        <v>0.26503082586848109</v>
      </c>
      <c r="Q543" s="26">
        <f t="shared" si="310"/>
        <v>3.5120669330264573E-2</v>
      </c>
      <c r="R543" s="26">
        <f t="shared" si="311"/>
        <v>-8.7745016294053073</v>
      </c>
      <c r="S543" s="26">
        <f t="shared" si="312"/>
        <v>1.5460203739655723E-4</v>
      </c>
      <c r="T543" s="26">
        <f t="shared" si="313"/>
        <v>1.2921847998052705</v>
      </c>
      <c r="U543" s="26">
        <f t="shared" si="314"/>
        <v>0.78451675963347667</v>
      </c>
      <c r="V543" s="26">
        <f t="shared" si="315"/>
        <v>0.88295693336044412</v>
      </c>
      <c r="W543" s="26">
        <f t="shared" si="316"/>
        <v>0.70743459538481934</v>
      </c>
      <c r="X543" s="26">
        <f t="shared" si="317"/>
        <v>4.2797257988822189E-2</v>
      </c>
      <c r="Y543" s="26">
        <f t="shared" si="318"/>
        <v>1.4343868975160579</v>
      </c>
      <c r="Z543" s="26">
        <f t="shared" si="319"/>
        <v>0.80758392508838761</v>
      </c>
      <c r="AA543" s="26">
        <f t="shared" si="320"/>
        <v>-3.9936409655392131</v>
      </c>
      <c r="AB543" s="26">
        <f t="shared" si="321"/>
        <v>1.8098872667147801E-2</v>
      </c>
      <c r="AC543" s="26">
        <f t="shared" si="322"/>
        <v>1.8779345082307519</v>
      </c>
      <c r="AD543" s="26">
        <f t="shared" si="323"/>
        <v>0.86737369962576583</v>
      </c>
      <c r="AE543" s="26">
        <f t="shared" si="324"/>
        <v>8.794867775478294E-3</v>
      </c>
      <c r="AF543" s="26">
        <f t="shared" si="325"/>
        <v>-3.7782226278635225</v>
      </c>
      <c r="AG543" s="26">
        <f t="shared" si="326"/>
        <v>2.2352245986448013E-2</v>
      </c>
      <c r="AH543" s="26">
        <f t="shared" si="327"/>
        <v>-1.5875429177602809</v>
      </c>
      <c r="AI543" s="26">
        <f t="shared" si="328"/>
        <v>0.16972987206604895</v>
      </c>
      <c r="AJ543" s="26">
        <f t="shared" si="329"/>
        <v>-1.3385427737167981</v>
      </c>
      <c r="AK543" s="26">
        <f t="shared" si="330"/>
        <v>0.2077498010303685</v>
      </c>
      <c r="AL543" s="26">
        <f t="shared" si="331"/>
        <v>2.1579989914078848E-2</v>
      </c>
      <c r="AM543" s="27">
        <f t="shared" si="332"/>
        <v>0.10829278500864389</v>
      </c>
    </row>
    <row r="544" spans="1:39" ht="15" customHeight="1" x14ac:dyDescent="0.2">
      <c r="A544" s="24">
        <v>533</v>
      </c>
      <c r="B544" s="29">
        <f t="shared" si="333"/>
        <v>5.0041170683754101</v>
      </c>
      <c r="C544" s="29">
        <f t="shared" si="334"/>
        <v>-5.2161716387032051</v>
      </c>
      <c r="D544" s="29">
        <f t="shared" si="335"/>
        <v>-3.5606980696183377</v>
      </c>
      <c r="E544" s="29">
        <f t="shared" si="336"/>
        <v>-2.8969524191395579</v>
      </c>
      <c r="F544" s="29">
        <f t="shared" si="337"/>
        <v>2.4266193921034254</v>
      </c>
      <c r="G544" s="29">
        <f t="shared" si="338"/>
        <v>-1.1287483276086112</v>
      </c>
      <c r="H544" s="29">
        <f t="shared" si="339"/>
        <v>4.8377844746543284</v>
      </c>
      <c r="I544" s="29">
        <f t="shared" si="340"/>
        <v>3.8169730217190843</v>
      </c>
      <c r="J544" s="29">
        <f t="shared" si="341"/>
        <v>-2.0993559112729128</v>
      </c>
      <c r="K544" s="26">
        <f t="shared" si="304"/>
        <v>-3.5606980696183377</v>
      </c>
      <c r="L544" s="26">
        <f t="shared" si="305"/>
        <v>2.7633658977997206E-2</v>
      </c>
      <c r="M544" s="26">
        <f t="shared" si="306"/>
        <v>-1.1287483276086112</v>
      </c>
      <c r="N544" s="26">
        <f t="shared" si="307"/>
        <v>0.24439216657442728</v>
      </c>
      <c r="O544" s="26">
        <f t="shared" si="308"/>
        <v>-1.0328319183572001</v>
      </c>
      <c r="P544" s="26">
        <f t="shared" si="309"/>
        <v>0.26253544619986052</v>
      </c>
      <c r="Q544" s="26">
        <f t="shared" si="310"/>
        <v>3.4462430255679931E-2</v>
      </c>
      <c r="R544" s="26">
        <f t="shared" si="311"/>
        <v>-8.7768697083215432</v>
      </c>
      <c r="S544" s="26">
        <f t="shared" si="312"/>
        <v>1.5423641711855522E-4</v>
      </c>
      <c r="T544" s="26">
        <f t="shared" si="313"/>
        <v>1.2978710644948142</v>
      </c>
      <c r="U544" s="26">
        <f t="shared" si="314"/>
        <v>0.78547646865394616</v>
      </c>
      <c r="V544" s="26">
        <f t="shared" si="315"/>
        <v>0.89953274131853833</v>
      </c>
      <c r="W544" s="26">
        <f t="shared" si="316"/>
        <v>0.71085347135849386</v>
      </c>
      <c r="X544" s="26">
        <f t="shared" si="317"/>
        <v>4.1802857512716667E-2</v>
      </c>
      <c r="Y544" s="26">
        <f t="shared" si="318"/>
        <v>1.4434189987570725</v>
      </c>
      <c r="Z544" s="26">
        <f t="shared" si="319"/>
        <v>0.80898354469086575</v>
      </c>
      <c r="AA544" s="26">
        <f t="shared" si="320"/>
        <v>-4.0257007467481696</v>
      </c>
      <c r="AB544" s="26">
        <f t="shared" si="321"/>
        <v>1.753784430739774E-2</v>
      </c>
      <c r="AC544" s="26">
        <f t="shared" si="322"/>
        <v>1.8812736000638304</v>
      </c>
      <c r="AD544" s="26">
        <f t="shared" si="323"/>
        <v>0.86775734630613544</v>
      </c>
      <c r="AE544" s="26">
        <f t="shared" si="324"/>
        <v>8.7440597279976953E-3</v>
      </c>
      <c r="AF544" s="26">
        <f t="shared" si="325"/>
        <v>-3.7727526399461326</v>
      </c>
      <c r="AG544" s="26">
        <f t="shared" si="326"/>
        <v>2.2472092397874198E-2</v>
      </c>
      <c r="AH544" s="26">
        <f t="shared" si="327"/>
        <v>-1.5990813546447438</v>
      </c>
      <c r="AI544" s="26">
        <f t="shared" si="328"/>
        <v>0.16811004738817292</v>
      </c>
      <c r="AJ544" s="26">
        <f t="shared" si="329"/>
        <v>-1.3489692559969066</v>
      </c>
      <c r="AK544" s="26">
        <f t="shared" si="330"/>
        <v>0.20603893692037717</v>
      </c>
      <c r="AL544" s="26">
        <f t="shared" si="331"/>
        <v>2.122602176363958E-2</v>
      </c>
      <c r="AM544" s="27">
        <f t="shared" si="332"/>
        <v>0.10623536926003388</v>
      </c>
    </row>
    <row r="545" spans="1:39" ht="15" customHeight="1" x14ac:dyDescent="0.2">
      <c r="A545" s="24">
        <v>534</v>
      </c>
      <c r="B545" s="29">
        <f t="shared" si="333"/>
        <v>5.0118799797079401</v>
      </c>
      <c r="C545" s="29">
        <f t="shared" si="334"/>
        <v>-5.2197092292598688</v>
      </c>
      <c r="D545" s="29">
        <f t="shared" si="335"/>
        <v>-3.5594982390286933</v>
      </c>
      <c r="E545" s="29">
        <f t="shared" si="336"/>
        <v>-2.9139462444212705</v>
      </c>
      <c r="F545" s="29">
        <f t="shared" si="337"/>
        <v>2.446852143668516</v>
      </c>
      <c r="G545" s="29">
        <f t="shared" si="338"/>
        <v>-1.143345303126561</v>
      </c>
      <c r="H545" s="29">
        <f t="shared" si="339"/>
        <v>4.8479082888156597</v>
      </c>
      <c r="I545" s="29">
        <f t="shared" si="340"/>
        <v>3.8458325818262797</v>
      </c>
      <c r="J545" s="29">
        <f t="shared" si="341"/>
        <v>-2.1092839655022231</v>
      </c>
      <c r="K545" s="26">
        <f t="shared" si="304"/>
        <v>-3.5594982390286933</v>
      </c>
      <c r="L545" s="26">
        <f t="shared" si="305"/>
        <v>2.7665916752310536E-2</v>
      </c>
      <c r="M545" s="26">
        <f t="shared" si="306"/>
        <v>-1.143345303126561</v>
      </c>
      <c r="N545" s="26">
        <f t="shared" si="307"/>
        <v>0.24170668888349917</v>
      </c>
      <c r="O545" s="26">
        <f t="shared" si="308"/>
        <v>-1.0455986790075038</v>
      </c>
      <c r="P545" s="26">
        <f t="shared" si="309"/>
        <v>0.26007117049311873</v>
      </c>
      <c r="Q545" s="26">
        <f t="shared" si="310"/>
        <v>3.3818506860830412E-2</v>
      </c>
      <c r="R545" s="26">
        <f t="shared" si="311"/>
        <v>-8.7792074682885612</v>
      </c>
      <c r="S545" s="26">
        <f t="shared" si="312"/>
        <v>1.5387632594735282E-4</v>
      </c>
      <c r="T545" s="26">
        <f t="shared" si="313"/>
        <v>1.303506840541955</v>
      </c>
      <c r="U545" s="26">
        <f t="shared" si="314"/>
        <v>0.78642458695315176</v>
      </c>
      <c r="V545" s="26">
        <f t="shared" si="315"/>
        <v>0.91591931246749514</v>
      </c>
      <c r="W545" s="26">
        <f t="shared" si="316"/>
        <v>0.71420990837429266</v>
      </c>
      <c r="X545" s="26">
        <f t="shared" si="317"/>
        <v>4.0837988235715099E-2</v>
      </c>
      <c r="Y545" s="26">
        <f t="shared" si="318"/>
        <v>1.4523817406792467</v>
      </c>
      <c r="Z545" s="26">
        <f t="shared" si="319"/>
        <v>0.81036471557572831</v>
      </c>
      <c r="AA545" s="26">
        <f t="shared" si="320"/>
        <v>-4.0572915475478313</v>
      </c>
      <c r="AB545" s="26">
        <f t="shared" si="321"/>
        <v>1.7001741850871416E-2</v>
      </c>
      <c r="AC545" s="26">
        <f t="shared" si="322"/>
        <v>1.8846757088589756</v>
      </c>
      <c r="AD545" s="26">
        <f t="shared" si="323"/>
        <v>0.86814726549267462</v>
      </c>
      <c r="AE545" s="26">
        <f t="shared" si="324"/>
        <v>8.6925717985296153E-3</v>
      </c>
      <c r="AF545" s="26">
        <f t="shared" si="325"/>
        <v>-3.7673274885806221</v>
      </c>
      <c r="AG545" s="26">
        <f t="shared" si="326"/>
        <v>2.2591576476368429E-2</v>
      </c>
      <c r="AH545" s="26">
        <f t="shared" si="327"/>
        <v>-1.6104394038793155</v>
      </c>
      <c r="AI545" s="26">
        <f t="shared" si="328"/>
        <v>0.16652761706322716</v>
      </c>
      <c r="AJ545" s="26">
        <f t="shared" si="329"/>
        <v>-1.3593247391693748</v>
      </c>
      <c r="AK545" s="26">
        <f t="shared" si="330"/>
        <v>0.20435007178015435</v>
      </c>
      <c r="AL545" s="26">
        <f t="shared" si="331"/>
        <v>2.0879475918277119E-2</v>
      </c>
      <c r="AM545" s="27">
        <f t="shared" si="332"/>
        <v>0.10422854281335224</v>
      </c>
    </row>
    <row r="546" spans="1:39" ht="15" customHeight="1" x14ac:dyDescent="0.2">
      <c r="A546" s="24">
        <v>535</v>
      </c>
      <c r="B546" s="29">
        <f t="shared" si="333"/>
        <v>5.019567395490828</v>
      </c>
      <c r="C546" s="29">
        <f t="shared" si="334"/>
        <v>-5.2232224316195035</v>
      </c>
      <c r="D546" s="29">
        <f t="shared" si="335"/>
        <v>-3.5582939494746095</v>
      </c>
      <c r="E546" s="29">
        <f t="shared" si="336"/>
        <v>-2.9307115010610061</v>
      </c>
      <c r="F546" s="29">
        <f t="shared" si="337"/>
        <v>2.4667975017477146</v>
      </c>
      <c r="G546" s="29">
        <f t="shared" si="338"/>
        <v>-1.1577067820681324</v>
      </c>
      <c r="H546" s="29">
        <f t="shared" si="339"/>
        <v>4.8580127891567004</v>
      </c>
      <c r="I546" s="29">
        <f t="shared" si="340"/>
        <v>3.8743347580578673</v>
      </c>
      <c r="J546" s="29">
        <f t="shared" si="341"/>
        <v>-2.1191293923818972</v>
      </c>
      <c r="K546" s="26">
        <f t="shared" si="304"/>
        <v>-3.5582939494746095</v>
      </c>
      <c r="L546" s="26">
        <f t="shared" si="305"/>
        <v>2.7698331194374776E-2</v>
      </c>
      <c r="M546" s="26">
        <f t="shared" si="306"/>
        <v>-1.1577067820681324</v>
      </c>
      <c r="N546" s="26">
        <f t="shared" si="307"/>
        <v>0.2390842244939648</v>
      </c>
      <c r="O546" s="26">
        <f t="shared" si="308"/>
        <v>-1.0582782241410487</v>
      </c>
      <c r="P546" s="26">
        <f t="shared" si="309"/>
        <v>0.25763862576660973</v>
      </c>
      <c r="Q546" s="26">
        <f t="shared" si="310"/>
        <v>3.3188830743453593E-2</v>
      </c>
      <c r="R546" s="26">
        <f t="shared" si="311"/>
        <v>-8.7815163810941126</v>
      </c>
      <c r="S546" s="26">
        <f t="shared" si="312"/>
        <v>1.5352150325705804E-4</v>
      </c>
      <c r="T546" s="26">
        <f t="shared" si="313"/>
        <v>1.3090907196795822</v>
      </c>
      <c r="U546" s="26">
        <f t="shared" si="314"/>
        <v>0.78736096059943339</v>
      </c>
      <c r="V546" s="26">
        <f t="shared" si="315"/>
        <v>0.93211635383255187</v>
      </c>
      <c r="W546" s="26">
        <f t="shared" si="316"/>
        <v>0.71750445048189071</v>
      </c>
      <c r="X546" s="26">
        <f t="shared" si="317"/>
        <v>3.9901867748769269E-2</v>
      </c>
      <c r="Y546" s="26">
        <f t="shared" si="318"/>
        <v>1.4612734460162184</v>
      </c>
      <c r="Z546" s="26">
        <f t="shared" si="319"/>
        <v>0.81172736776898324</v>
      </c>
      <c r="AA546" s="26">
        <f t="shared" si="320"/>
        <v>-4.0884182831291387</v>
      </c>
      <c r="AB546" s="26">
        <f t="shared" si="321"/>
        <v>1.6489276459676634E-2</v>
      </c>
      <c r="AC546" s="26">
        <f t="shared" si="322"/>
        <v>1.8881375184712783</v>
      </c>
      <c r="AD546" s="26">
        <f t="shared" si="323"/>
        <v>0.8685430257250476</v>
      </c>
      <c r="AE546" s="26">
        <f t="shared" si="324"/>
        <v>8.6404680427627483E-3</v>
      </c>
      <c r="AF546" s="26">
        <f t="shared" si="325"/>
        <v>-3.7619489856032851</v>
      </c>
      <c r="AG546" s="26">
        <f t="shared" si="326"/>
        <v>2.271064571309149E-2</v>
      </c>
      <c r="AH546" s="26">
        <f t="shared" si="327"/>
        <v>-1.6216207813814238</v>
      </c>
      <c r="AI546" s="26">
        <f t="shared" si="328"/>
        <v>0.16498146590516533</v>
      </c>
      <c r="AJ546" s="26">
        <f t="shared" si="329"/>
        <v>-1.369607357265971</v>
      </c>
      <c r="AK546" s="26">
        <f t="shared" si="330"/>
        <v>0.2026832911790909</v>
      </c>
      <c r="AL546" s="26">
        <f t="shared" si="331"/>
        <v>2.0540258261594072E-2</v>
      </c>
      <c r="AM546" s="27">
        <f t="shared" si="332"/>
        <v>0.10227142479657968</v>
      </c>
    </row>
    <row r="547" spans="1:39" ht="15" customHeight="1" x14ac:dyDescent="0.2">
      <c r="A547" s="24">
        <v>536</v>
      </c>
      <c r="B547" s="29">
        <f t="shared" si="333"/>
        <v>5.0271790630941089</v>
      </c>
      <c r="C547" s="29">
        <f t="shared" si="334"/>
        <v>-5.2267113867941548</v>
      </c>
      <c r="D547" s="29">
        <f t="shared" si="335"/>
        <v>-3.5570864788286478</v>
      </c>
      <c r="E547" s="29">
        <f t="shared" si="336"/>
        <v>-2.9472506107950718</v>
      </c>
      <c r="F547" s="29">
        <f t="shared" si="337"/>
        <v>2.4864570437396276</v>
      </c>
      <c r="G547" s="29">
        <f t="shared" si="338"/>
        <v>-1.1718355605101523</v>
      </c>
      <c r="H547" s="29">
        <f t="shared" si="339"/>
        <v>4.8680962503070155</v>
      </c>
      <c r="I547" s="29">
        <f t="shared" si="340"/>
        <v>3.9024811743611196</v>
      </c>
      <c r="J547" s="29">
        <f t="shared" si="341"/>
        <v>-2.1288910147130009</v>
      </c>
      <c r="K547" s="26">
        <f t="shared" si="304"/>
        <v>-3.5570864788286478</v>
      </c>
      <c r="L547" s="26">
        <f t="shared" si="305"/>
        <v>2.7730868299357111E-2</v>
      </c>
      <c r="M547" s="26">
        <f t="shared" si="306"/>
        <v>-1.1718355605101523</v>
      </c>
      <c r="N547" s="26">
        <f t="shared" si="307"/>
        <v>0.23652335835711594</v>
      </c>
      <c r="O547" s="26">
        <f t="shared" si="308"/>
        <v>-1.0708665254418293</v>
      </c>
      <c r="P547" s="26">
        <f t="shared" si="309"/>
        <v>0.25523832992386597</v>
      </c>
      <c r="Q547" s="26">
        <f t="shared" si="310"/>
        <v>3.2573302531162127E-2</v>
      </c>
      <c r="R547" s="26">
        <f t="shared" si="311"/>
        <v>-8.7837978656228017</v>
      </c>
      <c r="S547" s="26">
        <f t="shared" si="312"/>
        <v>1.5317169916005596E-4</v>
      </c>
      <c r="T547" s="26">
        <f t="shared" si="313"/>
        <v>1.3146214832294754</v>
      </c>
      <c r="U547" s="26">
        <f t="shared" si="314"/>
        <v>0.78828546967434499</v>
      </c>
      <c r="V547" s="26">
        <f t="shared" si="315"/>
        <v>0.94812384528787774</v>
      </c>
      <c r="W547" s="26">
        <f t="shared" si="316"/>
        <v>0.72073771167479828</v>
      </c>
      <c r="X547" s="26">
        <f t="shared" si="317"/>
        <v>3.8993712840314047E-2</v>
      </c>
      <c r="Y547" s="26">
        <f t="shared" si="318"/>
        <v>1.4700925842654611</v>
      </c>
      <c r="Z547" s="26">
        <f t="shared" si="319"/>
        <v>0.81307145797627189</v>
      </c>
      <c r="AA547" s="26">
        <f t="shared" si="320"/>
        <v>-4.1190861713052236</v>
      </c>
      <c r="AB547" s="26">
        <f t="shared" si="321"/>
        <v>1.5999228617511074E-2</v>
      </c>
      <c r="AC547" s="26">
        <f t="shared" si="322"/>
        <v>1.8916557895770829</v>
      </c>
      <c r="AD547" s="26">
        <f t="shared" si="323"/>
        <v>0.86894420738147038</v>
      </c>
      <c r="AE547" s="26">
        <f t="shared" si="324"/>
        <v>8.5878103894355216E-3</v>
      </c>
      <c r="AF547" s="26">
        <f t="shared" si="325"/>
        <v>-3.7566188025286937</v>
      </c>
      <c r="AG547" s="26">
        <f t="shared" si="326"/>
        <v>2.2829249898629979E-2</v>
      </c>
      <c r="AH547" s="26">
        <f t="shared" si="327"/>
        <v>-1.6326291275655964</v>
      </c>
      <c r="AI547" s="26">
        <f t="shared" si="328"/>
        <v>0.16347051535748056</v>
      </c>
      <c r="AJ547" s="26">
        <f t="shared" si="329"/>
        <v>-1.3798154201384802</v>
      </c>
      <c r="AK547" s="26">
        <f t="shared" si="330"/>
        <v>0.20103864572108518</v>
      </c>
      <c r="AL547" s="26">
        <f t="shared" si="331"/>
        <v>2.0208268536684001E-2</v>
      </c>
      <c r="AM547" s="27">
        <f t="shared" si="332"/>
        <v>0.1003630942975957</v>
      </c>
    </row>
    <row r="548" spans="1:39" ht="15" customHeight="1" x14ac:dyDescent="0.2">
      <c r="A548" s="24">
        <v>537</v>
      </c>
      <c r="B548" s="29">
        <f t="shared" si="333"/>
        <v>5.0347148130308126</v>
      </c>
      <c r="C548" s="29">
        <f t="shared" si="334"/>
        <v>-5.230176241799307</v>
      </c>
      <c r="D548" s="29">
        <f t="shared" si="335"/>
        <v>-3.5558770456900448</v>
      </c>
      <c r="E548" s="29">
        <f t="shared" si="336"/>
        <v>-2.9635660976078499</v>
      </c>
      <c r="F548" s="29">
        <f t="shared" si="337"/>
        <v>2.5058326897698895</v>
      </c>
      <c r="G548" s="29">
        <f t="shared" si="338"/>
        <v>-1.1857345999889277</v>
      </c>
      <c r="H548" s="29">
        <f t="shared" si="339"/>
        <v>4.8781570212513587</v>
      </c>
      <c r="I548" s="29">
        <f t="shared" si="340"/>
        <v>3.9302738123847085</v>
      </c>
      <c r="J548" s="29">
        <f t="shared" si="341"/>
        <v>-2.138567825385965</v>
      </c>
      <c r="K548" s="26">
        <f t="shared" si="304"/>
        <v>-3.5558770456900448</v>
      </c>
      <c r="L548" s="26">
        <f t="shared" si="305"/>
        <v>2.7763495507043226E-2</v>
      </c>
      <c r="M548" s="26">
        <f t="shared" si="306"/>
        <v>-1.1857345999889277</v>
      </c>
      <c r="N548" s="26">
        <f t="shared" si="307"/>
        <v>0.23402266695380652</v>
      </c>
      <c r="O548" s="26">
        <f t="shared" si="308"/>
        <v>-1.0833599754108274</v>
      </c>
      <c r="P548" s="26">
        <f t="shared" si="309"/>
        <v>0.25287069928551886</v>
      </c>
      <c r="Q548" s="26">
        <f t="shared" si="310"/>
        <v>3.1971795278573654E-2</v>
      </c>
      <c r="R548" s="26">
        <f t="shared" si="311"/>
        <v>-8.7860532874893522</v>
      </c>
      <c r="S548" s="26">
        <f t="shared" si="312"/>
        <v>1.5282667439143929E-4</v>
      </c>
      <c r="T548" s="26">
        <f t="shared" si="313"/>
        <v>1.3200980897809618</v>
      </c>
      <c r="U548" s="26">
        <f t="shared" si="314"/>
        <v>0.78919802564272779</v>
      </c>
      <c r="V548" s="26">
        <f t="shared" si="315"/>
        <v>0.96394202009808083</v>
      </c>
      <c r="W548" s="26">
        <f t="shared" si="316"/>
        <v>0.72391036861970282</v>
      </c>
      <c r="X548" s="26">
        <f t="shared" si="317"/>
        <v>3.8112742277854189E-2</v>
      </c>
      <c r="Y548" s="26">
        <f t="shared" si="318"/>
        <v>1.4788377673407678</v>
      </c>
      <c r="Z548" s="26">
        <f t="shared" si="319"/>
        <v>0.81439696814559959</v>
      </c>
      <c r="AA548" s="26">
        <f t="shared" si="320"/>
        <v>-4.1493006975967779</v>
      </c>
      <c r="AB548" s="26">
        <f t="shared" si="321"/>
        <v>1.5530444766218976E-2</v>
      </c>
      <c r="AC548" s="26">
        <f t="shared" si="322"/>
        <v>1.8952273632186678</v>
      </c>
      <c r="AD548" s="26">
        <f t="shared" si="323"/>
        <v>0.86935040312096235</v>
      </c>
      <c r="AE548" s="26">
        <f t="shared" si="324"/>
        <v>8.5346585823275235E-3</v>
      </c>
      <c r="AF548" s="26">
        <f t="shared" si="325"/>
        <v>-3.7513384744585392</v>
      </c>
      <c r="AG548" s="26">
        <f t="shared" si="326"/>
        <v>2.2947341124960025E-2</v>
      </c>
      <c r="AH548" s="26">
        <f t="shared" si="327"/>
        <v>-1.6434680078268882</v>
      </c>
      <c r="AI548" s="26">
        <f t="shared" si="328"/>
        <v>0.1619937223908112</v>
      </c>
      <c r="AJ548" s="26">
        <f t="shared" si="329"/>
        <v>-1.3899474072748677</v>
      </c>
      <c r="AK548" s="26">
        <f t="shared" si="330"/>
        <v>0.19941615311036817</v>
      </c>
      <c r="AL548" s="26">
        <f t="shared" si="331"/>
        <v>1.9883401060668902E-2</v>
      </c>
      <c r="AM548" s="27">
        <f t="shared" si="332"/>
        <v>9.850259719942428E-2</v>
      </c>
    </row>
    <row r="549" spans="1:39" ht="15" customHeight="1" x14ac:dyDescent="0.2">
      <c r="A549" s="24">
        <v>538</v>
      </c>
      <c r="B549" s="29">
        <f t="shared" si="333"/>
        <v>5.0421745546923926</v>
      </c>
      <c r="C549" s="29">
        <f t="shared" si="334"/>
        <v>-5.2336171492224004</v>
      </c>
      <c r="D549" s="29">
        <f t="shared" si="335"/>
        <v>-3.5546668097107879</v>
      </c>
      <c r="E549" s="29">
        <f t="shared" si="336"/>
        <v>-2.979660576416173</v>
      </c>
      <c r="F549" s="29">
        <f t="shared" si="337"/>
        <v>2.524926669095235</v>
      </c>
      <c r="G549" s="29">
        <f t="shared" si="338"/>
        <v>-1.1994070058522353</v>
      </c>
      <c r="H549" s="29">
        <f t="shared" si="339"/>
        <v>4.8881935247127304</v>
      </c>
      <c r="I549" s="29">
        <f t="shared" si="340"/>
        <v>3.9577149811628094</v>
      </c>
      <c r="J549" s="29">
        <f t="shared" si="341"/>
        <v>-2.1481589785238682</v>
      </c>
      <c r="K549" s="26">
        <f t="shared" si="304"/>
        <v>-3.5546668097107879</v>
      </c>
      <c r="L549" s="26">
        <f t="shared" si="305"/>
        <v>2.7796181700929887E-2</v>
      </c>
      <c r="M549" s="26">
        <f t="shared" si="306"/>
        <v>-1.1994070058522353</v>
      </c>
      <c r="N549" s="26">
        <f t="shared" si="307"/>
        <v>0.23158072366040156</v>
      </c>
      <c r="O549" s="26">
        <f t="shared" si="308"/>
        <v>-1.0957553637423483</v>
      </c>
      <c r="P549" s="26">
        <f t="shared" si="309"/>
        <v>0.25053605592685679</v>
      </c>
      <c r="Q549" s="26">
        <f t="shared" si="310"/>
        <v>3.138415765969256E-2</v>
      </c>
      <c r="R549" s="26">
        <f t="shared" si="311"/>
        <v>-8.7882839589331887</v>
      </c>
      <c r="S549" s="26">
        <f t="shared" si="312"/>
        <v>1.5248620016074555E-4</v>
      </c>
      <c r="T549" s="26">
        <f t="shared" si="313"/>
        <v>1.3255196632429997</v>
      </c>
      <c r="U549" s="26">
        <f t="shared" si="314"/>
        <v>0.79009856883657892</v>
      </c>
      <c r="V549" s="26">
        <f t="shared" si="315"/>
        <v>0.97957134601218954</v>
      </c>
      <c r="W549" s="26">
        <f t="shared" si="316"/>
        <v>0.72702315374078552</v>
      </c>
      <c r="X549" s="26">
        <f t="shared" si="317"/>
        <v>3.725817929681341E-2</v>
      </c>
      <c r="Y549" s="26">
        <f t="shared" si="318"/>
        <v>1.4875077449816048</v>
      </c>
      <c r="Z549" s="26">
        <f t="shared" si="319"/>
        <v>0.81570390403165771</v>
      </c>
      <c r="AA549" s="26">
        <f t="shared" si="320"/>
        <v>-4.1790675822684085</v>
      </c>
      <c r="AB549" s="26">
        <f t="shared" si="321"/>
        <v>1.5081834030112963E-2</v>
      </c>
      <c r="AC549" s="26">
        <f t="shared" si="322"/>
        <v>1.8988491637309646</v>
      </c>
      <c r="AD549" s="26">
        <f t="shared" si="323"/>
        <v>0.86976121823423402</v>
      </c>
      <c r="AE549" s="26">
        <f t="shared" si="324"/>
        <v>8.4810701379154085E-3</v>
      </c>
      <c r="AF549" s="26">
        <f t="shared" si="325"/>
        <v>-3.7461094042407956</v>
      </c>
      <c r="AG549" s="26">
        <f t="shared" si="326"/>
        <v>2.3064873779102778E-2</v>
      </c>
      <c r="AH549" s="26">
        <f t="shared" si="327"/>
        <v>-1.6541409131731732</v>
      </c>
      <c r="AI549" s="26">
        <f t="shared" si="328"/>
        <v>0.1605500784078096</v>
      </c>
      <c r="AJ549" s="26">
        <f t="shared" si="329"/>
        <v>-1.4000019613270898</v>
      </c>
      <c r="AK549" s="26">
        <f t="shared" si="330"/>
        <v>0.19781580020861453</v>
      </c>
      <c r="AL549" s="26">
        <f t="shared" si="331"/>
        <v>1.9565545406087251E-2</v>
      </c>
      <c r="AM549" s="27">
        <f t="shared" si="332"/>
        <v>9.6688952500508629E-2</v>
      </c>
    </row>
    <row r="550" spans="1:39" ht="15" customHeight="1" x14ac:dyDescent="0.2">
      <c r="A550" s="24">
        <v>539</v>
      </c>
      <c r="B550" s="29">
        <f t="shared" si="333"/>
        <v>5.0495582721160917</v>
      </c>
      <c r="C550" s="29">
        <f t="shared" si="334"/>
        <v>-5.2370342668003893</v>
      </c>
      <c r="D550" s="29">
        <f t="shared" si="335"/>
        <v>-3.5534568721522573</v>
      </c>
      <c r="E550" s="29">
        <f t="shared" si="336"/>
        <v>-2.9955367422909993</v>
      </c>
      <c r="F550" s="29">
        <f t="shared" si="337"/>
        <v>2.5437414883434117</v>
      </c>
      <c r="G550" s="29">
        <f t="shared" si="338"/>
        <v>-1.2128560070352326</v>
      </c>
      <c r="H550" s="29">
        <f t="shared" si="339"/>
        <v>4.8982042563341786</v>
      </c>
      <c r="I550" s="29">
        <f t="shared" si="340"/>
        <v>3.984807288026134</v>
      </c>
      <c r="J550" s="29">
        <f t="shared" si="341"/>
        <v>-2.1576637806359051</v>
      </c>
      <c r="K550" s="26">
        <f t="shared" si="304"/>
        <v>-3.5534568721522573</v>
      </c>
      <c r="L550" s="26">
        <f t="shared" si="305"/>
        <v>2.7828897201449029E-2</v>
      </c>
      <c r="M550" s="26">
        <f t="shared" si="306"/>
        <v>-1.2128560070352326</v>
      </c>
      <c r="N550" s="26">
        <f t="shared" si="307"/>
        <v>0.22919610356535658</v>
      </c>
      <c r="O550" s="26">
        <f t="shared" si="308"/>
        <v>-1.1080498540402557</v>
      </c>
      <c r="P550" s="26">
        <f t="shared" si="309"/>
        <v>0.24823463478318913</v>
      </c>
      <c r="Q550" s="26">
        <f t="shared" si="310"/>
        <v>3.0810216952971647E-2</v>
      </c>
      <c r="R550" s="26">
        <f t="shared" si="311"/>
        <v>-8.7904911389526461</v>
      </c>
      <c r="S550" s="26">
        <f t="shared" si="312"/>
        <v>1.5215005797443749E-4</v>
      </c>
      <c r="T550" s="26">
        <f t="shared" si="313"/>
        <v>1.3308854813081792</v>
      </c>
      <c r="U550" s="26">
        <f t="shared" si="314"/>
        <v>0.7909870660571261</v>
      </c>
      <c r="V550" s="26">
        <f t="shared" si="315"/>
        <v>0.99501250698451171</v>
      </c>
      <c r="W550" s="26">
        <f t="shared" si="316"/>
        <v>0.73007684867265776</v>
      </c>
      <c r="X550" s="26">
        <f t="shared" si="317"/>
        <v>3.6429253811241652E-2</v>
      </c>
      <c r="Y550" s="26">
        <f t="shared" si="318"/>
        <v>1.4961013999638344</v>
      </c>
      <c r="Z550" s="26">
        <f t="shared" si="319"/>
        <v>0.81699229376994353</v>
      </c>
      <c r="AA550" s="26">
        <f t="shared" si="320"/>
        <v>-4.2083927493262321</v>
      </c>
      <c r="AB550" s="26">
        <f t="shared" si="321"/>
        <v>1.4652365038027412E-2</v>
      </c>
      <c r="AC550" s="26">
        <f t="shared" si="322"/>
        <v>1.9025182010906065</v>
      </c>
      <c r="AD550" s="26">
        <f t="shared" si="323"/>
        <v>0.87017627090965288</v>
      </c>
      <c r="AE550" s="26">
        <f t="shared" si="324"/>
        <v>8.4271003174619195E-3</v>
      </c>
      <c r="AF550" s="26">
        <f t="shared" si="325"/>
        <v>-3.7409328668365549</v>
      </c>
      <c r="AG550" s="26">
        <f t="shared" si="326"/>
        <v>2.3181804529084409E-2</v>
      </c>
      <c r="AH550" s="26">
        <f t="shared" si="327"/>
        <v>-1.6646512609828201</v>
      </c>
      <c r="AI550" s="26">
        <f t="shared" si="328"/>
        <v>0.1591386081597084</v>
      </c>
      <c r="AJ550" s="26">
        <f t="shared" si="329"/>
        <v>-1.4099778814208959</v>
      </c>
      <c r="AK550" s="26">
        <f t="shared" si="330"/>
        <v>0.19623754506978949</v>
      </c>
      <c r="AL550" s="26">
        <f t="shared" si="331"/>
        <v>1.925458704750883E-2</v>
      </c>
      <c r="AM550" s="27">
        <f t="shared" si="332"/>
        <v>9.4921158129184058E-2</v>
      </c>
    </row>
    <row r="551" spans="1:39" ht="15" customHeight="1" x14ac:dyDescent="0.2">
      <c r="A551" s="24">
        <v>540</v>
      </c>
      <c r="B551" s="29">
        <f t="shared" si="333"/>
        <v>5.0568660198029178</v>
      </c>
      <c r="C551" s="29">
        <f t="shared" si="334"/>
        <v>-5.2404277570079287</v>
      </c>
      <c r="D551" s="29">
        <f t="shared" si="335"/>
        <v>-3.5522482766490211</v>
      </c>
      <c r="E551" s="29">
        <f t="shared" si="336"/>
        <v>-3.0111973602257485</v>
      </c>
      <c r="F551" s="29">
        <f t="shared" si="337"/>
        <v>2.5622799016000406</v>
      </c>
      <c r="G551" s="29">
        <f t="shared" si="338"/>
        <v>-1.2260849372412013</v>
      </c>
      <c r="H551" s="29">
        <f t="shared" si="339"/>
        <v>4.9081877836796881</v>
      </c>
      <c r="I551" s="29">
        <f t="shared" si="340"/>
        <v>4.0115536108050192</v>
      </c>
      <c r="J551" s="29">
        <f t="shared" si="341"/>
        <v>-2.1670816818422947</v>
      </c>
      <c r="K551" s="26">
        <f t="shared" si="304"/>
        <v>-3.5522482766490211</v>
      </c>
      <c r="L551" s="26">
        <f t="shared" si="305"/>
        <v>2.7861613753849247E-2</v>
      </c>
      <c r="M551" s="26">
        <f t="shared" si="306"/>
        <v>-1.2260849372412013</v>
      </c>
      <c r="N551" s="26">
        <f t="shared" si="307"/>
        <v>0.22686738776704329</v>
      </c>
      <c r="O551" s="26">
        <f t="shared" si="308"/>
        <v>-1.1202409610112647</v>
      </c>
      <c r="P551" s="26">
        <f t="shared" si="309"/>
        <v>0.24596659049316305</v>
      </c>
      <c r="Q551" s="26">
        <f t="shared" si="310"/>
        <v>3.0249781819415685E-2</v>
      </c>
      <c r="R551" s="26">
        <f t="shared" si="311"/>
        <v>-8.7926760336569494</v>
      </c>
      <c r="S551" s="26">
        <f t="shared" si="312"/>
        <v>1.5181803943252082E-4</v>
      </c>
      <c r="T551" s="26">
        <f t="shared" si="313"/>
        <v>1.3361949643588393</v>
      </c>
      <c r="U551" s="26">
        <f t="shared" si="314"/>
        <v>0.79186350829787966</v>
      </c>
      <c r="V551" s="26">
        <f t="shared" si="315"/>
        <v>1.0102663855812795</v>
      </c>
      <c r="W551" s="26">
        <f t="shared" si="316"/>
        <v>0.73307227808989439</v>
      </c>
      <c r="X551" s="26">
        <f t="shared" si="317"/>
        <v>3.5625204362059334E-2</v>
      </c>
      <c r="Y551" s="26">
        <f t="shared" si="318"/>
        <v>1.5046177431538967</v>
      </c>
      <c r="Z551" s="26">
        <f t="shared" si="319"/>
        <v>0.81826218646803461</v>
      </c>
      <c r="AA551" s="26">
        <f t="shared" si="320"/>
        <v>-4.2372822974669493</v>
      </c>
      <c r="AB551" s="26">
        <f t="shared" si="321"/>
        <v>1.4241062850756473E-2</v>
      </c>
      <c r="AC551" s="26">
        <f t="shared" si="322"/>
        <v>1.9062315727277972</v>
      </c>
      <c r="AD551" s="26">
        <f t="shared" si="323"/>
        <v>0.87059519242073169</v>
      </c>
      <c r="AE551" s="26">
        <f t="shared" si="324"/>
        <v>8.3728021123137281E-3</v>
      </c>
      <c r="AF551" s="26">
        <f t="shared" si="325"/>
        <v>-3.735810013854032</v>
      </c>
      <c r="AG551" s="26">
        <f t="shared" si="326"/>
        <v>2.3298092302823713E-2</v>
      </c>
      <c r="AH551" s="26">
        <f t="shared" si="327"/>
        <v>-1.6750023958669091</v>
      </c>
      <c r="AI551" s="26">
        <f t="shared" si="328"/>
        <v>0.15775836867827753</v>
      </c>
      <c r="AJ551" s="26">
        <f t="shared" si="329"/>
        <v>-1.41987411631248</v>
      </c>
      <c r="AK551" s="26">
        <f t="shared" si="330"/>
        <v>0.1946813189408792</v>
      </c>
      <c r="AL551" s="26">
        <f t="shared" si="331"/>
        <v>1.8950407972280165E-2</v>
      </c>
      <c r="AM551" s="27">
        <f t="shared" si="332"/>
        <v>9.3198196266068914E-2</v>
      </c>
    </row>
    <row r="552" spans="1:39" ht="15" customHeight="1" x14ac:dyDescent="0.2">
      <c r="A552" s="24">
        <v>541</v>
      </c>
      <c r="B552" s="29">
        <f t="shared" si="333"/>
        <v>5.0640979186027355</v>
      </c>
      <c r="C552" s="29">
        <f t="shared" si="334"/>
        <v>-5.2437977866575007</v>
      </c>
      <c r="D552" s="29">
        <f t="shared" si="335"/>
        <v>-3.5510420101568112</v>
      </c>
      <c r="E552" s="29">
        <f t="shared" si="336"/>
        <v>-3.0266452554555463</v>
      </c>
      <c r="F552" s="29">
        <f t="shared" si="337"/>
        <v>2.5805448823341401</v>
      </c>
      <c r="G552" s="29">
        <f t="shared" si="338"/>
        <v>-1.2390972174962478</v>
      </c>
      <c r="H552" s="29">
        <f t="shared" si="339"/>
        <v>4.9181427450738893</v>
      </c>
      <c r="I552" s="29">
        <f t="shared" si="340"/>
        <v>4.0379570713693269</v>
      </c>
      <c r="J552" s="29">
        <f t="shared" si="341"/>
        <v>-2.1764122672237298</v>
      </c>
      <c r="K552" s="26">
        <f t="shared" si="304"/>
        <v>-3.5510420101568112</v>
      </c>
      <c r="L552" s="26">
        <f t="shared" si="305"/>
        <v>2.7894304511257666E-2</v>
      </c>
      <c r="M552" s="26">
        <f t="shared" si="306"/>
        <v>-1.2390972174962478</v>
      </c>
      <c r="N552" s="26">
        <f t="shared" si="307"/>
        <v>0.22459316718465638</v>
      </c>
      <c r="O552" s="26">
        <f t="shared" si="308"/>
        <v>-1.1323265282482895</v>
      </c>
      <c r="P552" s="26">
        <f t="shared" si="309"/>
        <v>0.2437320039573195</v>
      </c>
      <c r="Q552" s="26">
        <f t="shared" si="310"/>
        <v>2.9702644876525405E-2</v>
      </c>
      <c r="R552" s="26">
        <f t="shared" si="311"/>
        <v>-8.7948397968143119</v>
      </c>
      <c r="S552" s="26">
        <f t="shared" si="312"/>
        <v>1.5148994600260596E-4</v>
      </c>
      <c r="T552" s="26">
        <f t="shared" si="313"/>
        <v>1.3414476648378924</v>
      </c>
      <c r="U552" s="26">
        <f t="shared" si="314"/>
        <v>0.79272790858996456</v>
      </c>
      <c r="V552" s="26">
        <f t="shared" si="315"/>
        <v>1.0253340461178193</v>
      </c>
      <c r="W552" s="26">
        <f t="shared" si="316"/>
        <v>0.73601030391616495</v>
      </c>
      <c r="X552" s="26">
        <f t="shared" si="317"/>
        <v>3.4845279819217798E-2</v>
      </c>
      <c r="Y552" s="26">
        <f t="shared" si="318"/>
        <v>1.5130559084459243</v>
      </c>
      <c r="Z552" s="26">
        <f t="shared" si="319"/>
        <v>0.8195136508205435</v>
      </c>
      <c r="AA552" s="26">
        <f t="shared" si="320"/>
        <v>-4.2657424729517945</v>
      </c>
      <c r="AB552" s="26">
        <f t="shared" si="321"/>
        <v>1.384700599949551E-2</v>
      </c>
      <c r="AC552" s="26">
        <f t="shared" si="322"/>
        <v>1.9099864648412992</v>
      </c>
      <c r="AD552" s="26">
        <f t="shared" si="323"/>
        <v>0.87101762724154019</v>
      </c>
      <c r="AE552" s="26">
        <f t="shared" si="324"/>
        <v>8.3182262412011369E-3</v>
      </c>
      <c r="AF552" s="26">
        <f t="shared" si="325"/>
        <v>-3.7307418782115764</v>
      </c>
      <c r="AG552" s="26">
        <f t="shared" si="326"/>
        <v>2.3413698260573355E-2</v>
      </c>
      <c r="AH552" s="26">
        <f t="shared" si="327"/>
        <v>-1.685197590617654</v>
      </c>
      <c r="AI552" s="26">
        <f t="shared" si="328"/>
        <v>0.15640844822620212</v>
      </c>
      <c r="AJ552" s="26">
        <f t="shared" si="329"/>
        <v>-1.4296897574512457</v>
      </c>
      <c r="AK552" s="26">
        <f t="shared" si="330"/>
        <v>0.19314702821828864</v>
      </c>
      <c r="AL552" s="26">
        <f t="shared" si="331"/>
        <v>1.8652887254778192E-2</v>
      </c>
      <c r="AM552" s="27">
        <f t="shared" si="332"/>
        <v>9.1519038191722538E-2</v>
      </c>
    </row>
    <row r="553" spans="1:39" ht="15" customHeight="1" x14ac:dyDescent="0.2">
      <c r="A553" s="24">
        <v>542</v>
      </c>
      <c r="B553" s="29">
        <f t="shared" si="333"/>
        <v>5.0712541516809164</v>
      </c>
      <c r="C553" s="29">
        <f t="shared" si="334"/>
        <v>-5.2471445265125629</v>
      </c>
      <c r="D553" s="29">
        <f t="shared" si="335"/>
        <v>-3.5498390040623997</v>
      </c>
      <c r="E553" s="29">
        <f t="shared" si="336"/>
        <v>-3.041883304327087</v>
      </c>
      <c r="F553" s="29">
        <f t="shared" si="337"/>
        <v>2.598539597137647</v>
      </c>
      <c r="G553" s="29">
        <f t="shared" si="338"/>
        <v>-1.2518963400375722</v>
      </c>
      <c r="H553" s="29">
        <f t="shared" si="339"/>
        <v>4.9280678482995484</v>
      </c>
      <c r="I553" s="29">
        <f t="shared" si="340"/>
        <v>4.0640210105319303</v>
      </c>
      <c r="J553" s="29">
        <f t="shared" si="341"/>
        <v>-2.1856552483407472</v>
      </c>
      <c r="K553" s="26">
        <f t="shared" si="304"/>
        <v>-3.5498390040623997</v>
      </c>
      <c r="L553" s="26">
        <f t="shared" si="305"/>
        <v>2.7926944013435654E-2</v>
      </c>
      <c r="M553" s="26">
        <f t="shared" si="306"/>
        <v>-1.2518963400375722</v>
      </c>
      <c r="N553" s="26">
        <f t="shared" si="307"/>
        <v>0.22237204591460244</v>
      </c>
      <c r="O553" s="26">
        <f t="shared" si="308"/>
        <v>-1.1443047066949581</v>
      </c>
      <c r="P553" s="26">
        <f t="shared" si="309"/>
        <v>0.24153088859550997</v>
      </c>
      <c r="Q553" s="26">
        <f t="shared" si="310"/>
        <v>2.9168585072868326E-2</v>
      </c>
      <c r="R553" s="26">
        <f t="shared" si="311"/>
        <v>-8.7969835305749626</v>
      </c>
      <c r="S553" s="26">
        <f t="shared" si="312"/>
        <v>1.5116558877459546E-4</v>
      </c>
      <c r="T553" s="26">
        <f t="shared" si="313"/>
        <v>1.3466432571000748</v>
      </c>
      <c r="U553" s="26">
        <f t="shared" si="314"/>
        <v>0.79358029996976365</v>
      </c>
      <c r="V553" s="26">
        <f t="shared" si="315"/>
        <v>1.0402167185584132</v>
      </c>
      <c r="W553" s="26">
        <f t="shared" si="316"/>
        <v>0.73889181991170938</v>
      </c>
      <c r="X553" s="26">
        <f t="shared" si="317"/>
        <v>3.4088740854509601E-2</v>
      </c>
      <c r="Y553" s="26">
        <f t="shared" si="318"/>
        <v>1.5214151476185167</v>
      </c>
      <c r="Z553" s="26">
        <f t="shared" si="319"/>
        <v>0.8207467737534605</v>
      </c>
      <c r="AA553" s="26">
        <f t="shared" si="320"/>
        <v>-4.2937796443646592</v>
      </c>
      <c r="AB553" s="26">
        <f t="shared" si="321"/>
        <v>1.3469323639133106E-2</v>
      </c>
      <c r="AC553" s="26">
        <f t="shared" si="322"/>
        <v>1.9137801532563565</v>
      </c>
      <c r="AD553" s="26">
        <f t="shared" si="323"/>
        <v>0.87144323309632721</v>
      </c>
      <c r="AE553" s="26">
        <f t="shared" si="324"/>
        <v>8.2634211583626303E-3</v>
      </c>
      <c r="AF553" s="26">
        <f t="shared" si="325"/>
        <v>-3.7257293788940462</v>
      </c>
      <c r="AG553" s="26">
        <f t="shared" si="326"/>
        <v>2.3528585761536668E-2</v>
      </c>
      <c r="AH553" s="26">
        <f t="shared" si="327"/>
        <v>-1.6952400472270122</v>
      </c>
      <c r="AI553" s="26">
        <f t="shared" si="328"/>
        <v>0.15508796526832191</v>
      </c>
      <c r="AJ553" s="26">
        <f t="shared" si="329"/>
        <v>-1.4394240320022531</v>
      </c>
      <c r="AK553" s="26">
        <f t="shared" si="330"/>
        <v>0.1916345563512572</v>
      </c>
      <c r="AL553" s="26">
        <f t="shared" si="331"/>
        <v>1.8361901593971587E-2</v>
      </c>
      <c r="AM553" s="27">
        <f t="shared" si="332"/>
        <v>8.9882648679712157E-2</v>
      </c>
    </row>
    <row r="554" spans="1:39" ht="15" customHeight="1" x14ac:dyDescent="0.2">
      <c r="A554" s="24">
        <v>543</v>
      </c>
      <c r="B554" s="29">
        <f t="shared" si="333"/>
        <v>5.0783349605789878</v>
      </c>
      <c r="C554" s="29">
        <f t="shared" si="334"/>
        <v>-5.2504681509145685</v>
      </c>
      <c r="D554" s="29">
        <f t="shared" si="335"/>
        <v>-3.5486401354339714</v>
      </c>
      <c r="E554" s="29">
        <f t="shared" si="336"/>
        <v>-3.0569144257147847</v>
      </c>
      <c r="F554" s="29">
        <f t="shared" si="337"/>
        <v>2.6162673812406472</v>
      </c>
      <c r="G554" s="29">
        <f t="shared" si="338"/>
        <v>-1.2644858534874421</v>
      </c>
      <c r="H554" s="29">
        <f t="shared" si="339"/>
        <v>4.9379618691709721</v>
      </c>
      <c r="I554" s="29">
        <f t="shared" si="340"/>
        <v>4.0897489643267759</v>
      </c>
      <c r="J554" s="29">
        <f t="shared" si="341"/>
        <v>-2.1948104549611926</v>
      </c>
      <c r="K554" s="26">
        <f t="shared" si="304"/>
        <v>-3.5486401354339714</v>
      </c>
      <c r="L554" s="26">
        <f t="shared" si="305"/>
        <v>2.7959508161727556E-2</v>
      </c>
      <c r="M554" s="26">
        <f t="shared" si="306"/>
        <v>-1.2644858534874421</v>
      </c>
      <c r="N554" s="26">
        <f t="shared" si="307"/>
        <v>0.22020264416479587</v>
      </c>
      <c r="O554" s="26">
        <f t="shared" si="308"/>
        <v>-1.1561739338628159</v>
      </c>
      <c r="P554" s="26">
        <f t="shared" si="309"/>
        <v>0.23936319629233349</v>
      </c>
      <c r="Q554" s="26">
        <f t="shared" si="310"/>
        <v>2.8647369869641087E-2</v>
      </c>
      <c r="R554" s="26">
        <f t="shared" si="311"/>
        <v>-8.7991082863485399</v>
      </c>
      <c r="S554" s="26">
        <f t="shared" si="312"/>
        <v>1.5084478819903923E-4</v>
      </c>
      <c r="T554" s="26">
        <f t="shared" si="313"/>
        <v>1.351781527753205</v>
      </c>
      <c r="U554" s="26">
        <f t="shared" si="314"/>
        <v>0.79442073356780163</v>
      </c>
      <c r="V554" s="26">
        <f t="shared" si="315"/>
        <v>1.0549157831997316</v>
      </c>
      <c r="W554" s="26">
        <f t="shared" si="316"/>
        <v>0.74171774663428447</v>
      </c>
      <c r="X554" s="26">
        <f t="shared" si="317"/>
        <v>3.3354861201835832E-2</v>
      </c>
      <c r="Y554" s="26">
        <f t="shared" si="318"/>
        <v>1.5296948251450164</v>
      </c>
      <c r="Z554" s="26">
        <f t="shared" si="319"/>
        <v>0.82196165910280061</v>
      </c>
      <c r="AA554" s="26">
        <f t="shared" si="320"/>
        <v>-4.3214002792022264</v>
      </c>
      <c r="AB554" s="26">
        <f t="shared" si="321"/>
        <v>1.3107192818710065E-2</v>
      </c>
      <c r="AC554" s="26">
        <f t="shared" si="322"/>
        <v>1.917610003864497</v>
      </c>
      <c r="AD554" s="26">
        <f t="shared" si="323"/>
        <v>0.87187168094948031</v>
      </c>
      <c r="AE554" s="26">
        <f t="shared" si="324"/>
        <v>8.2084330713558841E-3</v>
      </c>
      <c r="AF554" s="26">
        <f t="shared" si="325"/>
        <v>-3.7207733257695521</v>
      </c>
      <c r="AG554" s="26">
        <f t="shared" si="326"/>
        <v>2.3642720325270802E-2</v>
      </c>
      <c r="AH554" s="26">
        <f t="shared" si="327"/>
        <v>-1.7051328979615796</v>
      </c>
      <c r="AI554" s="26">
        <f t="shared" si="328"/>
        <v>0.15379606746565869</v>
      </c>
      <c r="AJ554" s="26">
        <f t="shared" si="329"/>
        <v>-1.4490762958763233</v>
      </c>
      <c r="AK554" s="26">
        <f t="shared" si="330"/>
        <v>0.19014376568511032</v>
      </c>
      <c r="AL554" s="26">
        <f t="shared" si="331"/>
        <v>1.8077325814457069E-2</v>
      </c>
      <c r="AM554" s="27">
        <f t="shared" si="332"/>
        <v>8.828798995728987E-2</v>
      </c>
    </row>
    <row r="555" spans="1:39" ht="15" customHeight="1" x14ac:dyDescent="0.2">
      <c r="A555" s="24">
        <v>544</v>
      </c>
      <c r="B555" s="29">
        <f t="shared" si="333"/>
        <v>5.0853406413798741</v>
      </c>
      <c r="C555" s="29">
        <f t="shared" si="334"/>
        <v>-5.2537688374245084</v>
      </c>
      <c r="D555" s="29">
        <f t="shared" si="335"/>
        <v>-3.5474462283916139</v>
      </c>
      <c r="E555" s="29">
        <f t="shared" si="336"/>
        <v>-3.0717415729754092</v>
      </c>
      <c r="F555" s="29">
        <f t="shared" si="337"/>
        <v>2.6337317157529383</v>
      </c>
      <c r="G555" s="29">
        <f t="shared" si="338"/>
        <v>-1.2768693492593275</v>
      </c>
      <c r="H555" s="29">
        <f t="shared" si="339"/>
        <v>4.9478236500005215</v>
      </c>
      <c r="I555" s="29">
        <f t="shared" si="340"/>
        <v>4.1151446416589401</v>
      </c>
      <c r="J555" s="29">
        <f t="shared" si="341"/>
        <v>-2.2038778270272834</v>
      </c>
      <c r="K555" s="26">
        <f t="shared" si="304"/>
        <v>-3.5474462283916139</v>
      </c>
      <c r="L555" s="26">
        <f t="shared" si="305"/>
        <v>2.7991974190683045E-2</v>
      </c>
      <c r="M555" s="26">
        <f t="shared" si="306"/>
        <v>-1.2768693492593275</v>
      </c>
      <c r="N555" s="26">
        <f t="shared" si="307"/>
        <v>0.21808360079886449</v>
      </c>
      <c r="O555" s="26">
        <f t="shared" si="308"/>
        <v>-1.167932913855283</v>
      </c>
      <c r="P555" s="26">
        <f t="shared" si="309"/>
        <v>0.23722882302456472</v>
      </c>
      <c r="Q555" s="26">
        <f t="shared" si="310"/>
        <v>2.8138757236810124E-2</v>
      </c>
      <c r="R555" s="26">
        <f t="shared" si="311"/>
        <v>-8.8012150658161232</v>
      </c>
      <c r="S555" s="26">
        <f t="shared" si="312"/>
        <v>1.505273738120334E-4</v>
      </c>
      <c r="T555" s="26">
        <f t="shared" si="313"/>
        <v>1.3568623664936108</v>
      </c>
      <c r="U555" s="26">
        <f t="shared" si="314"/>
        <v>0.79524927681686963</v>
      </c>
      <c r="V555" s="26">
        <f t="shared" si="315"/>
        <v>1.0694327561489243</v>
      </c>
      <c r="W555" s="26">
        <f t="shared" si="316"/>
        <v>0.74448902676569961</v>
      </c>
      <c r="X555" s="26">
        <f t="shared" si="317"/>
        <v>3.2642928721569688E-2</v>
      </c>
      <c r="Y555" s="26">
        <f t="shared" si="318"/>
        <v>1.5378944129882601</v>
      </c>
      <c r="Z555" s="26">
        <f t="shared" si="319"/>
        <v>0.82315842633172442</v>
      </c>
      <c r="AA555" s="26">
        <f t="shared" si="320"/>
        <v>-4.3486109222347364</v>
      </c>
      <c r="AB555" s="26">
        <f t="shared" si="321"/>
        <v>1.2759835870052963E-2</v>
      </c>
      <c r="AC555" s="26">
        <f t="shared" si="322"/>
        <v>1.9214734726831315</v>
      </c>
      <c r="AD555" s="26">
        <f t="shared" si="323"/>
        <v>0.87230265494175441</v>
      </c>
      <c r="AE555" s="26">
        <f t="shared" si="324"/>
        <v>8.1533059674623199E-3</v>
      </c>
      <c r="AF555" s="26">
        <f t="shared" si="325"/>
        <v>-3.7158744244362483</v>
      </c>
      <c r="AG555" s="26">
        <f t="shared" si="326"/>
        <v>2.3756069588471766E-2</v>
      </c>
      <c r="AH555" s="26">
        <f t="shared" si="327"/>
        <v>-1.7148792064817984</v>
      </c>
      <c r="AI555" s="26">
        <f t="shared" si="328"/>
        <v>0.15253193069370713</v>
      </c>
      <c r="AJ555" s="26">
        <f t="shared" si="329"/>
        <v>-1.458646026810283</v>
      </c>
      <c r="AK555" s="26">
        <f t="shared" si="330"/>
        <v>0.18867449923853741</v>
      </c>
      <c r="AL555" s="26">
        <f t="shared" si="331"/>
        <v>1.7799033331456427E-2</v>
      </c>
      <c r="AM555" s="27">
        <f t="shared" si="332"/>
        <v>8.673402525729855E-2</v>
      </c>
    </row>
    <row r="556" spans="1:39" ht="15" customHeight="1" x14ac:dyDescent="0.2">
      <c r="A556" s="24">
        <v>545</v>
      </c>
      <c r="B556" s="29">
        <f t="shared" si="333"/>
        <v>5.0922715409865473</v>
      </c>
      <c r="C556" s="29">
        <f t="shared" si="334"/>
        <v>-5.2570467664794398</v>
      </c>
      <c r="D556" s="29">
        <f t="shared" si="335"/>
        <v>-3.546258055578694</v>
      </c>
      <c r="E556" s="29">
        <f t="shared" si="336"/>
        <v>-3.086367726430391</v>
      </c>
      <c r="F556" s="29">
        <f t="shared" si="337"/>
        <v>2.6509362065737254</v>
      </c>
      <c r="G556" s="29">
        <f t="shared" si="338"/>
        <v>-1.2890504491385459</v>
      </c>
      <c r="H556" s="29">
        <f t="shared" si="339"/>
        <v>4.9576520979744547</v>
      </c>
      <c r="I556" s="29">
        <f t="shared" si="340"/>
        <v>4.1402119033124585</v>
      </c>
      <c r="J556" s="29">
        <f t="shared" si="341"/>
        <v>-2.2128574068876596</v>
      </c>
      <c r="K556" s="26">
        <f t="shared" si="304"/>
        <v>-3.546258055578694</v>
      </c>
      <c r="L556" s="26">
        <f t="shared" si="305"/>
        <v>2.8024320636811484E-2</v>
      </c>
      <c r="M556" s="26">
        <f t="shared" si="306"/>
        <v>-1.2890504491385459</v>
      </c>
      <c r="N556" s="26">
        <f t="shared" si="307"/>
        <v>0.21601357552149333</v>
      </c>
      <c r="O556" s="26">
        <f t="shared" si="308"/>
        <v>-1.179580598237091</v>
      </c>
      <c r="P556" s="26">
        <f t="shared" si="309"/>
        <v>0.23512761416865535</v>
      </c>
      <c r="Q556" s="26">
        <f t="shared" si="310"/>
        <v>2.7642497472322027E-2</v>
      </c>
      <c r="R556" s="26">
        <f t="shared" si="311"/>
        <v>-8.8033048220581342</v>
      </c>
      <c r="S556" s="26">
        <f t="shared" si="312"/>
        <v>1.5021318394935874E-4</v>
      </c>
      <c r="T556" s="26">
        <f t="shared" si="313"/>
        <v>1.3618857574351795</v>
      </c>
      <c r="U556" s="26">
        <f t="shared" si="314"/>
        <v>0.79606601177661029</v>
      </c>
      <c r="V556" s="26">
        <f t="shared" si="315"/>
        <v>1.0837692755988879</v>
      </c>
      <c r="W556" s="26">
        <f t="shared" si="316"/>
        <v>0.74720662079360256</v>
      </c>
      <c r="X556" s="26">
        <f t="shared" si="317"/>
        <v>3.1952246285294729E-2</v>
      </c>
      <c r="Y556" s="26">
        <f t="shared" si="318"/>
        <v>1.5460134854078533</v>
      </c>
      <c r="Z556" s="26">
        <f t="shared" si="319"/>
        <v>0.82433720928958776</v>
      </c>
      <c r="AA556" s="26">
        <f t="shared" si="320"/>
        <v>-4.375418175568937</v>
      </c>
      <c r="AB556" s="26">
        <f t="shared" si="321"/>
        <v>1.2426517914480498E-2</v>
      </c>
      <c r="AC556" s="26">
        <f t="shared" si="322"/>
        <v>1.9253681055715304</v>
      </c>
      <c r="AD556" s="26">
        <f t="shared" si="323"/>
        <v>0.8727358522784604</v>
      </c>
      <c r="AE556" s="26">
        <f t="shared" si="324"/>
        <v>8.0980816476449273E-3</v>
      </c>
      <c r="AF556" s="26">
        <f t="shared" si="325"/>
        <v>-3.7110332810715865</v>
      </c>
      <c r="AG556" s="26">
        <f t="shared" si="326"/>
        <v>2.3868603257715785E-2</v>
      </c>
      <c r="AH556" s="26">
        <f t="shared" si="327"/>
        <v>-1.7244819689952116</v>
      </c>
      <c r="AI556" s="26">
        <f t="shared" si="328"/>
        <v>0.15129475808607779</v>
      </c>
      <c r="AJ556" s="26">
        <f t="shared" si="329"/>
        <v>-1.4681328175345669</v>
      </c>
      <c r="AK556" s="26">
        <f t="shared" si="330"/>
        <v>0.18722658241034529</v>
      </c>
      <c r="AL556" s="26">
        <f t="shared" si="331"/>
        <v>1.7526896580528906E-2</v>
      </c>
      <c r="AM556" s="27">
        <f t="shared" si="332"/>
        <v>8.5219721985790586E-2</v>
      </c>
    </row>
    <row r="557" spans="1:39" ht="15" customHeight="1" x14ac:dyDescent="0.2">
      <c r="A557" s="24">
        <v>546</v>
      </c>
      <c r="B557" s="29">
        <f t="shared" si="333"/>
        <v>5.0991280535212979</v>
      </c>
      <c r="C557" s="29">
        <f t="shared" si="334"/>
        <v>-5.2603021210643028</v>
      </c>
      <c r="D557" s="29">
        <f t="shared" si="335"/>
        <v>-3.5450763397161107</v>
      </c>
      <c r="E557" s="29">
        <f t="shared" si="336"/>
        <v>-3.1007958863624583</v>
      </c>
      <c r="F557" s="29">
        <f t="shared" si="337"/>
        <v>2.6678845649044507</v>
      </c>
      <c r="G557" s="29">
        <f t="shared" si="338"/>
        <v>-1.3010327939770214</v>
      </c>
      <c r="H557" s="29">
        <f t="shared" si="339"/>
        <v>4.9674461834532977</v>
      </c>
      <c r="I557" s="29">
        <f t="shared" si="340"/>
        <v>4.1649547422919815</v>
      </c>
      <c r="J557" s="29">
        <f t="shared" si="341"/>
        <v>-2.2217493318142814</v>
      </c>
      <c r="K557" s="26">
        <f t="shared" si="304"/>
        <v>-3.5450763397161107</v>
      </c>
      <c r="L557" s="26">
        <f t="shared" si="305"/>
        <v>2.8056527304902351E-2</v>
      </c>
      <c r="M557" s="26">
        <f t="shared" si="306"/>
        <v>-1.3010327939770214</v>
      </c>
      <c r="N557" s="26">
        <f t="shared" si="307"/>
        <v>0.21399125073507835</v>
      </c>
      <c r="O557" s="26">
        <f t="shared" si="308"/>
        <v>-1.1911161677745339</v>
      </c>
      <c r="P557" s="26">
        <f t="shared" si="309"/>
        <v>0.23305936948986594</v>
      </c>
      <c r="Q557" s="26">
        <f t="shared" si="310"/>
        <v>2.7158334853506928E-2</v>
      </c>
      <c r="R557" s="26">
        <f t="shared" si="311"/>
        <v>-8.805378460780414</v>
      </c>
      <c r="S557" s="26">
        <f t="shared" si="312"/>
        <v>1.4990206545236506E-4</v>
      </c>
      <c r="T557" s="26">
        <f t="shared" si="313"/>
        <v>1.3668517709274293</v>
      </c>
      <c r="U557" s="26">
        <f t="shared" si="314"/>
        <v>0.79687103357115929</v>
      </c>
      <c r="V557" s="26">
        <f t="shared" si="315"/>
        <v>1.0979270888959545</v>
      </c>
      <c r="W557" s="26">
        <f t="shared" si="316"/>
        <v>0.74987150303622574</v>
      </c>
      <c r="X557" s="26">
        <f t="shared" si="317"/>
        <v>3.1282132496678418E-2</v>
      </c>
      <c r="Y557" s="26">
        <f t="shared" si="318"/>
        <v>1.5540517138051873</v>
      </c>
      <c r="Z557" s="26">
        <f t="shared" si="319"/>
        <v>0.82549815501571278</v>
      </c>
      <c r="AA557" s="26">
        <f t="shared" si="320"/>
        <v>-4.4018286803394799</v>
      </c>
      <c r="AB557" s="26">
        <f t="shared" si="321"/>
        <v>1.2106544486552203E-2</v>
      </c>
      <c r="AC557" s="26">
        <f t="shared" si="322"/>
        <v>1.9292915376382944</v>
      </c>
      <c r="AD557" s="26">
        <f t="shared" si="323"/>
        <v>0.87317098307504526</v>
      </c>
      <c r="AE557" s="26">
        <f t="shared" si="324"/>
        <v>8.0427997670752278E-3</v>
      </c>
      <c r="AF557" s="26">
        <f t="shared" si="325"/>
        <v>-3.7062504072591156</v>
      </c>
      <c r="AG557" s="26">
        <f t="shared" si="326"/>
        <v>2.3980293058708243E-2</v>
      </c>
      <c r="AH557" s="26">
        <f t="shared" si="327"/>
        <v>-1.733944115435029</v>
      </c>
      <c r="AI557" s="26">
        <f t="shared" si="328"/>
        <v>0.15008377910424861</v>
      </c>
      <c r="AJ557" s="26">
        <f t="shared" si="329"/>
        <v>-1.4775363690603669</v>
      </c>
      <c r="AK557" s="26">
        <f t="shared" si="330"/>
        <v>0.18579982461228611</v>
      </c>
      <c r="AL557" s="26">
        <f t="shared" si="331"/>
        <v>1.7260787412978141E-2</v>
      </c>
      <c r="AM557" s="27">
        <f t="shared" si="332"/>
        <v>8.3744054530238712E-2</v>
      </c>
    </row>
    <row r="558" spans="1:39" ht="15" customHeight="1" x14ac:dyDescent="0.2">
      <c r="A558" s="24">
        <v>547</v>
      </c>
      <c r="B558" s="29">
        <f t="shared" si="333"/>
        <v>5.105910616851304</v>
      </c>
      <c r="C558" s="29">
        <f t="shared" si="334"/>
        <v>-5.263535086399183</v>
      </c>
      <c r="D558" s="29">
        <f t="shared" si="335"/>
        <v>-3.5439017552226981</v>
      </c>
      <c r="E558" s="29">
        <f t="shared" si="336"/>
        <v>-3.1150290665111826</v>
      </c>
      <c r="F558" s="29">
        <f t="shared" si="337"/>
        <v>2.6845805892947516</v>
      </c>
      <c r="G558" s="29">
        <f t="shared" si="338"/>
        <v>-1.3128200334401754</v>
      </c>
      <c r="H558" s="29">
        <f t="shared" si="339"/>
        <v>4.977204938210912</v>
      </c>
      <c r="I558" s="29">
        <f t="shared" si="340"/>
        <v>4.1893772654662307</v>
      </c>
      <c r="J558" s="29">
        <f t="shared" si="341"/>
        <v>-2.2305538268190319</v>
      </c>
      <c r="K558" s="26">
        <f t="shared" si="304"/>
        <v>-3.5439017552226981</v>
      </c>
      <c r="L558" s="26">
        <f t="shared" si="305"/>
        <v>2.8088575232319207E-2</v>
      </c>
      <c r="M558" s="26">
        <f t="shared" si="306"/>
        <v>-1.3128200334401754</v>
      </c>
      <c r="N558" s="26">
        <f t="shared" si="307"/>
        <v>0.21201533309659934</v>
      </c>
      <c r="O558" s="26">
        <f t="shared" si="308"/>
        <v>-1.2025390150602806</v>
      </c>
      <c r="P558" s="26">
        <f t="shared" si="309"/>
        <v>0.23102384781748639</v>
      </c>
      <c r="Q558" s="26">
        <f t="shared" si="310"/>
        <v>2.6686009130198557E-2</v>
      </c>
      <c r="R558" s="26">
        <f t="shared" si="311"/>
        <v>-8.8074368416218807</v>
      </c>
      <c r="S558" s="26">
        <f t="shared" si="312"/>
        <v>1.4959387336791673E-4</v>
      </c>
      <c r="T558" s="26">
        <f t="shared" si="313"/>
        <v>1.3717605558545762</v>
      </c>
      <c r="U558" s="26">
        <f t="shared" si="314"/>
        <v>0.79766444893592792</v>
      </c>
      <c r="V558" s="26">
        <f t="shared" si="315"/>
        <v>1.1119080403890464</v>
      </c>
      <c r="W558" s="26">
        <f t="shared" si="316"/>
        <v>0.75248465799629083</v>
      </c>
      <c r="X558" s="26">
        <f t="shared" si="317"/>
        <v>3.0631922263606559E-2</v>
      </c>
      <c r="Y558" s="26">
        <f t="shared" si="318"/>
        <v>1.5620088616286059</v>
      </c>
      <c r="Z558" s="26">
        <f t="shared" si="319"/>
        <v>0.82664142259005269</v>
      </c>
      <c r="AA558" s="26">
        <f t="shared" si="320"/>
        <v>-4.4278490999513576</v>
      </c>
      <c r="AB558" s="26">
        <f t="shared" si="321"/>
        <v>1.1799259273061267E-2</v>
      </c>
      <c r="AC558" s="26">
        <f t="shared" si="322"/>
        <v>1.9332414923737757</v>
      </c>
      <c r="AD558" s="26">
        <f t="shared" si="323"/>
        <v>0.87360777016521052</v>
      </c>
      <c r="AE558" s="26">
        <f t="shared" si="324"/>
        <v>7.987497881305124E-3</v>
      </c>
      <c r="AF558" s="26">
        <f t="shared" si="325"/>
        <v>-3.7015262247705771</v>
      </c>
      <c r="AG558" s="26">
        <f t="shared" si="326"/>
        <v>2.4091112682563441E-2</v>
      </c>
      <c r="AH558" s="26">
        <f t="shared" si="327"/>
        <v>-1.7432685106566064</v>
      </c>
      <c r="AI558" s="26">
        <f t="shared" si="328"/>
        <v>0.14889824863389906</v>
      </c>
      <c r="AJ558" s="26">
        <f t="shared" si="329"/>
        <v>-1.4868564841137868</v>
      </c>
      <c r="AK558" s="26">
        <f t="shared" si="330"/>
        <v>0.184394020825593</v>
      </c>
      <c r="AL558" s="26">
        <f t="shared" si="331"/>
        <v>1.7000577458114612E-2</v>
      </c>
      <c r="AM558" s="27">
        <f t="shared" si="332"/>
        <v>8.2306006733224857E-2</v>
      </c>
    </row>
    <row r="559" spans="1:39" ht="15" customHeight="1" x14ac:dyDescent="0.2">
      <c r="A559" s="24">
        <v>548</v>
      </c>
      <c r="B559" s="29">
        <f t="shared" si="333"/>
        <v>5.1126197092448251</v>
      </c>
      <c r="C559" s="29">
        <f t="shared" si="334"/>
        <v>-5.2667458496420432</v>
      </c>
      <c r="D559" s="29">
        <f t="shared" si="335"/>
        <v>-3.5427349298863446</v>
      </c>
      <c r="E559" s="29">
        <f t="shared" si="336"/>
        <v>-3.1290702880503183</v>
      </c>
      <c r="F559" s="29">
        <f t="shared" si="337"/>
        <v>2.701028149148081</v>
      </c>
      <c r="G559" s="29">
        <f t="shared" si="338"/>
        <v>-1.3244158167433655</v>
      </c>
      <c r="H559" s="29">
        <f t="shared" si="339"/>
        <v>4.9869274536253734</v>
      </c>
      <c r="I559" s="29">
        <f t="shared" si="340"/>
        <v>4.2134836764747119</v>
      </c>
      <c r="J559" s="29">
        <f t="shared" si="341"/>
        <v>-2.2392711977804685</v>
      </c>
      <c r="K559" s="26">
        <f t="shared" si="304"/>
        <v>-3.5427349298863446</v>
      </c>
      <c r="L559" s="26">
        <f t="shared" si="305"/>
        <v>2.8120446651647188E-2</v>
      </c>
      <c r="M559" s="26">
        <f t="shared" si="306"/>
        <v>-1.3244158167433655</v>
      </c>
      <c r="N559" s="26">
        <f t="shared" si="307"/>
        <v>0.21008455480220664</v>
      </c>
      <c r="O559" s="26">
        <f t="shared" si="308"/>
        <v>-1.2138487280266066</v>
      </c>
      <c r="P559" s="26">
        <f t="shared" si="309"/>
        <v>0.22902077141297422</v>
      </c>
      <c r="Q559" s="26">
        <f t="shared" si="310"/>
        <v>2.6225256869296894E-2</v>
      </c>
      <c r="R559" s="26">
        <f t="shared" si="311"/>
        <v>-8.8094807795283874</v>
      </c>
      <c r="S559" s="26">
        <f t="shared" si="312"/>
        <v>1.49288470644514E-4</v>
      </c>
      <c r="T559" s="26">
        <f t="shared" si="313"/>
        <v>1.3766123324047155</v>
      </c>
      <c r="U559" s="26">
        <f t="shared" si="314"/>
        <v>0.79844637486923353</v>
      </c>
      <c r="V559" s="26">
        <f t="shared" si="315"/>
        <v>1.1257140600442228</v>
      </c>
      <c r="W559" s="26">
        <f t="shared" si="316"/>
        <v>0.75504707702916085</v>
      </c>
      <c r="X559" s="26">
        <f t="shared" si="317"/>
        <v>3.0000967235978927E-2</v>
      </c>
      <c r="Y559" s="26">
        <f t="shared" si="318"/>
        <v>1.5698847793584805</v>
      </c>
      <c r="Z559" s="26">
        <f t="shared" si="319"/>
        <v>0.8277671820323631</v>
      </c>
      <c r="AA559" s="26">
        <f t="shared" si="320"/>
        <v>-4.4534861047936838</v>
      </c>
      <c r="AB559" s="26">
        <f t="shared" si="321"/>
        <v>1.1504041964847743E-2</v>
      </c>
      <c r="AC559" s="26">
        <f t="shared" si="322"/>
        <v>1.937215780539201</v>
      </c>
      <c r="AD559" s="26">
        <f t="shared" si="323"/>
        <v>0.87404594887641285</v>
      </c>
      <c r="AE559" s="26">
        <f t="shared" si="324"/>
        <v>7.9322114972216022E-3</v>
      </c>
      <c r="AF559" s="26">
        <f t="shared" si="325"/>
        <v>-3.6968610702835627</v>
      </c>
      <c r="AG559" s="26">
        <f t="shared" si="326"/>
        <v>2.4201037729610731E-2</v>
      </c>
      <c r="AH559" s="26">
        <f t="shared" si="327"/>
        <v>-1.7524579556456028</v>
      </c>
      <c r="AI559" s="26">
        <f t="shared" si="328"/>
        <v>0.14773744610806452</v>
      </c>
      <c r="AJ559" s="26">
        <f t="shared" si="329"/>
        <v>-1.4960930607400571</v>
      </c>
      <c r="AK559" s="26">
        <f t="shared" si="330"/>
        <v>0.18300895307978149</v>
      </c>
      <c r="AL559" s="26">
        <f t="shared" si="331"/>
        <v>1.6746138453678831E-2</v>
      </c>
      <c r="AM559" s="27">
        <f t="shared" si="332"/>
        <v>8.0904574056176265E-2</v>
      </c>
    </row>
    <row r="560" spans="1:39" ht="15" customHeight="1" x14ac:dyDescent="0.2">
      <c r="A560" s="24">
        <v>549</v>
      </c>
      <c r="B560" s="29">
        <f t="shared" si="333"/>
        <v>5.1192558461610558</v>
      </c>
      <c r="C560" s="29">
        <f t="shared" si="334"/>
        <v>-5.2699345996068452</v>
      </c>
      <c r="D560" s="29">
        <f t="shared" si="335"/>
        <v>-3.5415764465717059</v>
      </c>
      <c r="E560" s="29">
        <f t="shared" si="336"/>
        <v>-3.1429225740285003</v>
      </c>
      <c r="F560" s="29">
        <f t="shared" si="337"/>
        <v>2.7172311696114146</v>
      </c>
      <c r="G560" s="29">
        <f t="shared" si="338"/>
        <v>-1.3358237843155012</v>
      </c>
      <c r="H560" s="29">
        <f t="shared" si="339"/>
        <v>4.9966128788337514</v>
      </c>
      <c r="I560" s="29">
        <f t="shared" si="340"/>
        <v>4.2372782598539853</v>
      </c>
      <c r="J560" s="29">
        <f t="shared" si="341"/>
        <v>-2.2479018248872249</v>
      </c>
      <c r="K560" s="26">
        <f t="shared" si="304"/>
        <v>-3.5415764465717059</v>
      </c>
      <c r="L560" s="26">
        <f t="shared" si="305"/>
        <v>2.8152124952045783E-2</v>
      </c>
      <c r="M560" s="26">
        <f t="shared" si="306"/>
        <v>-1.3358237843155012</v>
      </c>
      <c r="N560" s="26">
        <f t="shared" si="307"/>
        <v>0.20819767462549704</v>
      </c>
      <c r="O560" s="26">
        <f t="shared" si="308"/>
        <v>-1.2250450743425236</v>
      </c>
      <c r="P560" s="26">
        <f t="shared" si="309"/>
        <v>0.22704983003974696</v>
      </c>
      <c r="Q560" s="26">
        <f t="shared" si="310"/>
        <v>2.577581266053899E-2</v>
      </c>
      <c r="R560" s="26">
        <f t="shared" si="311"/>
        <v>-8.811511046178552</v>
      </c>
      <c r="S560" s="26">
        <f t="shared" si="312"/>
        <v>1.4898572782651482E-4</v>
      </c>
      <c r="T560" s="26">
        <f t="shared" si="313"/>
        <v>1.3814073852959134</v>
      </c>
      <c r="U560" s="26">
        <f t="shared" si="314"/>
        <v>0.79921693738420119</v>
      </c>
      <c r="V560" s="26">
        <f t="shared" si="315"/>
        <v>1.1393471528043548</v>
      </c>
      <c r="W560" s="26">
        <f t="shared" si="316"/>
        <v>0.75755975530956154</v>
      </c>
      <c r="X560" s="26">
        <f t="shared" si="317"/>
        <v>2.9388636122779838E-2</v>
      </c>
      <c r="Y560" s="26">
        <f t="shared" si="318"/>
        <v>1.5776793995893499</v>
      </c>
      <c r="Z560" s="26">
        <f t="shared" si="319"/>
        <v>0.8288756132509717</v>
      </c>
      <c r="AA560" s="26">
        <f t="shared" si="320"/>
        <v>-4.4787463583440017</v>
      </c>
      <c r="AB560" s="26">
        <f t="shared" si="321"/>
        <v>1.122030621850878E-2</v>
      </c>
      <c r="AC560" s="26">
        <f t="shared" si="322"/>
        <v>1.9412122988423954</v>
      </c>
      <c r="AD560" s="26">
        <f t="shared" si="323"/>
        <v>0.87448526677729088</v>
      </c>
      <c r="AE560" s="26">
        <f t="shared" si="324"/>
        <v>7.8769741279839205E-3</v>
      </c>
      <c r="AF560" s="26">
        <f t="shared" si="325"/>
        <v>-3.6922552000174953</v>
      </c>
      <c r="AG560" s="26">
        <f t="shared" si="326"/>
        <v>2.4310045651190659E-2</v>
      </c>
      <c r="AH560" s="26">
        <f t="shared" si="327"/>
        <v>-1.7615151887325868</v>
      </c>
      <c r="AI560" s="26">
        <f t="shared" si="328"/>
        <v>0.14660067465715107</v>
      </c>
      <c r="AJ560" s="26">
        <f t="shared" si="329"/>
        <v>-1.5052460860967758</v>
      </c>
      <c r="AK560" s="26">
        <f t="shared" si="330"/>
        <v>0.18164439185308898</v>
      </c>
      <c r="AL560" s="26">
        <f t="shared" si="331"/>
        <v>1.6497342545839268E-2</v>
      </c>
      <c r="AM560" s="27">
        <f t="shared" si="332"/>
        <v>7.953876545714203E-2</v>
      </c>
    </row>
    <row r="561" spans="1:39" ht="15" customHeight="1" x14ac:dyDescent="0.2">
      <c r="A561" s="24">
        <v>550</v>
      </c>
      <c r="B561" s="29">
        <f t="shared" si="333"/>
        <v>5.1258195771755668</v>
      </c>
      <c r="C561" s="29">
        <f t="shared" si="334"/>
        <v>-5.2731015264968812</v>
      </c>
      <c r="D561" s="29">
        <f t="shared" si="335"/>
        <v>-3.5404268449516736</v>
      </c>
      <c r="E561" s="29">
        <f t="shared" si="336"/>
        <v>-3.1565889442538899</v>
      </c>
      <c r="F561" s="29">
        <f t="shared" si="337"/>
        <v>2.7331936177725034</v>
      </c>
      <c r="G561" s="29">
        <f t="shared" si="338"/>
        <v>-1.3470475603283476</v>
      </c>
      <c r="H561" s="29">
        <f t="shared" si="339"/>
        <v>5.0062604188618556</v>
      </c>
      <c r="I561" s="29">
        <f t="shared" si="340"/>
        <v>4.2607653663358596</v>
      </c>
      <c r="J561" s="29">
        <f t="shared" si="341"/>
        <v>-2.2564461564011706</v>
      </c>
      <c r="K561" s="26">
        <f t="shared" si="304"/>
        <v>-3.5404268449516736</v>
      </c>
      <c r="L561" s="26">
        <f t="shared" si="305"/>
        <v>2.8183594639630379E-2</v>
      </c>
      <c r="M561" s="26">
        <f t="shared" si="306"/>
        <v>-1.3470475603283476</v>
      </c>
      <c r="N561" s="26">
        <f t="shared" si="307"/>
        <v>0.20635347873388049</v>
      </c>
      <c r="O561" s="26">
        <f t="shared" si="308"/>
        <v>-1.2361279866833006</v>
      </c>
      <c r="P561" s="26">
        <f t="shared" si="309"/>
        <v>0.22511068474485851</v>
      </c>
      <c r="Q561" s="26">
        <f t="shared" si="310"/>
        <v>2.5337410193149539E-2</v>
      </c>
      <c r="R561" s="26">
        <f t="shared" si="311"/>
        <v>-8.8135283714485553</v>
      </c>
      <c r="S561" s="26">
        <f t="shared" si="312"/>
        <v>1.4868552274818685E-4</v>
      </c>
      <c r="T561" s="26">
        <f t="shared" si="313"/>
        <v>1.3861460574441558</v>
      </c>
      <c r="U561" s="26">
        <f t="shared" si="314"/>
        <v>0.79997627035616792</v>
      </c>
      <c r="V561" s="26">
        <f t="shared" si="315"/>
        <v>1.1528093886703137</v>
      </c>
      <c r="W561" s="26">
        <f t="shared" si="316"/>
        <v>0.76002368908072637</v>
      </c>
      <c r="X561" s="26">
        <f t="shared" si="317"/>
        <v>2.8794314901211943E-2</v>
      </c>
      <c r="Y561" s="26">
        <f t="shared" si="318"/>
        <v>1.5853927322238932</v>
      </c>
      <c r="Z561" s="26">
        <f t="shared" si="319"/>
        <v>0.82996690504177772</v>
      </c>
      <c r="AA561" s="26">
        <f t="shared" si="320"/>
        <v>-4.5036365045822375</v>
      </c>
      <c r="AB561" s="26">
        <f t="shared" si="321"/>
        <v>1.094749772469159E-2</v>
      </c>
      <c r="AC561" s="26">
        <f t="shared" si="322"/>
        <v>1.9452290284281641</v>
      </c>
      <c r="AD561" s="26">
        <f t="shared" si="323"/>
        <v>0.8749254834012391</v>
      </c>
      <c r="AE561" s="26">
        <f t="shared" si="324"/>
        <v>7.821817351206857E-3</v>
      </c>
      <c r="AF561" s="26">
        <f t="shared" si="325"/>
        <v>-3.687708794272988</v>
      </c>
      <c r="AG561" s="26">
        <f t="shared" si="326"/>
        <v>2.4418115689874367E-2</v>
      </c>
      <c r="AH561" s="26">
        <f t="shared" si="327"/>
        <v>-1.7704428868097342</v>
      </c>
      <c r="AI561" s="26">
        <f t="shared" si="328"/>
        <v>0.14548726028568623</v>
      </c>
      <c r="AJ561" s="26">
        <f t="shared" si="329"/>
        <v>-1.5143156304514205</v>
      </c>
      <c r="AK561" s="26">
        <f t="shared" si="330"/>
        <v>0.18030009739463693</v>
      </c>
      <c r="AL561" s="26">
        <f t="shared" si="331"/>
        <v>1.6254062560257781E-2</v>
      </c>
      <c r="AM561" s="27">
        <f t="shared" si="332"/>
        <v>7.8207605005826117E-2</v>
      </c>
    </row>
    <row r="562" spans="1:39" ht="15" customHeight="1" x14ac:dyDescent="0.2">
      <c r="A562" s="24">
        <v>551</v>
      </c>
      <c r="B562" s="29">
        <f t="shared" si="333"/>
        <v>5.132311483042229</v>
      </c>
      <c r="C562" s="29">
        <f t="shared" si="334"/>
        <v>-5.2762468216530545</v>
      </c>
      <c r="D562" s="29">
        <f t="shared" si="335"/>
        <v>-3.5392866232510261</v>
      </c>
      <c r="E562" s="29">
        <f t="shared" si="336"/>
        <v>-3.170072410602653</v>
      </c>
      <c r="F562" s="29">
        <f t="shared" si="337"/>
        <v>2.748919490088114</v>
      </c>
      <c r="G562" s="29">
        <f t="shared" si="338"/>
        <v>-1.3580907460314491</v>
      </c>
      <c r="H562" s="29">
        <f t="shared" si="339"/>
        <v>5.015869332739026</v>
      </c>
      <c r="I562" s="29">
        <f t="shared" si="340"/>
        <v>4.2839493992670175</v>
      </c>
      <c r="J562" s="29">
        <f t="shared" si="341"/>
        <v>-2.2649047027404525</v>
      </c>
      <c r="K562" s="26">
        <f t="shared" si="304"/>
        <v>-3.5392866232510261</v>
      </c>
      <c r="L562" s="26">
        <f t="shared" si="305"/>
        <v>2.8214841297177592E-2</v>
      </c>
      <c r="M562" s="26">
        <f t="shared" si="306"/>
        <v>-1.3580907460314491</v>
      </c>
      <c r="N562" s="26">
        <f t="shared" si="307"/>
        <v>0.20455078130583618</v>
      </c>
      <c r="O562" s="26">
        <f t="shared" si="308"/>
        <v>-1.2470975488551048</v>
      </c>
      <c r="P562" s="26">
        <f t="shared" si="309"/>
        <v>0.22320297136392087</v>
      </c>
      <c r="Q562" s="26">
        <f t="shared" si="310"/>
        <v>2.4909783212841638E-2</v>
      </c>
      <c r="R562" s="26">
        <f t="shared" si="311"/>
        <v>-8.8155334449040801</v>
      </c>
      <c r="S562" s="26">
        <f t="shared" si="312"/>
        <v>1.4838774022913459E-4</v>
      </c>
      <c r="T562" s="26">
        <f t="shared" si="313"/>
        <v>1.3908287440566649</v>
      </c>
      <c r="U562" s="26">
        <f t="shared" si="314"/>
        <v>0.80072451446070914</v>
      </c>
      <c r="V562" s="26">
        <f t="shared" si="315"/>
        <v>1.1661028934774462</v>
      </c>
      <c r="W562" s="26">
        <f t="shared" si="316"/>
        <v>0.76243987316960082</v>
      </c>
      <c r="X562" s="26">
        <f t="shared" si="317"/>
        <v>2.8217406929837673E-2</v>
      </c>
      <c r="Y562" s="26">
        <f t="shared" si="318"/>
        <v>1.5930248597912029</v>
      </c>
      <c r="Z562" s="26">
        <f t="shared" si="319"/>
        <v>0.83104125413769825</v>
      </c>
      <c r="AA562" s="26">
        <f t="shared" si="320"/>
        <v>-4.5281631566341023</v>
      </c>
      <c r="AB562" s="26">
        <f t="shared" si="321"/>
        <v>1.0685092379360248E-2</v>
      </c>
      <c r="AC562" s="26">
        <f t="shared" si="322"/>
        <v>1.9492640332094804</v>
      </c>
      <c r="AD562" s="26">
        <f t="shared" si="323"/>
        <v>0.87536636995004613</v>
      </c>
      <c r="AE562" s="26">
        <f t="shared" si="324"/>
        <v>7.7667708697143822E-3</v>
      </c>
      <c r="AF562" s="26">
        <f t="shared" si="325"/>
        <v>-3.6832219618618516</v>
      </c>
      <c r="AG562" s="26">
        <f t="shared" si="326"/>
        <v>2.452522881850697E-2</v>
      </c>
      <c r="AH562" s="26">
        <f t="shared" si="327"/>
        <v>-1.7792436665459881</v>
      </c>
      <c r="AI562" s="26">
        <f t="shared" si="328"/>
        <v>0.14439655107554963</v>
      </c>
      <c r="AJ562" s="26">
        <f t="shared" si="329"/>
        <v>-1.5233018413949659</v>
      </c>
      <c r="AK562" s="26">
        <f t="shared" si="330"/>
        <v>0.17897582096901454</v>
      </c>
      <c r="AL562" s="26">
        <f t="shared" si="331"/>
        <v>1.6016172245766371E-2</v>
      </c>
      <c r="AM562" s="27">
        <f t="shared" si="332"/>
        <v>7.6910133258160068E-2</v>
      </c>
    </row>
    <row r="563" spans="1:39" ht="15" customHeight="1" x14ac:dyDescent="0.2">
      <c r="A563" s="24">
        <v>552</v>
      </c>
      <c r="B563" s="29">
        <f t="shared" si="333"/>
        <v>5.1387321728916087</v>
      </c>
      <c r="C563" s="29">
        <f t="shared" si="334"/>
        <v>-5.2793706773167797</v>
      </c>
      <c r="D563" s="29">
        <f t="shared" si="335"/>
        <v>-3.5381562399918911</v>
      </c>
      <c r="E563" s="29">
        <f t="shared" si="336"/>
        <v>-3.183375972730738</v>
      </c>
      <c r="F563" s="29">
        <f t="shared" si="337"/>
        <v>2.7644128009675071</v>
      </c>
      <c r="G563" s="29">
        <f t="shared" si="338"/>
        <v>-1.3689569138344548</v>
      </c>
      <c r="H563" s="29">
        <f t="shared" si="339"/>
        <v>5.0254389316070851</v>
      </c>
      <c r="I563" s="29">
        <f t="shared" si="340"/>
        <v>4.3068348020976392</v>
      </c>
      <c r="J563" s="29">
        <f t="shared" si="341"/>
        <v>-2.2732780308800273</v>
      </c>
      <c r="K563" s="26">
        <f t="shared" si="304"/>
        <v>-3.5381562399918911</v>
      </c>
      <c r="L563" s="26">
        <f t="shared" si="305"/>
        <v>2.8245851543422448E-2</v>
      </c>
      <c r="M563" s="26">
        <f t="shared" si="306"/>
        <v>-1.3689569138344548</v>
      </c>
      <c r="N563" s="26">
        <f t="shared" si="307"/>
        <v>0.20278842497025606</v>
      </c>
      <c r="O563" s="26">
        <f t="shared" si="308"/>
        <v>-1.2579539827528534</v>
      </c>
      <c r="P563" s="26">
        <f t="shared" si="309"/>
        <v>0.22132630376144863</v>
      </c>
      <c r="Q563" s="26">
        <f t="shared" si="310"/>
        <v>2.4492666368352515E-2</v>
      </c>
      <c r="R563" s="26">
        <f t="shared" si="311"/>
        <v>-8.8175269173086708</v>
      </c>
      <c r="S563" s="26">
        <f t="shared" si="312"/>
        <v>1.4809227177247394E-4</v>
      </c>
      <c r="T563" s="26">
        <f t="shared" si="313"/>
        <v>1.3954558871330522</v>
      </c>
      <c r="U563" s="26">
        <f t="shared" si="314"/>
        <v>0.8014618161973649</v>
      </c>
      <c r="V563" s="26">
        <f t="shared" si="315"/>
        <v>1.1792298403392008</v>
      </c>
      <c r="W563" s="26">
        <f t="shared" si="316"/>
        <v>0.76480929875174797</v>
      </c>
      <c r="X563" s="26">
        <f t="shared" si="317"/>
        <v>2.7657332976822269E-2</v>
      </c>
      <c r="Y563" s="26">
        <f t="shared" si="318"/>
        <v>1.6005759328997176</v>
      </c>
      <c r="Z563" s="26">
        <f t="shared" si="319"/>
        <v>0.83209886430841062</v>
      </c>
      <c r="AA563" s="26">
        <f t="shared" si="320"/>
        <v>-4.5523328865651926</v>
      </c>
      <c r="AB563" s="26">
        <f t="shared" si="321"/>
        <v>1.0432594554213602E-2</v>
      </c>
      <c r="AC563" s="26">
        <f t="shared" si="322"/>
        <v>1.9533154580637624</v>
      </c>
      <c r="AD563" s="26">
        <f t="shared" si="323"/>
        <v>0.87580770898119353</v>
      </c>
      <c r="AE563" s="26">
        <f t="shared" si="324"/>
        <v>7.7118625742499591E-3</v>
      </c>
      <c r="AF563" s="26">
        <f t="shared" si="325"/>
        <v>-3.6787947444170621</v>
      </c>
      <c r="AG563" s="26">
        <f t="shared" si="326"/>
        <v>2.4631367678444177E-2</v>
      </c>
      <c r="AH563" s="26">
        <f t="shared" si="327"/>
        <v>-1.7879200855976858</v>
      </c>
      <c r="AI563" s="26">
        <f t="shared" si="328"/>
        <v>0.14332791641531847</v>
      </c>
      <c r="AJ563" s="26">
        <f t="shared" si="329"/>
        <v>-1.5322049382804104</v>
      </c>
      <c r="AK563" s="26">
        <f t="shared" si="330"/>
        <v>0.17767130602450368</v>
      </c>
      <c r="AL563" s="26">
        <f t="shared" si="331"/>
        <v>1.5783546492226418E-2</v>
      </c>
      <c r="AM563" s="27">
        <f t="shared" si="332"/>
        <v>7.5645408411651155E-2</v>
      </c>
    </row>
    <row r="564" spans="1:39" ht="15" customHeight="1" x14ac:dyDescent="0.2">
      <c r="A564" s="24">
        <v>553</v>
      </c>
      <c r="B564" s="29">
        <f t="shared" si="333"/>
        <v>5.1450822815650286</v>
      </c>
      <c r="C564" s="29">
        <f t="shared" si="334"/>
        <v>-5.2824732864071269</v>
      </c>
      <c r="D564" s="29">
        <f t="shared" si="335"/>
        <v>-3.5370361157318193</v>
      </c>
      <c r="E564" s="29">
        <f t="shared" si="336"/>
        <v>-3.1965026141682218</v>
      </c>
      <c r="F564" s="29">
        <f t="shared" si="337"/>
        <v>2.7796775724368437</v>
      </c>
      <c r="G564" s="29">
        <f t="shared" si="338"/>
        <v>-1.3796496020807933</v>
      </c>
      <c r="H564" s="29">
        <f t="shared" si="339"/>
        <v>5.034968576831659</v>
      </c>
      <c r="I564" s="29">
        <f t="shared" si="340"/>
        <v>4.3294260468854882</v>
      </c>
      <c r="J564" s="29">
        <f t="shared" si="341"/>
        <v>-2.2815667590651434</v>
      </c>
      <c r="K564" s="26">
        <f t="shared" si="304"/>
        <v>-3.5370361157318193</v>
      </c>
      <c r="L564" s="26">
        <f t="shared" si="305"/>
        <v>2.8276612992188432E-2</v>
      </c>
      <c r="M564" s="26">
        <f t="shared" si="306"/>
        <v>-1.3796496020807933</v>
      </c>
      <c r="N564" s="26">
        <f t="shared" si="307"/>
        <v>0.2010652810875018</v>
      </c>
      <c r="O564" s="26">
        <f t="shared" si="308"/>
        <v>-1.2686976361256623</v>
      </c>
      <c r="P564" s="26">
        <f t="shared" si="309"/>
        <v>0.21948027681935339</v>
      </c>
      <c r="Q564" s="26">
        <f t="shared" si="310"/>
        <v>2.4085795956349996E-2</v>
      </c>
      <c r="R564" s="26">
        <f t="shared" si="311"/>
        <v>-8.8195094021389462</v>
      </c>
      <c r="S564" s="26">
        <f t="shared" si="312"/>
        <v>1.4779901526695204E-4</v>
      </c>
      <c r="T564" s="26">
        <f t="shared" si="313"/>
        <v>1.4000279703560503</v>
      </c>
      <c r="U564" s="26">
        <f t="shared" si="314"/>
        <v>0.80218832699414977</v>
      </c>
      <c r="V564" s="26">
        <f t="shared" si="315"/>
        <v>1.1921924417283774</v>
      </c>
      <c r="W564" s="26">
        <f t="shared" si="316"/>
        <v>0.76713295134976789</v>
      </c>
      <c r="X564" s="26">
        <f t="shared" si="317"/>
        <v>2.7113531173534784E-2</v>
      </c>
      <c r="Y564" s="26">
        <f t="shared" si="318"/>
        <v>1.6080461658332093</v>
      </c>
      <c r="Z564" s="26">
        <f t="shared" si="319"/>
        <v>0.83313994550992065</v>
      </c>
      <c r="AA564" s="26">
        <f t="shared" si="320"/>
        <v>-4.5761522162490156</v>
      </c>
      <c r="AB564" s="26">
        <f t="shared" si="321"/>
        <v>1.018953546228816E-2</v>
      </c>
      <c r="AC564" s="26">
        <f t="shared" si="322"/>
        <v>1.9573815269166412</v>
      </c>
      <c r="AD564" s="26">
        <f t="shared" si="323"/>
        <v>0.87624929408212227</v>
      </c>
      <c r="AE564" s="26">
        <f t="shared" si="324"/>
        <v>7.6571186075865298E-3</v>
      </c>
      <c r="AF564" s="26">
        <f t="shared" si="325"/>
        <v>-3.6744271205739176</v>
      </c>
      <c r="AG564" s="26">
        <f t="shared" si="326"/>
        <v>2.4736516517319538E-2</v>
      </c>
      <c r="AH564" s="26">
        <f t="shared" si="327"/>
        <v>-1.7964746438121715</v>
      </c>
      <c r="AI564" s="26">
        <f t="shared" si="328"/>
        <v>0.14228074625527817</v>
      </c>
      <c r="AJ564" s="26">
        <f t="shared" si="329"/>
        <v>-1.5410252068922561</v>
      </c>
      <c r="AK564" s="26">
        <f t="shared" si="330"/>
        <v>0.17638628928660488</v>
      </c>
      <c r="AL564" s="26">
        <f t="shared" si="331"/>
        <v>1.5556061524148932E-2</v>
      </c>
      <c r="AM564" s="27">
        <f t="shared" si="332"/>
        <v>7.4412507261620242E-2</v>
      </c>
    </row>
    <row r="565" spans="1:39" ht="15" customHeight="1" x14ac:dyDescent="0.2">
      <c r="A565" s="24">
        <v>554</v>
      </c>
      <c r="B565" s="29">
        <f t="shared" si="333"/>
        <v>5.1513624670827927</v>
      </c>
      <c r="C565" s="29">
        <f t="shared" si="334"/>
        <v>-5.2855548423117735</v>
      </c>
      <c r="D565" s="29">
        <f t="shared" si="335"/>
        <v>-3.5359266347863656</v>
      </c>
      <c r="E565" s="29">
        <f t="shared" si="336"/>
        <v>-3.2094552987754899</v>
      </c>
      <c r="F565" s="29">
        <f t="shared" si="337"/>
        <v>2.7947178248121816</v>
      </c>
      <c r="G565" s="29">
        <f t="shared" si="338"/>
        <v>-1.3901723104590589</v>
      </c>
      <c r="H565" s="29">
        <f t="shared" si="339"/>
        <v>5.0444576781231953</v>
      </c>
      <c r="I565" s="29">
        <f t="shared" si="340"/>
        <v>4.3517276237614695</v>
      </c>
      <c r="J565" s="29">
        <f t="shared" si="341"/>
        <v>-2.2897715518314583</v>
      </c>
      <c r="K565" s="26">
        <f t="shared" si="304"/>
        <v>-3.5359266347863656</v>
      </c>
      <c r="L565" s="26">
        <f t="shared" si="305"/>
        <v>2.8307114211565808E-2</v>
      </c>
      <c r="M565" s="26">
        <f t="shared" si="306"/>
        <v>-1.3901723104590589</v>
      </c>
      <c r="N565" s="26">
        <f t="shared" si="307"/>
        <v>0.19938024989026698</v>
      </c>
      <c r="O565" s="26">
        <f t="shared" si="308"/>
        <v>-1.2793289711214755</v>
      </c>
      <c r="P565" s="26">
        <f t="shared" si="309"/>
        <v>0.21766446918662719</v>
      </c>
      <c r="Q565" s="26">
        <f t="shared" si="310"/>
        <v>2.3688910573148089E-2</v>
      </c>
      <c r="R565" s="26">
        <f t="shared" si="311"/>
        <v>-8.8214814770981391</v>
      </c>
      <c r="S565" s="26">
        <f t="shared" si="312"/>
        <v>1.4750787469405209E-4</v>
      </c>
      <c r="T565" s="26">
        <f t="shared" si="313"/>
        <v>1.4045455143531227</v>
      </c>
      <c r="U565" s="26">
        <f t="shared" si="314"/>
        <v>0.80290420238799376</v>
      </c>
      <c r="V565" s="26">
        <f t="shared" si="315"/>
        <v>1.204992942165628</v>
      </c>
      <c r="W565" s="26">
        <f t="shared" si="316"/>
        <v>0.76941180904937267</v>
      </c>
      <c r="X565" s="26">
        <f t="shared" si="317"/>
        <v>2.6585456902941486E-2</v>
      </c>
      <c r="Y565" s="26">
        <f t="shared" si="318"/>
        <v>1.6154358322964271</v>
      </c>
      <c r="Z565" s="26">
        <f t="shared" si="319"/>
        <v>0.8341647130832095</v>
      </c>
      <c r="AA565" s="26">
        <f t="shared" si="320"/>
        <v>-4.5996276092345489</v>
      </c>
      <c r="AB565" s="26">
        <f t="shared" si="321"/>
        <v>9.9554716146960688E-3</v>
      </c>
      <c r="AC565" s="26">
        <f t="shared" si="322"/>
        <v>1.9614605407338161</v>
      </c>
      <c r="AD565" s="26">
        <f t="shared" si="323"/>
        <v>0.87669092953446415</v>
      </c>
      <c r="AE565" s="26">
        <f t="shared" si="324"/>
        <v>7.6025634295372431E-3</v>
      </c>
      <c r="AF565" s="26">
        <f t="shared" si="325"/>
        <v>-3.6701190100153465</v>
      </c>
      <c r="AG565" s="26">
        <f t="shared" si="326"/>
        <v>2.4840661126649455E-2</v>
      </c>
      <c r="AH565" s="26">
        <f t="shared" si="327"/>
        <v>-1.8049097844223672</v>
      </c>
      <c r="AI565" s="26">
        <f t="shared" si="328"/>
        <v>0.14125445038758067</v>
      </c>
      <c r="AJ565" s="26">
        <f t="shared" si="329"/>
        <v>-1.5497629943505964</v>
      </c>
      <c r="AK565" s="26">
        <f t="shared" si="330"/>
        <v>0.17512050177888294</v>
      </c>
      <c r="AL565" s="26">
        <f t="shared" si="331"/>
        <v>1.5333595071643872E-2</v>
      </c>
      <c r="AM565" s="27">
        <f t="shared" si="332"/>
        <v>7.3210525977270693E-2</v>
      </c>
    </row>
    <row r="566" spans="1:39" ht="15" customHeight="1" x14ac:dyDescent="0.2">
      <c r="A566" s="24">
        <v>555</v>
      </c>
      <c r="B566" s="29">
        <f t="shared" si="333"/>
        <v>5.1575734082444651</v>
      </c>
      <c r="C566" s="29">
        <f t="shared" si="334"/>
        <v>-5.288615538691305</v>
      </c>
      <c r="D566" s="29">
        <f t="shared" si="335"/>
        <v>-3.5348281469291045</v>
      </c>
      <c r="E566" s="29">
        <f t="shared" si="336"/>
        <v>-3.2222369675406957</v>
      </c>
      <c r="F566" s="29">
        <f t="shared" si="337"/>
        <v>2.8095375683111126</v>
      </c>
      <c r="G566" s="29">
        <f t="shared" si="338"/>
        <v>-1.4005284960010425</v>
      </c>
      <c r="H566" s="29">
        <f t="shared" si="339"/>
        <v>5.0539056916741831</v>
      </c>
      <c r="I566" s="29">
        <f t="shared" si="340"/>
        <v>4.3737440313028282</v>
      </c>
      <c r="J566" s="29">
        <f t="shared" si="341"/>
        <v>-2.2978931153240096</v>
      </c>
      <c r="K566" s="26">
        <f t="shared" si="304"/>
        <v>-3.5348281469291045</v>
      </c>
      <c r="L566" s="26">
        <f t="shared" si="305"/>
        <v>2.8337344683329841E-2</v>
      </c>
      <c r="M566" s="26">
        <f t="shared" si="306"/>
        <v>-1.4005284960010425</v>
      </c>
      <c r="N566" s="26">
        <f t="shared" si="307"/>
        <v>0.19773226050086248</v>
      </c>
      <c r="O566" s="26">
        <f t="shared" si="308"/>
        <v>-1.2898485535803326</v>
      </c>
      <c r="P566" s="26">
        <f t="shared" si="309"/>
        <v>0.21587844580338517</v>
      </c>
      <c r="Q566" s="26">
        <f t="shared" si="310"/>
        <v>2.3301751681242554E-2</v>
      </c>
      <c r="R566" s="26">
        <f t="shared" si="311"/>
        <v>-8.8234436856204095</v>
      </c>
      <c r="S566" s="26">
        <f t="shared" si="312"/>
        <v>1.4721875984097956E-4</v>
      </c>
      <c r="T566" s="26">
        <f t="shared" si="313"/>
        <v>1.4090090723100701</v>
      </c>
      <c r="U566" s="26">
        <f t="shared" si="314"/>
        <v>0.80360960127635939</v>
      </c>
      <c r="V566" s="26">
        <f t="shared" si="315"/>
        <v>1.2176336114843944</v>
      </c>
      <c r="W566" s="26">
        <f t="shared" si="316"/>
        <v>0.77164684091769076</v>
      </c>
      <c r="X566" s="26">
        <f t="shared" si="317"/>
        <v>2.6072582631435217E-2</v>
      </c>
      <c r="Y566" s="26">
        <f t="shared" si="318"/>
        <v>1.6227452613153606</v>
      </c>
      <c r="Z566" s="26">
        <f t="shared" si="319"/>
        <v>0.8351733870009761</v>
      </c>
      <c r="AA566" s="26">
        <f t="shared" si="320"/>
        <v>-4.6227654635417377</v>
      </c>
      <c r="AB566" s="26">
        <f t="shared" si="321"/>
        <v>9.7299833644136184E-3</v>
      </c>
      <c r="AC566" s="26">
        <f t="shared" si="322"/>
        <v>1.9655508754398086</v>
      </c>
      <c r="AD566" s="26">
        <f t="shared" si="323"/>
        <v>0.87713242997096363</v>
      </c>
      <c r="AE566" s="26">
        <f t="shared" si="324"/>
        <v>7.5482198824200781E-3</v>
      </c>
      <c r="AF566" s="26">
        <f t="shared" si="325"/>
        <v>-3.6658702773759444</v>
      </c>
      <c r="AG566" s="26">
        <f t="shared" si="326"/>
        <v>2.4943788779553056E-2</v>
      </c>
      <c r="AH566" s="26">
        <f t="shared" si="327"/>
        <v>-1.8132278952306256</v>
      </c>
      <c r="AI566" s="26">
        <f t="shared" si="328"/>
        <v>0.14024845775098291</v>
      </c>
      <c r="AJ566" s="26">
        <f t="shared" si="329"/>
        <v>-1.5584187042513196</v>
      </c>
      <c r="AK566" s="26">
        <f t="shared" si="330"/>
        <v>0.17387366977344337</v>
      </c>
      <c r="AL566" s="26">
        <f t="shared" si="331"/>
        <v>1.5116026520242219E-2</v>
      </c>
      <c r="AM566" s="27">
        <f t="shared" si="332"/>
        <v>7.203858071534007E-2</v>
      </c>
    </row>
    <row r="567" spans="1:39" ht="15" customHeight="1" x14ac:dyDescent="0.2">
      <c r="A567" s="24">
        <v>556</v>
      </c>
      <c r="B567" s="29">
        <f t="shared" si="333"/>
        <v>5.1637158023585785</v>
      </c>
      <c r="C567" s="29">
        <f t="shared" si="334"/>
        <v>-5.2916555692963732</v>
      </c>
      <c r="D567" s="29">
        <f t="shared" si="335"/>
        <v>-3.5337409690629809</v>
      </c>
      <c r="E567" s="29">
        <f t="shared" si="336"/>
        <v>-3.2348505356982544</v>
      </c>
      <c r="F567" s="29">
        <f t="shared" si="337"/>
        <v>2.8241407955357722</v>
      </c>
      <c r="G567" s="29">
        <f t="shared" si="338"/>
        <v>-1.4107215696180253</v>
      </c>
      <c r="H567" s="29">
        <f t="shared" si="339"/>
        <v>5.0633121183183132</v>
      </c>
      <c r="I567" s="29">
        <f t="shared" si="340"/>
        <v>4.3954797677607678</v>
      </c>
      <c r="J567" s="29">
        <f t="shared" si="341"/>
        <v>-2.3059321929060892</v>
      </c>
      <c r="K567" s="26">
        <f t="shared" si="304"/>
        <v>-3.5337409690629809</v>
      </c>
      <c r="L567" s="26">
        <f t="shared" si="305"/>
        <v>2.8367294762766823E-2</v>
      </c>
      <c r="M567" s="26">
        <f t="shared" si="306"/>
        <v>-1.4107215696180253</v>
      </c>
      <c r="N567" s="26">
        <f t="shared" si="307"/>
        <v>0.19612027084013056</v>
      </c>
      <c r="O567" s="26">
        <f t="shared" si="308"/>
        <v>-1.3002570430443083</v>
      </c>
      <c r="P567" s="26">
        <f t="shared" si="309"/>
        <v>0.2141217602123934</v>
      </c>
      <c r="Q567" s="26">
        <f t="shared" si="310"/>
        <v>2.2924064098226848E-2</v>
      </c>
      <c r="R567" s="26">
        <f t="shared" si="311"/>
        <v>-8.8253965383593531</v>
      </c>
      <c r="S567" s="26">
        <f t="shared" si="312"/>
        <v>1.4693158602028131E-4</v>
      </c>
      <c r="T567" s="26">
        <f t="shared" si="313"/>
        <v>1.4134192259177469</v>
      </c>
      <c r="U567" s="26">
        <f t="shared" si="314"/>
        <v>0.80430468523540377</v>
      </c>
      <c r="V567" s="26">
        <f t="shared" si="315"/>
        <v>1.2301167386413812</v>
      </c>
      <c r="W567" s="26">
        <f t="shared" si="316"/>
        <v>0.77383900560890861</v>
      </c>
      <c r="X567" s="26">
        <f t="shared" si="317"/>
        <v>2.5574397691983636E-2</v>
      </c>
      <c r="Y567" s="26">
        <f t="shared" si="318"/>
        <v>1.6299748332955977</v>
      </c>
      <c r="Z567" s="26">
        <f t="shared" si="319"/>
        <v>0.83616619116129254</v>
      </c>
      <c r="AA567" s="26">
        <f t="shared" si="320"/>
        <v>-4.6455721053162797</v>
      </c>
      <c r="AB567" s="26">
        <f t="shared" si="321"/>
        <v>9.5126735330435079E-3</v>
      </c>
      <c r="AC567" s="26">
        <f t="shared" si="322"/>
        <v>1.9696509797807562</v>
      </c>
      <c r="AD567" s="26">
        <f t="shared" si="323"/>
        <v>0.87757362002754236</v>
      </c>
      <c r="AE567" s="26">
        <f t="shared" si="324"/>
        <v>7.4941092565802888E-3</v>
      </c>
      <c r="AF567" s="26">
        <f t="shared" si="325"/>
        <v>-3.6616807360007755</v>
      </c>
      <c r="AG567" s="26">
        <f t="shared" si="326"/>
        <v>2.5045888168835288E-2</v>
      </c>
      <c r="AH567" s="26">
        <f t="shared" si="327"/>
        <v>-1.8214313097805075</v>
      </c>
      <c r="AI567" s="26">
        <f t="shared" si="328"/>
        <v>0.13926221575955916</v>
      </c>
      <c r="AJ567" s="26">
        <f t="shared" si="329"/>
        <v>-1.5669927920421032</v>
      </c>
      <c r="AK567" s="26">
        <f t="shared" si="330"/>
        <v>0.17264551567357792</v>
      </c>
      <c r="AL567" s="26">
        <f t="shared" si="331"/>
        <v>1.4903237041097819E-2</v>
      </c>
      <c r="AM567" s="27">
        <f t="shared" si="332"/>
        <v>7.089580808788859E-2</v>
      </c>
    </row>
    <row r="568" spans="1:39" ht="15" customHeight="1" x14ac:dyDescent="0.2">
      <c r="A568" s="24">
        <v>557</v>
      </c>
      <c r="B568" s="29">
        <f t="shared" si="333"/>
        <v>5.1697903630987243</v>
      </c>
      <c r="C568" s="29">
        <f t="shared" si="334"/>
        <v>-5.2946751277972082</v>
      </c>
      <c r="D568" s="29">
        <f t="shared" si="335"/>
        <v>-3.5326653868577851</v>
      </c>
      <c r="E568" s="29">
        <f t="shared" si="336"/>
        <v>-3.2472988901485689</v>
      </c>
      <c r="F568" s="29">
        <f t="shared" si="337"/>
        <v>2.8385314747628843</v>
      </c>
      <c r="G568" s="29">
        <f t="shared" si="338"/>
        <v>-1.4207548931296814</v>
      </c>
      <c r="H568" s="29">
        <f t="shared" si="339"/>
        <v>5.0726765017165736</v>
      </c>
      <c r="I568" s="29">
        <f t="shared" si="340"/>
        <v>4.4169393230903147</v>
      </c>
      <c r="J568" s="29">
        <f t="shared" si="341"/>
        <v>-2.3138895610481578</v>
      </c>
      <c r="K568" s="26">
        <f t="shared" si="304"/>
        <v>-3.5326653868577851</v>
      </c>
      <c r="L568" s="26">
        <f t="shared" si="305"/>
        <v>2.8396955639054887E-2</v>
      </c>
      <c r="M568" s="26">
        <f t="shared" si="306"/>
        <v>-1.4207548931296814</v>
      </c>
      <c r="N568" s="26">
        <f t="shared" si="307"/>
        <v>0.19454326744185554</v>
      </c>
      <c r="O568" s="26">
        <f t="shared" si="308"/>
        <v>-1.3105551834512286</v>
      </c>
      <c r="P568" s="26">
        <f t="shared" si="309"/>
        <v>0.21239395667104324</v>
      </c>
      <c r="Q568" s="26">
        <f t="shared" si="310"/>
        <v>2.2555596415190497E-2</v>
      </c>
      <c r="R568" s="26">
        <f t="shared" si="311"/>
        <v>-8.8273405146549937</v>
      </c>
      <c r="S568" s="26">
        <f t="shared" si="312"/>
        <v>1.4664627379672548E-4</v>
      </c>
      <c r="T568" s="26">
        <f t="shared" si="313"/>
        <v>1.4177765816332029</v>
      </c>
      <c r="U568" s="26">
        <f t="shared" si="314"/>
        <v>0.80498961790021473</v>
      </c>
      <c r="V568" s="26">
        <f t="shared" si="315"/>
        <v>1.2424446260419004</v>
      </c>
      <c r="W568" s="26">
        <f t="shared" si="316"/>
        <v>0.77598925014294962</v>
      </c>
      <c r="X568" s="26">
        <f t="shared" si="317"/>
        <v>2.5090408025759001E-2</v>
      </c>
      <c r="Y568" s="26">
        <f t="shared" si="318"/>
        <v>1.6371249762409392</v>
      </c>
      <c r="Z568" s="26">
        <f t="shared" si="319"/>
        <v>0.83714335272682705</v>
      </c>
      <c r="AA568" s="26">
        <f t="shared" si="320"/>
        <v>-4.6680537832782498</v>
      </c>
      <c r="AB568" s="26">
        <f t="shared" si="321"/>
        <v>9.3031661165153198E-3</v>
      </c>
      <c r="AC568" s="26">
        <f t="shared" si="322"/>
        <v>1.9737593731467253</v>
      </c>
      <c r="AD568" s="26">
        <f t="shared" si="323"/>
        <v>0.87801433399269857</v>
      </c>
      <c r="AE568" s="26">
        <f t="shared" si="324"/>
        <v>7.4402513556224474E-3</v>
      </c>
      <c r="AF568" s="26">
        <f t="shared" si="325"/>
        <v>-3.6575501515562689</v>
      </c>
      <c r="AG568" s="26">
        <f t="shared" si="326"/>
        <v>2.5146949345654705E-2</v>
      </c>
      <c r="AH568" s="26">
        <f t="shared" si="327"/>
        <v>-1.829522308515366</v>
      </c>
      <c r="AI568" s="26">
        <f t="shared" si="328"/>
        <v>0.13829518965475435</v>
      </c>
      <c r="AJ568" s="26">
        <f t="shared" si="329"/>
        <v>-1.5754857606322807</v>
      </c>
      <c r="AK568" s="26">
        <f t="shared" si="330"/>
        <v>0.17143575883128881</v>
      </c>
      <c r="AL568" s="26">
        <f t="shared" si="331"/>
        <v>1.469510970302991E-2</v>
      </c>
      <c r="AM568" s="27">
        <f t="shared" si="332"/>
        <v>6.9781365499601858E-2</v>
      </c>
    </row>
    <row r="569" spans="1:39" ht="15" customHeight="1" x14ac:dyDescent="0.2">
      <c r="A569" s="24">
        <v>558</v>
      </c>
      <c r="B569" s="29">
        <f t="shared" si="333"/>
        <v>5.1757978184826037</v>
      </c>
      <c r="C569" s="29">
        <f t="shared" si="334"/>
        <v>-5.2976744076249567</v>
      </c>
      <c r="D569" s="29">
        <f t="shared" si="335"/>
        <v>-3.5316016563493711</v>
      </c>
      <c r="E569" s="29">
        <f t="shared" si="336"/>
        <v>-3.2595848871597162</v>
      </c>
      <c r="F569" s="29">
        <f t="shared" si="337"/>
        <v>2.852713543979565</v>
      </c>
      <c r="G569" s="29">
        <f t="shared" si="338"/>
        <v>-1.4306317767426762</v>
      </c>
      <c r="H569" s="29">
        <f t="shared" si="339"/>
        <v>5.081998426574617</v>
      </c>
      <c r="I569" s="29">
        <f t="shared" si="340"/>
        <v>4.4381271717315762</v>
      </c>
      <c r="J569" s="29">
        <f t="shared" si="341"/>
        <v>-2.3217660254862387</v>
      </c>
      <c r="K569" s="26">
        <f t="shared" si="304"/>
        <v>-3.5316016563493711</v>
      </c>
      <c r="L569" s="26">
        <f t="shared" si="305"/>
        <v>2.8426319296326278E-2</v>
      </c>
      <c r="M569" s="26">
        <f t="shared" si="306"/>
        <v>-1.4306317767426762</v>
      </c>
      <c r="N569" s="26">
        <f t="shared" si="307"/>
        <v>0.19300026518527802</v>
      </c>
      <c r="O569" s="26">
        <f t="shared" si="308"/>
        <v>-1.3207437944788187</v>
      </c>
      <c r="P569" s="26">
        <f t="shared" si="309"/>
        <v>0.21069457207645736</v>
      </c>
      <c r="Q569" s="26">
        <f t="shared" si="310"/>
        <v>2.2196101351240744E-2</v>
      </c>
      <c r="R569" s="26">
        <f t="shared" si="311"/>
        <v>-8.8292760639743282</v>
      </c>
      <c r="S569" s="26">
        <f t="shared" si="312"/>
        <v>1.4636274872195632E-4</v>
      </c>
      <c r="T569" s="26">
        <f t="shared" si="313"/>
        <v>1.4220817672368888</v>
      </c>
      <c r="U569" s="26">
        <f t="shared" si="314"/>
        <v>0.80566456440281664</v>
      </c>
      <c r="V569" s="26">
        <f t="shared" si="315"/>
        <v>1.2546195843499004</v>
      </c>
      <c r="W569" s="26">
        <f t="shared" si="316"/>
        <v>0.7780985088435467</v>
      </c>
      <c r="X569" s="26">
        <f t="shared" si="317"/>
        <v>2.4620135888728762E-2</v>
      </c>
      <c r="Y569" s="26">
        <f t="shared" si="318"/>
        <v>1.6441961621332326</v>
      </c>
      <c r="Z569" s="26">
        <f t="shared" si="319"/>
        <v>0.83810510150815387</v>
      </c>
      <c r="AA569" s="26">
        <f t="shared" si="320"/>
        <v>-4.6902166639023921</v>
      </c>
      <c r="AB569" s="26">
        <f t="shared" si="321"/>
        <v>9.1011050657577777E-3</v>
      </c>
      <c r="AC569" s="26">
        <f t="shared" si="322"/>
        <v>1.9778746433674823</v>
      </c>
      <c r="AD569" s="26">
        <f t="shared" si="323"/>
        <v>0.87845441545619374</v>
      </c>
      <c r="AE569" s="26">
        <f t="shared" si="324"/>
        <v>7.3866645610477779E-3</v>
      </c>
      <c r="AF569" s="26">
        <f t="shared" si="325"/>
        <v>-3.6534782454917241</v>
      </c>
      <c r="AG569" s="26">
        <f t="shared" si="326"/>
        <v>2.524696365897135E-2</v>
      </c>
      <c r="AH569" s="26">
        <f t="shared" si="327"/>
        <v>-1.8375031199228273</v>
      </c>
      <c r="AI569" s="26">
        <f t="shared" si="328"/>
        <v>0.13734686188012821</v>
      </c>
      <c r="AJ569" s="26">
        <f t="shared" si="329"/>
        <v>-1.5838981562332988</v>
      </c>
      <c r="AK569" s="26">
        <f t="shared" si="330"/>
        <v>0.17024411630252689</v>
      </c>
      <c r="AL569" s="26">
        <f t="shared" si="331"/>
        <v>1.4491529567814151E-2</v>
      </c>
      <c r="AM569" s="27">
        <f t="shared" si="332"/>
        <v>6.8694431368831438E-2</v>
      </c>
    </row>
    <row r="570" spans="1:39" ht="15" customHeight="1" x14ac:dyDescent="0.2">
      <c r="A570" s="24">
        <v>559</v>
      </c>
      <c r="B570" s="29">
        <f t="shared" si="333"/>
        <v>5.1817389089703374</v>
      </c>
      <c r="C570" s="29">
        <f t="shared" si="334"/>
        <v>-5.300653601824326</v>
      </c>
      <c r="D570" s="29">
        <f t="shared" si="335"/>
        <v>-3.5305500054969903</v>
      </c>
      <c r="E570" s="29">
        <f t="shared" si="336"/>
        <v>-3.2717113503324384</v>
      </c>
      <c r="F570" s="29">
        <f t="shared" si="337"/>
        <v>2.8666909056067746</v>
      </c>
      <c r="G570" s="29">
        <f t="shared" si="338"/>
        <v>-1.4403554769387701</v>
      </c>
      <c r="H570" s="29">
        <f t="shared" si="339"/>
        <v>5.0912775168951079</v>
      </c>
      <c r="I570" s="29">
        <f t="shared" si="340"/>
        <v>4.4590477660931462</v>
      </c>
      <c r="J570" s="29">
        <f t="shared" si="341"/>
        <v>-2.3295624176387459</v>
      </c>
      <c r="K570" s="26">
        <f t="shared" si="304"/>
        <v>-3.5305500054969903</v>
      </c>
      <c r="L570" s="26">
        <f t="shared" si="305"/>
        <v>2.8455378475519183E-2</v>
      </c>
      <c r="M570" s="26">
        <f t="shared" si="306"/>
        <v>-1.4403554769387701</v>
      </c>
      <c r="N570" s="26">
        <f t="shared" si="307"/>
        <v>0.19149030695713473</v>
      </c>
      <c r="O570" s="26">
        <f t="shared" si="308"/>
        <v>-1.3308237635058915</v>
      </c>
      <c r="P570" s="26">
        <f t="shared" si="309"/>
        <v>0.20902313771605133</v>
      </c>
      <c r="Q570" s="26">
        <f t="shared" si="310"/>
        <v>2.184533605033168E-2</v>
      </c>
      <c r="R570" s="26">
        <f t="shared" si="311"/>
        <v>-8.8312036073213172</v>
      </c>
      <c r="S570" s="26">
        <f t="shared" si="312"/>
        <v>1.460809410773228E-4</v>
      </c>
      <c r="T570" s="26">
        <f t="shared" si="313"/>
        <v>1.4263354286680046</v>
      </c>
      <c r="U570" s="26">
        <f t="shared" si="314"/>
        <v>0.806329690863827</v>
      </c>
      <c r="V570" s="26">
        <f t="shared" si="315"/>
        <v>1.2666439277531327</v>
      </c>
      <c r="W570" s="26">
        <f t="shared" si="316"/>
        <v>0.78016770242272715</v>
      </c>
      <c r="X570" s="26">
        <f t="shared" si="317"/>
        <v>2.416311952905132E-2</v>
      </c>
      <c r="Y570" s="26">
        <f t="shared" si="318"/>
        <v>1.6511889034733471</v>
      </c>
      <c r="Z570" s="26">
        <f t="shared" si="319"/>
        <v>0.83905166938957221</v>
      </c>
      <c r="AA570" s="26">
        <f t="shared" si="320"/>
        <v>-4.7120668272712081</v>
      </c>
      <c r="AB570" s="26">
        <f t="shared" si="321"/>
        <v>8.9061531384681588E-3</v>
      </c>
      <c r="AC570" s="26">
        <f t="shared" si="322"/>
        <v>1.9819954444942605</v>
      </c>
      <c r="AD570" s="26">
        <f t="shared" si="323"/>
        <v>0.87889371695875951</v>
      </c>
      <c r="AE570" s="26">
        <f t="shared" si="324"/>
        <v>7.3333658960325274E-3</v>
      </c>
      <c r="AF570" s="26">
        <f t="shared" si="325"/>
        <v>-3.6494646983509789</v>
      </c>
      <c r="AG570" s="26">
        <f t="shared" si="326"/>
        <v>2.5345923695945755E-2</v>
      </c>
      <c r="AH570" s="26">
        <f t="shared" si="327"/>
        <v>-1.8453759216644339</v>
      </c>
      <c r="AI570" s="26">
        <f t="shared" si="328"/>
        <v>0.13641673147812935</v>
      </c>
      <c r="AJ570" s="26">
        <f t="shared" si="329"/>
        <v>-1.5922305644253572</v>
      </c>
      <c r="AK570" s="26">
        <f t="shared" si="330"/>
        <v>0.16907030354305483</v>
      </c>
      <c r="AL570" s="26">
        <f t="shared" si="331"/>
        <v>1.4292383770070348E-2</v>
      </c>
      <c r="AM570" s="27">
        <f t="shared" si="332"/>
        <v>6.7634205245485884E-2</v>
      </c>
    </row>
    <row r="571" spans="1:39" ht="15" customHeight="1" x14ac:dyDescent="0.2">
      <c r="A571" s="24">
        <v>560</v>
      </c>
      <c r="B571" s="29">
        <f t="shared" si="333"/>
        <v>5.1876143856780956</v>
      </c>
      <c r="C571" s="29">
        <f t="shared" si="334"/>
        <v>-5.3036129029170027</v>
      </c>
      <c r="D571" s="29">
        <f t="shared" si="335"/>
        <v>-3.5295106356958001</v>
      </c>
      <c r="E571" s="29">
        <f t="shared" si="336"/>
        <v>-3.283681068810457</v>
      </c>
      <c r="F571" s="29">
        <f t="shared" si="337"/>
        <v>2.8804674218555077</v>
      </c>
      <c r="G571" s="29">
        <f t="shared" si="338"/>
        <v>-1.4499291947348962</v>
      </c>
      <c r="H571" s="29">
        <f t="shared" si="339"/>
        <v>5.1005134342681773</v>
      </c>
      <c r="I571" s="29">
        <f t="shared" si="340"/>
        <v>4.4797055306902012</v>
      </c>
      <c r="J571" s="29">
        <f t="shared" si="341"/>
        <v>-2.3372795912703701</v>
      </c>
      <c r="K571" s="26">
        <f t="shared" si="304"/>
        <v>-3.5295106356958001</v>
      </c>
      <c r="L571" s="26">
        <f t="shared" si="305"/>
        <v>2.8484126637110283E-2</v>
      </c>
      <c r="M571" s="26">
        <f t="shared" si="306"/>
        <v>-1.4499291947348962</v>
      </c>
      <c r="N571" s="26">
        <f t="shared" si="307"/>
        <v>0.19001246325354382</v>
      </c>
      <c r="O571" s="26">
        <f t="shared" si="308"/>
        <v>-1.3407960381574242</v>
      </c>
      <c r="P571" s="26">
        <f t="shared" si="309"/>
        <v>0.20737918085545265</v>
      </c>
      <c r="Q571" s="26">
        <f t="shared" si="310"/>
        <v>2.1503062326139268E-2</v>
      </c>
      <c r="R571" s="26">
        <f t="shared" si="311"/>
        <v>-8.8331235386128029</v>
      </c>
      <c r="S571" s="26">
        <f t="shared" si="312"/>
        <v>1.4580078562519713E-4</v>
      </c>
      <c r="T571" s="26">
        <f t="shared" si="313"/>
        <v>1.4305382271206115</v>
      </c>
      <c r="U571" s="26">
        <f t="shared" si="314"/>
        <v>0.80698516393384279</v>
      </c>
      <c r="V571" s="26">
        <f t="shared" si="315"/>
        <v>1.2785199696548122</v>
      </c>
      <c r="W571" s="26">
        <f t="shared" si="316"/>
        <v>0.78219773719945052</v>
      </c>
      <c r="X571" s="26">
        <f t="shared" si="317"/>
        <v>2.3718912840519812E-2</v>
      </c>
      <c r="Y571" s="26">
        <f t="shared" si="318"/>
        <v>1.6581037499822955</v>
      </c>
      <c r="Z571" s="26">
        <f t="shared" si="319"/>
        <v>0.83998328979576942</v>
      </c>
      <c r="AA571" s="26">
        <f t="shared" si="320"/>
        <v>-4.7336102635453532</v>
      </c>
      <c r="AB571" s="26">
        <f t="shared" si="321"/>
        <v>8.7179908182124736E-3</v>
      </c>
      <c r="AC571" s="26">
        <f t="shared" si="322"/>
        <v>1.9861204945785849</v>
      </c>
      <c r="AD571" s="26">
        <f t="shared" si="323"/>
        <v>0.87933209964433212</v>
      </c>
      <c r="AE571" s="26">
        <f t="shared" si="324"/>
        <v>7.2803710881226957E-3</v>
      </c>
      <c r="AF571" s="26">
        <f t="shared" si="325"/>
        <v>-3.6455091529347072</v>
      </c>
      <c r="AG571" s="26">
        <f t="shared" si="326"/>
        <v>2.5443823223437474E-2</v>
      </c>
      <c r="AH571" s="26">
        <f t="shared" si="327"/>
        <v>-1.8531428416898454</v>
      </c>
      <c r="AI571" s="26">
        <f t="shared" si="328"/>
        <v>0.13550431350823375</v>
      </c>
      <c r="AJ571" s="26">
        <f t="shared" si="329"/>
        <v>-1.6004836064448691</v>
      </c>
      <c r="AK571" s="26">
        <f t="shared" si="330"/>
        <v>0.16791403504789115</v>
      </c>
      <c r="AL571" s="26">
        <f t="shared" si="331"/>
        <v>1.4097561583032209E-2</v>
      </c>
      <c r="AM571" s="27">
        <f t="shared" si="332"/>
        <v>6.6599907837813985E-2</v>
      </c>
    </row>
    <row r="572" spans="1:39" ht="15" customHeight="1" x14ac:dyDescent="0.2">
      <c r="A572" s="24">
        <v>561</v>
      </c>
      <c r="B572" s="29">
        <f t="shared" si="333"/>
        <v>5.1934250087029445</v>
      </c>
      <c r="C572" s="29">
        <f t="shared" si="334"/>
        <v>-5.3065525027753191</v>
      </c>
      <c r="D572" s="29">
        <f t="shared" si="335"/>
        <v>-3.5284837232422346</v>
      </c>
      <c r="E572" s="29">
        <f t="shared" si="336"/>
        <v>-3.2954967957188459</v>
      </c>
      <c r="F572" s="29">
        <f t="shared" si="337"/>
        <v>2.8940469106640072</v>
      </c>
      <c r="G572" s="29">
        <f t="shared" si="338"/>
        <v>-1.4593560742802736</v>
      </c>
      <c r="H572" s="29">
        <f t="shared" si="339"/>
        <v>5.1097058762025913</v>
      </c>
      <c r="I572" s="29">
        <f t="shared" si="340"/>
        <v>4.5001048568917561</v>
      </c>
      <c r="J572" s="29">
        <f t="shared" si="341"/>
        <v>-2.3449184193914809</v>
      </c>
      <c r="K572" s="26">
        <f t="shared" si="304"/>
        <v>-3.5284837232422346</v>
      </c>
      <c r="L572" s="26">
        <f t="shared" si="305"/>
        <v>2.851255792480329E-2</v>
      </c>
      <c r="M572" s="26">
        <f t="shared" si="306"/>
        <v>-1.4593560742802736</v>
      </c>
      <c r="N572" s="26">
        <f t="shared" si="307"/>
        <v>0.18856583173102937</v>
      </c>
      <c r="O572" s="26">
        <f t="shared" si="308"/>
        <v>-1.350661619400908</v>
      </c>
      <c r="P572" s="26">
        <f t="shared" si="309"/>
        <v>0.20576222617520498</v>
      </c>
      <c r="Q572" s="26">
        <f t="shared" si="310"/>
        <v>2.1169046860288105E-2</v>
      </c>
      <c r="R572" s="26">
        <f t="shared" si="311"/>
        <v>-8.8350362260175537</v>
      </c>
      <c r="S572" s="26">
        <f t="shared" si="312"/>
        <v>1.4552222136900037E-4</v>
      </c>
      <c r="T572" s="26">
        <f t="shared" si="313"/>
        <v>1.4346908363837336</v>
      </c>
      <c r="U572" s="26">
        <f t="shared" si="314"/>
        <v>0.80763115038082911</v>
      </c>
      <c r="V572" s="26">
        <f t="shared" si="315"/>
        <v>1.290250018764012</v>
      </c>
      <c r="W572" s="26">
        <f t="shared" si="316"/>
        <v>0.7841895044408228</v>
      </c>
      <c r="X572" s="26">
        <f t="shared" si="317"/>
        <v>2.3287084996748818E-2</v>
      </c>
      <c r="Y572" s="26">
        <f t="shared" si="318"/>
        <v>1.66494128546071</v>
      </c>
      <c r="Z572" s="26">
        <f t="shared" si="319"/>
        <v>0.84090019719761644</v>
      </c>
      <c r="AA572" s="26">
        <f t="shared" si="320"/>
        <v>-4.7548528699991195</v>
      </c>
      <c r="AB572" s="26">
        <f t="shared" si="321"/>
        <v>8.5363152972124517E-3</v>
      </c>
      <c r="AC572" s="26">
        <f t="shared" si="322"/>
        <v>1.9902485734580426</v>
      </c>
      <c r="AD572" s="26">
        <f t="shared" si="323"/>
        <v>0.87976943291614029</v>
      </c>
      <c r="AE572" s="26">
        <f t="shared" si="324"/>
        <v>7.2276946306532447E-3</v>
      </c>
      <c r="AF572" s="26">
        <f t="shared" si="325"/>
        <v>-3.6416112173146091</v>
      </c>
      <c r="AG572" s="26">
        <f t="shared" si="326"/>
        <v>2.5540657130730442E-2</v>
      </c>
      <c r="AH572" s="26">
        <f t="shared" si="327"/>
        <v>-1.8608059593351123</v>
      </c>
      <c r="AI572" s="26">
        <f t="shared" si="328"/>
        <v>0.13460913848578426</v>
      </c>
      <c r="AJ572" s="26">
        <f t="shared" si="329"/>
        <v>-1.6086579356866193</v>
      </c>
      <c r="AK572" s="26">
        <f t="shared" si="330"/>
        <v>0.16677502493730054</v>
      </c>
      <c r="AL572" s="26">
        <f t="shared" si="331"/>
        <v>1.3906954471418608E-2</v>
      </c>
      <c r="AM572" s="27">
        <f t="shared" si="332"/>
        <v>6.559078095910878E-2</v>
      </c>
    </row>
    <row r="573" spans="1:39" ht="15" customHeight="1" x14ac:dyDescent="0.2">
      <c r="A573" s="24">
        <v>562</v>
      </c>
      <c r="B573" s="29">
        <f t="shared" si="333"/>
        <v>5.1991715455546705</v>
      </c>
      <c r="C573" s="29">
        <f t="shared" si="334"/>
        <v>-5.3094725925056521</v>
      </c>
      <c r="D573" s="29">
        <f t="shared" si="335"/>
        <v>-3.5274694207504749</v>
      </c>
      <c r="E573" s="29">
        <f t="shared" si="336"/>
        <v>-3.3071612468139566</v>
      </c>
      <c r="F573" s="29">
        <f t="shared" si="337"/>
        <v>2.9074331421674495</v>
      </c>
      <c r="G573" s="29">
        <f t="shared" si="338"/>
        <v>-1.4686392017581171</v>
      </c>
      <c r="H573" s="29">
        <f t="shared" si="339"/>
        <v>5.1188545744997622</v>
      </c>
      <c r="I573" s="29">
        <f t="shared" si="340"/>
        <v>4.5202500982335874</v>
      </c>
      <c r="J573" s="29">
        <f t="shared" si="341"/>
        <v>-2.3524797913814433</v>
      </c>
      <c r="K573" s="26">
        <f t="shared" si="304"/>
        <v>-3.5274694207504749</v>
      </c>
      <c r="L573" s="26">
        <f t="shared" si="305"/>
        <v>2.8540667130234853E-2</v>
      </c>
      <c r="M573" s="26">
        <f t="shared" si="306"/>
        <v>-1.4686392017581171</v>
      </c>
      <c r="N573" s="26">
        <f t="shared" si="307"/>
        <v>0.18714953671503096</v>
      </c>
      <c r="O573" s="26">
        <f t="shared" si="308"/>
        <v>-1.3604215551620764</v>
      </c>
      <c r="P573" s="26">
        <f t="shared" si="309"/>
        <v>0.20417179706717858</v>
      </c>
      <c r="Q573" s="26">
        <f t="shared" si="310"/>
        <v>2.0843061358820577E-2</v>
      </c>
      <c r="R573" s="26">
        <f t="shared" si="311"/>
        <v>-8.8369420132561274</v>
      </c>
      <c r="S573" s="26">
        <f t="shared" si="312"/>
        <v>1.4524519132208571E-4</v>
      </c>
      <c r="T573" s="26">
        <f t="shared" si="313"/>
        <v>1.4387939404093324</v>
      </c>
      <c r="U573" s="26">
        <f t="shared" si="314"/>
        <v>0.80826781671998826</v>
      </c>
      <c r="V573" s="26">
        <f t="shared" si="315"/>
        <v>1.3018363755581541</v>
      </c>
      <c r="W573" s="26">
        <f t="shared" si="316"/>
        <v>0.78614387981503486</v>
      </c>
      <c r="X573" s="26">
        <f t="shared" si="317"/>
        <v>2.2867220070283127E-2</v>
      </c>
      <c r="Y573" s="26">
        <f t="shared" si="318"/>
        <v>1.6717021248041957</v>
      </c>
      <c r="Z573" s="26">
        <f t="shared" si="319"/>
        <v>0.841802626655346</v>
      </c>
      <c r="AA573" s="26">
        <f t="shared" si="320"/>
        <v>-4.775800448572074</v>
      </c>
      <c r="AB573" s="26">
        <f t="shared" si="321"/>
        <v>8.3608395193067262E-3</v>
      </c>
      <c r="AC573" s="26">
        <f t="shared" si="322"/>
        <v>1.9943785205576519</v>
      </c>
      <c r="AD573" s="26">
        <f t="shared" si="323"/>
        <v>0.88020559409778698</v>
      </c>
      <c r="AE573" s="26">
        <f t="shared" si="324"/>
        <v>7.1753498427320848E-3</v>
      </c>
      <c r="AF573" s="26">
        <f t="shared" si="325"/>
        <v>-3.6377704677014564</v>
      </c>
      <c r="AG573" s="26">
        <f t="shared" si="326"/>
        <v>2.5636421373592608E-2</v>
      </c>
      <c r="AH573" s="26">
        <f t="shared" si="327"/>
        <v>-1.8683673064046242</v>
      </c>
      <c r="AI573" s="26">
        <f t="shared" si="328"/>
        <v>0.13373075184087116</v>
      </c>
      <c r="AJ573" s="26">
        <f t="shared" si="329"/>
        <v>-1.6167542344138759</v>
      </c>
      <c r="AK573" s="26">
        <f t="shared" si="330"/>
        <v>0.16565298749227908</v>
      </c>
      <c r="AL573" s="26">
        <f t="shared" si="331"/>
        <v>1.3720456132558585E-2</v>
      </c>
      <c r="AM573" s="27">
        <f t="shared" si="332"/>
        <v>6.4606087404394372E-2</v>
      </c>
    </row>
    <row r="574" spans="1:39" ht="15" customHeight="1" x14ac:dyDescent="0.2">
      <c r="A574" s="24">
        <v>563</v>
      </c>
      <c r="B574" s="29">
        <f t="shared" si="333"/>
        <v>5.2048547696902636</v>
      </c>
      <c r="C574" s="29">
        <f t="shared" si="334"/>
        <v>-5.3123733623410416</v>
      </c>
      <c r="D574" s="29">
        <f t="shared" si="335"/>
        <v>-3.5264678585187657</v>
      </c>
      <c r="E574" s="29">
        <f t="shared" si="336"/>
        <v>-3.3186770993291561</v>
      </c>
      <c r="F574" s="29">
        <f t="shared" si="337"/>
        <v>2.9206298356546401</v>
      </c>
      <c r="G574" s="29">
        <f t="shared" si="338"/>
        <v>-1.4777816045619039</v>
      </c>
      <c r="H574" s="29">
        <f t="shared" si="339"/>
        <v>5.1279592936722791</v>
      </c>
      <c r="I574" s="29">
        <f t="shared" si="340"/>
        <v>4.5401455662554033</v>
      </c>
      <c r="J574" s="29">
        <f t="shared" si="341"/>
        <v>-2.3599646103243117</v>
      </c>
      <c r="K574" s="26">
        <f t="shared" si="304"/>
        <v>-3.5264678585187657</v>
      </c>
      <c r="L574" s="26">
        <f t="shared" si="305"/>
        <v>2.8568449658745994E-2</v>
      </c>
      <c r="M574" s="26">
        <f t="shared" si="306"/>
        <v>-1.4777816045619039</v>
      </c>
      <c r="N574" s="26">
        <f t="shared" si="307"/>
        <v>0.18576272867336882</v>
      </c>
      <c r="O574" s="26">
        <f t="shared" si="308"/>
        <v>-1.3700769344290356</v>
      </c>
      <c r="P574" s="26">
        <f t="shared" si="309"/>
        <v>0.20260741680107874</v>
      </c>
      <c r="Q574" s="26">
        <f t="shared" si="310"/>
        <v>2.0524882671403021E-2</v>
      </c>
      <c r="R574" s="26">
        <f t="shared" si="311"/>
        <v>-8.8388412208598073</v>
      </c>
      <c r="S574" s="26">
        <f t="shared" si="312"/>
        <v>1.4496964228555447E-4</v>
      </c>
      <c r="T574" s="26">
        <f t="shared" si="313"/>
        <v>1.4428482310927362</v>
      </c>
      <c r="U574" s="26">
        <f t="shared" si="314"/>
        <v>0.80889532888278848</v>
      </c>
      <c r="V574" s="26">
        <f t="shared" si="315"/>
        <v>1.3132813290920455</v>
      </c>
      <c r="W574" s="26">
        <f t="shared" si="316"/>
        <v>0.78806172294585219</v>
      </c>
      <c r="X574" s="26">
        <f t="shared" si="317"/>
        <v>2.2458916640340356E-2</v>
      </c>
      <c r="Y574" s="26">
        <f t="shared" si="318"/>
        <v>1.678386911171498</v>
      </c>
      <c r="Z574" s="26">
        <f t="shared" si="319"/>
        <v>0.8426908133973432</v>
      </c>
      <c r="AA574" s="26">
        <f t="shared" si="320"/>
        <v>-4.7964587038910604</v>
      </c>
      <c r="AB574" s="26">
        <f t="shared" si="321"/>
        <v>8.1912912797123139E-3</v>
      </c>
      <c r="AC574" s="26">
        <f t="shared" si="322"/>
        <v>1.9985092327143388</v>
      </c>
      <c r="AD574" s="26">
        <f t="shared" si="323"/>
        <v>0.88064046810029439</v>
      </c>
      <c r="AE574" s="26">
        <f t="shared" si="324"/>
        <v>7.1233489276584204E-3</v>
      </c>
      <c r="AF574" s="26">
        <f t="shared" si="325"/>
        <v>-3.6339864511695437</v>
      </c>
      <c r="AG574" s="26">
        <f t="shared" si="326"/>
        <v>2.5731112919759359E-2</v>
      </c>
      <c r="AH574" s="26">
        <f t="shared" si="327"/>
        <v>-1.8758288682364199</v>
      </c>
      <c r="AI574" s="26">
        <f t="shared" si="328"/>
        <v>0.13286871339660156</v>
      </c>
      <c r="AJ574" s="26">
        <f t="shared" si="329"/>
        <v>-1.6247732106692603</v>
      </c>
      <c r="AK574" s="26">
        <f t="shared" si="330"/>
        <v>0.16454763764244151</v>
      </c>
      <c r="AL574" s="26">
        <f t="shared" si="331"/>
        <v>1.3537962526854118E-2</v>
      </c>
      <c r="AM574" s="27">
        <f t="shared" si="332"/>
        <v>6.3645110766255911E-2</v>
      </c>
    </row>
    <row r="575" spans="1:39" ht="15" customHeight="1" x14ac:dyDescent="0.2">
      <c r="A575" s="24">
        <v>564</v>
      </c>
      <c r="B575" s="29">
        <f t="shared" si="333"/>
        <v>5.2104754591467062</v>
      </c>
      <c r="C575" s="29">
        <f t="shared" si="334"/>
        <v>-5.3152550015425293</v>
      </c>
      <c r="D575" s="29">
        <f t="shared" si="335"/>
        <v>-3.5254791458447641</v>
      </c>
      <c r="E575" s="29">
        <f t="shared" si="336"/>
        <v>-3.3300469910014208</v>
      </c>
      <c r="F575" s="29">
        <f t="shared" si="337"/>
        <v>2.9336406569692639</v>
      </c>
      <c r="G575" s="29">
        <f t="shared" si="338"/>
        <v>-1.4867862507184384</v>
      </c>
      <c r="H575" s="29">
        <f t="shared" si="339"/>
        <v>5.1370198294082625</v>
      </c>
      <c r="I575" s="29">
        <f t="shared" si="340"/>
        <v>4.5597955268229855</v>
      </c>
      <c r="J575" s="29">
        <f t="shared" si="341"/>
        <v>-2.3673737905455008</v>
      </c>
      <c r="K575" s="26">
        <f t="shared" si="304"/>
        <v>-3.5254791458447641</v>
      </c>
      <c r="L575" s="26">
        <f t="shared" si="305"/>
        <v>2.8595901496255922E-2</v>
      </c>
      <c r="M575" s="26">
        <f t="shared" si="306"/>
        <v>-1.4867862507184384</v>
      </c>
      <c r="N575" s="26">
        <f t="shared" si="307"/>
        <v>0.1844045836613343</v>
      </c>
      <c r="O575" s="26">
        <f t="shared" si="308"/>
        <v>-1.3796288818148215</v>
      </c>
      <c r="P575" s="26">
        <f t="shared" si="309"/>
        <v>0.20106860957090447</v>
      </c>
      <c r="Q575" s="26">
        <f t="shared" si="310"/>
        <v>2.021429287738841E-2</v>
      </c>
      <c r="R575" s="26">
        <f t="shared" si="311"/>
        <v>-8.8407341473872929</v>
      </c>
      <c r="S575" s="26">
        <f t="shared" si="312"/>
        <v>1.4469552463502371E-4</v>
      </c>
      <c r="T575" s="26">
        <f t="shared" si="313"/>
        <v>1.4468544062508255</v>
      </c>
      <c r="U575" s="26">
        <f t="shared" si="314"/>
        <v>0.80951385192202741</v>
      </c>
      <c r="V575" s="26">
        <f t="shared" si="315"/>
        <v>1.3245871541290812</v>
      </c>
      <c r="W575" s="26">
        <f t="shared" si="316"/>
        <v>0.78994387705917435</v>
      </c>
      <c r="X575" s="26">
        <f t="shared" si="317"/>
        <v>2.2061787392465629E-2</v>
      </c>
      <c r="Y575" s="26">
        <f t="shared" si="318"/>
        <v>1.6849963133019421</v>
      </c>
      <c r="Z575" s="26">
        <f t="shared" si="319"/>
        <v>0.84356499243278404</v>
      </c>
      <c r="AA575" s="26">
        <f t="shared" si="320"/>
        <v>-4.8168332417198592</v>
      </c>
      <c r="AB575" s="26">
        <f t="shared" si="321"/>
        <v>8.0274123783549787E-3</v>
      </c>
      <c r="AC575" s="26">
        <f t="shared" si="322"/>
        <v>2.002639662031128</v>
      </c>
      <c r="AD575" s="26">
        <f t="shared" si="323"/>
        <v>0.881073947095941</v>
      </c>
      <c r="AE575" s="26">
        <f t="shared" si="324"/>
        <v>7.0717030296695198E-3</v>
      </c>
      <c r="AF575" s="26">
        <f t="shared" si="325"/>
        <v>-3.6302586882405872</v>
      </c>
      <c r="AG575" s="26">
        <f t="shared" si="326"/>
        <v>2.5824729695913925E-2</v>
      </c>
      <c r="AH575" s="26">
        <f t="shared" si="327"/>
        <v>-1.8831925847505953</v>
      </c>
      <c r="AI575" s="26">
        <f t="shared" si="328"/>
        <v>0.13202259686611725</v>
      </c>
      <c r="AJ575" s="26">
        <f t="shared" si="329"/>
        <v>-1.6327155953788068</v>
      </c>
      <c r="AK575" s="26">
        <f t="shared" si="330"/>
        <v>0.16345869140916261</v>
      </c>
      <c r="AL575" s="26">
        <f t="shared" si="331"/>
        <v>1.3359371898597925E-2</v>
      </c>
      <c r="AM575" s="27">
        <f t="shared" si="332"/>
        <v>6.2707155198121478E-2</v>
      </c>
    </row>
    <row r="576" spans="1:39" ht="15" customHeight="1" x14ac:dyDescent="0.2">
      <c r="A576" s="24">
        <v>565</v>
      </c>
      <c r="B576" s="29">
        <f t="shared" si="333"/>
        <v>5.2160343952676946</v>
      </c>
      <c r="C576" s="29">
        <f t="shared" si="334"/>
        <v>-5.3181176983087353</v>
      </c>
      <c r="D576" s="29">
        <f t="shared" si="335"/>
        <v>-3.5245033722895007</v>
      </c>
      <c r="E576" s="29">
        <f t="shared" si="336"/>
        <v>-3.3412735192646212</v>
      </c>
      <c r="F576" s="29">
        <f t="shared" si="337"/>
        <v>2.9464692163161379</v>
      </c>
      <c r="G576" s="29">
        <f t="shared" si="338"/>
        <v>-1.4956560485321313</v>
      </c>
      <c r="H576" s="29">
        <f t="shared" si="339"/>
        <v>5.1460360070824729</v>
      </c>
      <c r="I576" s="29">
        <f t="shared" si="340"/>
        <v>4.5792041968981279</v>
      </c>
      <c r="J576" s="29">
        <f t="shared" si="341"/>
        <v>-2.3747082553382546</v>
      </c>
      <c r="K576" s="26">
        <f t="shared" si="304"/>
        <v>-3.5245033722895007</v>
      </c>
      <c r="L576" s="26">
        <f t="shared" si="305"/>
        <v>2.862301917726447E-2</v>
      </c>
      <c r="M576" s="26">
        <f t="shared" si="306"/>
        <v>-1.4956560485321313</v>
      </c>
      <c r="N576" s="26">
        <f t="shared" si="307"/>
        <v>0.18307430274433817</v>
      </c>
      <c r="O576" s="26">
        <f t="shared" si="308"/>
        <v>-1.3890785525495677</v>
      </c>
      <c r="P576" s="26">
        <f t="shared" si="309"/>
        <v>0.19955490143066162</v>
      </c>
      <c r="Q576" s="26">
        <f t="shared" si="310"/>
        <v>1.991107934250054E-2</v>
      </c>
      <c r="R576" s="26">
        <f t="shared" si="311"/>
        <v>-8.842621070598236</v>
      </c>
      <c r="S576" s="26">
        <f t="shared" si="312"/>
        <v>1.4442279211631198E-4</v>
      </c>
      <c r="T576" s="26">
        <f t="shared" si="313"/>
        <v>1.4508131677840066</v>
      </c>
      <c r="U576" s="26">
        <f t="shared" si="314"/>
        <v>0.81012354975000334</v>
      </c>
      <c r="V576" s="26">
        <f t="shared" si="315"/>
        <v>1.3357561085714442</v>
      </c>
      <c r="W576" s="26">
        <f t="shared" si="316"/>
        <v>0.79179116871283561</v>
      </c>
      <c r="X576" s="26">
        <f t="shared" si="317"/>
        <v>2.1675458712983441E-2</v>
      </c>
      <c r="Y576" s="26">
        <f t="shared" si="318"/>
        <v>1.6915310229781939</v>
      </c>
      <c r="Z576" s="26">
        <f t="shared" si="319"/>
        <v>0.8444253981963632</v>
      </c>
      <c r="AA576" s="26">
        <f t="shared" si="320"/>
        <v>-4.8369295677967523</v>
      </c>
      <c r="AB576" s="26">
        <f t="shared" si="321"/>
        <v>7.8689578236818668E-3</v>
      </c>
      <c r="AC576" s="26">
        <f t="shared" si="322"/>
        <v>2.0067688137666044</v>
      </c>
      <c r="AD576" s="26">
        <f t="shared" si="323"/>
        <v>0.88150593019957368</v>
      </c>
      <c r="AE576" s="26">
        <f t="shared" si="324"/>
        <v>7.0204222889341519E-3</v>
      </c>
      <c r="AF576" s="26">
        <f t="shared" si="325"/>
        <v>-3.6265866753305414</v>
      </c>
      <c r="AG576" s="26">
        <f t="shared" si="326"/>
        <v>2.5917270536222357E-2</v>
      </c>
      <c r="AH576" s="26">
        <f t="shared" si="327"/>
        <v>-1.8904603514806146</v>
      </c>
      <c r="AI576" s="26">
        <f t="shared" si="328"/>
        <v>0.13119198936773041</v>
      </c>
      <c r="AJ576" s="26">
        <f t="shared" si="329"/>
        <v>-1.6405821396414311</v>
      </c>
      <c r="AK576" s="26">
        <f t="shared" si="330"/>
        <v>0.16238586630674676</v>
      </c>
      <c r="AL576" s="26">
        <f t="shared" si="331"/>
        <v>1.3184584788096317E-2</v>
      </c>
      <c r="AM576" s="27">
        <f t="shared" si="332"/>
        <v>6.1791545132514454E-2</v>
      </c>
    </row>
    <row r="577" spans="1:39" ht="15" customHeight="1" x14ac:dyDescent="0.2">
      <c r="A577" s="24">
        <v>566</v>
      </c>
      <c r="B577" s="29">
        <f t="shared" si="333"/>
        <v>5.2215323615199445</v>
      </c>
      <c r="C577" s="29">
        <f t="shared" si="334"/>
        <v>-5.3209616396932029</v>
      </c>
      <c r="D577" s="29">
        <f t="shared" si="335"/>
        <v>-3.5235406088898791</v>
      </c>
      <c r="E577" s="29">
        <f t="shared" si="336"/>
        <v>-3.3523592405961011</v>
      </c>
      <c r="F577" s="29">
        <f t="shared" si="337"/>
        <v>2.9591190664356959</v>
      </c>
      <c r="G577" s="29">
        <f t="shared" si="338"/>
        <v>-1.5043938464269542</v>
      </c>
      <c r="H577" s="29">
        <f t="shared" si="339"/>
        <v>5.1550076803147924</v>
      </c>
      <c r="I577" s="29">
        <f t="shared" si="340"/>
        <v>4.5983757417213171</v>
      </c>
      <c r="J577" s="29">
        <f t="shared" si="341"/>
        <v>-2.3819689348690058</v>
      </c>
      <c r="K577" s="26">
        <f t="shared" si="304"/>
        <v>-3.5235406088898791</v>
      </c>
      <c r="L577" s="26">
        <f t="shared" si="305"/>
        <v>2.8649799754000244E-2</v>
      </c>
      <c r="M577" s="26">
        <f t="shared" si="306"/>
        <v>-1.5043938464269542</v>
      </c>
      <c r="N577" s="26">
        <f t="shared" si="307"/>
        <v>0.18177111140337865</v>
      </c>
      <c r="O577" s="26">
        <f t="shared" si="308"/>
        <v>-1.3984271278746343</v>
      </c>
      <c r="P577" s="26">
        <f t="shared" si="309"/>
        <v>0.19806582112809415</v>
      </c>
      <c r="Q577" s="26">
        <f t="shared" si="310"/>
        <v>1.9615034749573095E-2</v>
      </c>
      <c r="R577" s="26">
        <f t="shared" si="311"/>
        <v>-8.8445022485830815</v>
      </c>
      <c r="S577" s="26">
        <f t="shared" si="312"/>
        <v>1.4415140164996212E-4</v>
      </c>
      <c r="T577" s="26">
        <f t="shared" si="313"/>
        <v>1.4547252200087417</v>
      </c>
      <c r="U577" s="26">
        <f t="shared" si="314"/>
        <v>0.81072458490705412</v>
      </c>
      <c r="V577" s="26">
        <f t="shared" si="315"/>
        <v>1.3467904311673098</v>
      </c>
      <c r="W577" s="26">
        <f t="shared" si="316"/>
        <v>0.79360440760144957</v>
      </c>
      <c r="X577" s="26">
        <f t="shared" si="317"/>
        <v>2.1299570280774283E-2</v>
      </c>
      <c r="Y577" s="26">
        <f t="shared" si="318"/>
        <v>1.6979917526300654</v>
      </c>
      <c r="Z577" s="26">
        <f t="shared" si="319"/>
        <v>0.84527226422337609</v>
      </c>
      <c r="AA577" s="26">
        <f t="shared" si="320"/>
        <v>-4.8567530870230549</v>
      </c>
      <c r="AB577" s="26">
        <f t="shared" si="321"/>
        <v>7.7156950840151879E-3</v>
      </c>
      <c r="AC577" s="26">
        <f t="shared" si="322"/>
        <v>2.0108957442644257</v>
      </c>
      <c r="AD577" s="26">
        <f t="shared" si="323"/>
        <v>0.88193632315795556</v>
      </c>
      <c r="AE577" s="26">
        <f t="shared" si="324"/>
        <v>6.9695158947313506E-3</v>
      </c>
      <c r="AF577" s="26">
        <f t="shared" si="325"/>
        <v>-3.6229698870631375</v>
      </c>
      <c r="AG577" s="26">
        <f t="shared" si="326"/>
        <v>2.6008735132467462E-2</v>
      </c>
      <c r="AH577" s="26">
        <f t="shared" si="327"/>
        <v>-1.8976340205873594</v>
      </c>
      <c r="AI577" s="26">
        <f t="shared" si="328"/>
        <v>0.13037649095756201</v>
      </c>
      <c r="AJ577" s="26">
        <f t="shared" si="329"/>
        <v>-1.648373612195861</v>
      </c>
      <c r="AK577" s="26">
        <f t="shared" si="330"/>
        <v>0.16132888170431681</v>
      </c>
      <c r="AL577" s="26">
        <f t="shared" si="331"/>
        <v>1.3013504035982722E-2</v>
      </c>
      <c r="AM577" s="27">
        <f t="shared" si="332"/>
        <v>6.089762496106145E-2</v>
      </c>
    </row>
    <row r="578" spans="1:39" ht="15" customHeight="1" x14ac:dyDescent="0.2">
      <c r="A578" s="24">
        <v>567</v>
      </c>
      <c r="B578" s="29">
        <f t="shared" si="333"/>
        <v>5.2269701423947801</v>
      </c>
      <c r="C578" s="29">
        <f t="shared" si="334"/>
        <v>-5.3237870115290526</v>
      </c>
      <c r="D578" s="29">
        <f t="shared" si="335"/>
        <v>-3.522590909319935</v>
      </c>
      <c r="E578" s="29">
        <f t="shared" si="336"/>
        <v>-3.3633066700039294</v>
      </c>
      <c r="F578" s="29">
        <f t="shared" si="337"/>
        <v>2.9715937011125955</v>
      </c>
      <c r="G578" s="29">
        <f t="shared" si="338"/>
        <v>-1.5130024329644607</v>
      </c>
      <c r="H578" s="29">
        <f t="shared" si="339"/>
        <v>5.1639347295764235</v>
      </c>
      <c r="I578" s="29">
        <f t="shared" si="340"/>
        <v>4.6173142723741663</v>
      </c>
      <c r="J578" s="29">
        <f t="shared" si="341"/>
        <v>-2.3891567642510383</v>
      </c>
      <c r="K578" s="26">
        <f t="shared" si="304"/>
        <v>-3.522590909319935</v>
      </c>
      <c r="L578" s="26">
        <f t="shared" si="305"/>
        <v>2.8676240766723489E-2</v>
      </c>
      <c r="M578" s="26">
        <f t="shared" si="306"/>
        <v>-1.5130024329644607</v>
      </c>
      <c r="N578" s="26">
        <f t="shared" si="307"/>
        <v>0.18049425892798118</v>
      </c>
      <c r="O578" s="26">
        <f t="shared" si="308"/>
        <v>-1.4076758108122938</v>
      </c>
      <c r="P578" s="26">
        <f t="shared" si="309"/>
        <v>0.19660090084466339</v>
      </c>
      <c r="Q578" s="26">
        <f t="shared" si="310"/>
        <v>1.9325957106466583E-2</v>
      </c>
      <c r="R578" s="26">
        <f t="shared" si="311"/>
        <v>-8.8463779208489868</v>
      </c>
      <c r="S578" s="26">
        <f t="shared" si="312"/>
        <v>1.4388131314448224E-4</v>
      </c>
      <c r="T578" s="26">
        <f t="shared" si="313"/>
        <v>1.4585912681481348</v>
      </c>
      <c r="U578" s="26">
        <f t="shared" si="314"/>
        <v>0.8113171183579091</v>
      </c>
      <c r="V578" s="26">
        <f t="shared" si="315"/>
        <v>1.3576923394742999</v>
      </c>
      <c r="W578" s="26">
        <f t="shared" si="316"/>
        <v>0.79538438642871967</v>
      </c>
      <c r="X578" s="26">
        <f t="shared" si="317"/>
        <v>2.0933774658575759E-2</v>
      </c>
      <c r="Y578" s="26">
        <f t="shared" si="318"/>
        <v>1.7043792330748451</v>
      </c>
      <c r="Z578" s="26">
        <f t="shared" si="319"/>
        <v>0.84610582285345537</v>
      </c>
      <c r="AA578" s="26">
        <f t="shared" si="320"/>
        <v>-4.8763091029683903</v>
      </c>
      <c r="AB578" s="26">
        <f t="shared" si="321"/>
        <v>7.5674033836496835E-3</v>
      </c>
      <c r="AC578" s="26">
        <f t="shared" si="322"/>
        <v>2.0150195589268955</v>
      </c>
      <c r="AD578" s="26">
        <f t="shared" si="323"/>
        <v>0.88236503804760424</v>
      </c>
      <c r="AE578" s="26">
        <f t="shared" si="324"/>
        <v>6.9189921367707984E-3</v>
      </c>
      <c r="AF578" s="26">
        <f t="shared" si="325"/>
        <v>-3.6194077784542076</v>
      </c>
      <c r="AG578" s="26">
        <f t="shared" si="326"/>
        <v>2.6099123985813578E-2</v>
      </c>
      <c r="AH578" s="26">
        <f t="shared" si="327"/>
        <v>-1.9047154018557946</v>
      </c>
      <c r="AI578" s="26">
        <f t="shared" si="328"/>
        <v>0.12957571417908156</v>
      </c>
      <c r="AJ578" s="26">
        <f t="shared" si="329"/>
        <v>-1.6560907970570256</v>
      </c>
      <c r="AK578" s="26">
        <f t="shared" si="330"/>
        <v>0.160287459151017</v>
      </c>
      <c r="AL578" s="26">
        <f t="shared" si="331"/>
        <v>1.2846034780544472E-2</v>
      </c>
      <c r="AM578" s="27">
        <f t="shared" si="332"/>
        <v>6.0024758682357612E-2</v>
      </c>
    </row>
    <row r="579" spans="1:39" ht="15" customHeight="1" x14ac:dyDescent="0.2">
      <c r="A579" s="24">
        <v>568</v>
      </c>
      <c r="B579" s="29">
        <f t="shared" si="333"/>
        <v>5.2323485223907635</v>
      </c>
      <c r="C579" s="29">
        <f t="shared" si="334"/>
        <v>-5.3265939983605186</v>
      </c>
      <c r="D579" s="29">
        <f t="shared" si="335"/>
        <v>-3.5216543110013396</v>
      </c>
      <c r="E579" s="29">
        <f t="shared" si="336"/>
        <v>-3.3741182806429513</v>
      </c>
      <c r="F579" s="29">
        <f t="shared" si="337"/>
        <v>2.983896553986864</v>
      </c>
      <c r="G579" s="29">
        <f t="shared" si="338"/>
        <v>-1.5214845370180767</v>
      </c>
      <c r="H579" s="29">
        <f t="shared" si="339"/>
        <v>5.1728170608438786</v>
      </c>
      <c r="I579" s="29">
        <f t="shared" si="340"/>
        <v>4.6360238436906203</v>
      </c>
      <c r="J579" s="29">
        <f t="shared" si="341"/>
        <v>-2.3962726817762268</v>
      </c>
      <c r="K579" s="26">
        <f t="shared" si="304"/>
        <v>-3.5216543110013396</v>
      </c>
      <c r="L579" s="26">
        <f t="shared" si="305"/>
        <v>2.8702340215185303E-2</v>
      </c>
      <c r="M579" s="26">
        <f t="shared" si="306"/>
        <v>-1.5214845370180767</v>
      </c>
      <c r="N579" s="26">
        <f t="shared" si="307"/>
        <v>0.17924301780070517</v>
      </c>
      <c r="O579" s="26">
        <f t="shared" si="308"/>
        <v>-1.4168258222858394</v>
      </c>
      <c r="P579" s="26">
        <f t="shared" si="309"/>
        <v>0.19515967684948163</v>
      </c>
      <c r="Q579" s="26">
        <f t="shared" si="310"/>
        <v>1.9043649733997046E-2</v>
      </c>
      <c r="R579" s="26">
        <f t="shared" si="311"/>
        <v>-8.8482483093618587</v>
      </c>
      <c r="S579" s="26">
        <f t="shared" si="312"/>
        <v>1.4361248931815337E-4</v>
      </c>
      <c r="T579" s="26">
        <f t="shared" si="313"/>
        <v>1.4624120169687873</v>
      </c>
      <c r="U579" s="26">
        <f t="shared" si="314"/>
        <v>0.81190130931346938</v>
      </c>
      <c r="V579" s="26">
        <f t="shared" si="315"/>
        <v>1.3684640280595457</v>
      </c>
      <c r="W579" s="26">
        <f t="shared" si="316"/>
        <v>0.79713188084020203</v>
      </c>
      <c r="X579" s="26">
        <f t="shared" si="317"/>
        <v>2.0577736885716992E-2</v>
      </c>
      <c r="Y579" s="26">
        <f t="shared" si="318"/>
        <v>1.7106942113894239</v>
      </c>
      <c r="Z579" s="26">
        <f t="shared" si="319"/>
        <v>0.84692630496129917</v>
      </c>
      <c r="AA579" s="26">
        <f t="shared" si="320"/>
        <v>-4.895602817661028</v>
      </c>
      <c r="AB579" s="26">
        <f t="shared" si="321"/>
        <v>7.4238730410388851E-3</v>
      </c>
      <c r="AC579" s="26">
        <f t="shared" si="322"/>
        <v>2.019139410235836</v>
      </c>
      <c r="AD579" s="26">
        <f t="shared" si="323"/>
        <v>0.88279199298145961</v>
      </c>
      <c r="AE579" s="26">
        <f t="shared" si="324"/>
        <v>6.8688584546291072E-3</v>
      </c>
      <c r="AF579" s="26">
        <f t="shared" si="325"/>
        <v>-3.6158997869710947</v>
      </c>
      <c r="AG579" s="26">
        <f t="shared" si="326"/>
        <v>2.618843836022269E-2</v>
      </c>
      <c r="AH579" s="26">
        <f t="shared" si="327"/>
        <v>-1.911706263674164</v>
      </c>
      <c r="AI579" s="26">
        <f t="shared" si="328"/>
        <v>0.12878928362896175</v>
      </c>
      <c r="AJ579" s="26">
        <f t="shared" si="329"/>
        <v>-1.6637344913139078</v>
      </c>
      <c r="AK579" s="26">
        <f t="shared" si="330"/>
        <v>0.15926132266702217</v>
      </c>
      <c r="AL579" s="26">
        <f t="shared" si="331"/>
        <v>1.2682084448824675E-2</v>
      </c>
      <c r="AM579" s="27">
        <f t="shared" si="332"/>
        <v>5.9172329523167817E-2</v>
      </c>
    </row>
    <row r="580" spans="1:39" ht="15" customHeight="1" x14ac:dyDescent="0.2">
      <c r="A580" s="24">
        <v>569</v>
      </c>
      <c r="B580" s="29">
        <f t="shared" si="333"/>
        <v>5.2376682850732141</v>
      </c>
      <c r="C580" s="29">
        <f t="shared" si="334"/>
        <v>-5.3293827833809368</v>
      </c>
      <c r="D580" s="29">
        <f t="shared" si="335"/>
        <v>-3.5207308361638496</v>
      </c>
      <c r="E580" s="29">
        <f t="shared" si="336"/>
        <v>-3.3847965035484986</v>
      </c>
      <c r="F580" s="29">
        <f t="shared" si="337"/>
        <v>2.9960309976383943</v>
      </c>
      <c r="G580" s="29">
        <f t="shared" si="338"/>
        <v>-1.5298428280855492</v>
      </c>
      <c r="H580" s="29">
        <f t="shared" si="339"/>
        <v>5.181654604300638</v>
      </c>
      <c r="I580" s="29">
        <f t="shared" si="340"/>
        <v>4.6545084524879305</v>
      </c>
      <c r="J580" s="29">
        <f t="shared" si="341"/>
        <v>-2.4033176272950056</v>
      </c>
      <c r="K580" s="26">
        <f t="shared" si="304"/>
        <v>-3.5207308361638496</v>
      </c>
      <c r="L580" s="26">
        <f t="shared" si="305"/>
        <v>2.8728096531238711E-2</v>
      </c>
      <c r="M580" s="26">
        <f t="shared" si="306"/>
        <v>-1.5298428280855492</v>
      </c>
      <c r="N580" s="26">
        <f t="shared" si="307"/>
        <v>0.17801668307681198</v>
      </c>
      <c r="O580" s="26">
        <f t="shared" si="308"/>
        <v>-1.4258783975662328</v>
      </c>
      <c r="P580" s="26">
        <f t="shared" si="309"/>
        <v>0.19374169007440359</v>
      </c>
      <c r="Q580" s="26">
        <f t="shared" si="310"/>
        <v>1.8767921236443125E-2</v>
      </c>
      <c r="R580" s="26">
        <f t="shared" si="311"/>
        <v>-8.8501136195447856</v>
      </c>
      <c r="S580" s="26">
        <f t="shared" si="312"/>
        <v>1.43344895529225E-4</v>
      </c>
      <c r="T580" s="26">
        <f t="shared" si="313"/>
        <v>1.4661881695528451</v>
      </c>
      <c r="U580" s="26">
        <f t="shared" si="314"/>
        <v>0.81247731507580701</v>
      </c>
      <c r="V580" s="26">
        <f t="shared" si="315"/>
        <v>1.3791076669179598</v>
      </c>
      <c r="W580" s="26">
        <f t="shared" si="316"/>
        <v>0.79884764941006781</v>
      </c>
      <c r="X580" s="26">
        <f t="shared" si="317"/>
        <v>2.0231134073927497E-2</v>
      </c>
      <c r="Y580" s="26">
        <f t="shared" si="318"/>
        <v>1.7169374489093645</v>
      </c>
      <c r="Z580" s="26">
        <f t="shared" si="319"/>
        <v>0.84773393971277711</v>
      </c>
      <c r="AA580" s="26">
        <f t="shared" si="320"/>
        <v>-4.9146393316340475</v>
      </c>
      <c r="AB580" s="26">
        <f t="shared" si="321"/>
        <v>7.2849048465539997E-3</v>
      </c>
      <c r="AC580" s="26">
        <f t="shared" si="322"/>
        <v>2.0232544958234815</v>
      </c>
      <c r="AD580" s="26">
        <f t="shared" si="323"/>
        <v>0.8832171118246519</v>
      </c>
      <c r="AE580" s="26">
        <f t="shared" si="324"/>
        <v>6.8191214852879297E-3</v>
      </c>
      <c r="AF580" s="26">
        <f t="shared" si="325"/>
        <v>-3.6124453344715723</v>
      </c>
      <c r="AG580" s="26">
        <f t="shared" si="326"/>
        <v>2.6276680237532893E-2</v>
      </c>
      <c r="AH580" s="26">
        <f t="shared" si="327"/>
        <v>-1.9186083339956534</v>
      </c>
      <c r="AI580" s="26">
        <f t="shared" si="328"/>
        <v>0.12801683553867801</v>
      </c>
      <c r="AJ580" s="26">
        <f t="shared" si="329"/>
        <v>-1.6713055030809236</v>
      </c>
      <c r="AK580" s="26">
        <f t="shared" si="330"/>
        <v>0.15825019900273762</v>
      </c>
      <c r="AL580" s="26">
        <f t="shared" si="331"/>
        <v>1.252156274220303E-2</v>
      </c>
      <c r="AM580" s="27">
        <f t="shared" si="332"/>
        <v>5.8339739537861583E-2</v>
      </c>
    </row>
    <row r="581" spans="1:39" ht="15" customHeight="1" x14ac:dyDescent="0.2">
      <c r="A581" s="24">
        <v>570</v>
      </c>
      <c r="B581" s="29">
        <f t="shared" si="333"/>
        <v>5.2429302122065611</v>
      </c>
      <c r="C581" s="29">
        <f t="shared" si="334"/>
        <v>-5.3321535483767972</v>
      </c>
      <c r="D581" s="29">
        <f t="shared" si="335"/>
        <v>-3.5198204928565939</v>
      </c>
      <c r="E581" s="29">
        <f t="shared" si="336"/>
        <v>-3.3953437274773202</v>
      </c>
      <c r="F581" s="29">
        <f t="shared" si="337"/>
        <v>3.0080003429178603</v>
      </c>
      <c r="G581" s="29">
        <f t="shared" si="338"/>
        <v>-1.5380799167230241</v>
      </c>
      <c r="H581" s="29">
        <f t="shared" si="339"/>
        <v>5.1904473130861311</v>
      </c>
      <c r="I581" s="29">
        <f t="shared" si="340"/>
        <v>4.6727720360902696</v>
      </c>
      <c r="J581" s="29">
        <f t="shared" si="341"/>
        <v>-2.4102925407351279</v>
      </c>
      <c r="K581" s="26">
        <f t="shared" si="304"/>
        <v>-3.5198204928565939</v>
      </c>
      <c r="L581" s="26">
        <f t="shared" si="305"/>
        <v>2.8753508552591549E-2</v>
      </c>
      <c r="M581" s="26">
        <f t="shared" si="306"/>
        <v>-1.5380799167230241</v>
      </c>
      <c r="N581" s="26">
        <f t="shared" si="307"/>
        <v>0.17681457176223286</v>
      </c>
      <c r="O581" s="26">
        <f t="shared" si="308"/>
        <v>-1.434834783022692</v>
      </c>
      <c r="P581" s="26">
        <f t="shared" si="309"/>
        <v>0.19234648661698858</v>
      </c>
      <c r="Q581" s="26">
        <f t="shared" si="310"/>
        <v>1.8498585456949684E-2</v>
      </c>
      <c r="R581" s="26">
        <f t="shared" si="311"/>
        <v>-8.8519740412333903</v>
      </c>
      <c r="S581" s="26">
        <f t="shared" si="312"/>
        <v>1.4307849961429103E-4</v>
      </c>
      <c r="T581" s="26">
        <f t="shared" si="313"/>
        <v>1.4699204261948362</v>
      </c>
      <c r="U581" s="26">
        <f t="shared" si="314"/>
        <v>0.81304529090432742</v>
      </c>
      <c r="V581" s="26">
        <f t="shared" si="315"/>
        <v>1.3896254000913753</v>
      </c>
      <c r="W581" s="26">
        <f t="shared" si="316"/>
        <v>0.80053243367592464</v>
      </c>
      <c r="X581" s="26">
        <f t="shared" si="317"/>
        <v>1.9893655007624703E-2</v>
      </c>
      <c r="Y581" s="26">
        <f t="shared" si="318"/>
        <v>1.7231097193499672</v>
      </c>
      <c r="Z581" s="26">
        <f t="shared" si="319"/>
        <v>0.84852895434484887</v>
      </c>
      <c r="AA581" s="26">
        <f t="shared" si="320"/>
        <v>-4.9334236442003441</v>
      </c>
      <c r="AB581" s="26">
        <f t="shared" si="321"/>
        <v>7.1503094774347312E-3</v>
      </c>
      <c r="AC581" s="26">
        <f t="shared" si="322"/>
        <v>2.0273640565954256</v>
      </c>
      <c r="AD581" s="26">
        <f t="shared" si="323"/>
        <v>0.88364032391953928</v>
      </c>
      <c r="AE581" s="26">
        <f t="shared" si="324"/>
        <v>6.7697871087748713E-3</v>
      </c>
      <c r="AF581" s="26">
        <f t="shared" si="325"/>
        <v>-3.6090438290268301</v>
      </c>
      <c r="AG581" s="26">
        <f t="shared" si="326"/>
        <v>2.636385227420102E-2</v>
      </c>
      <c r="AH581" s="26">
        <f t="shared" si="327"/>
        <v>-1.925423301282484</v>
      </c>
      <c r="AI581" s="26">
        <f t="shared" si="328"/>
        <v>0.12725801737129894</v>
      </c>
      <c r="AJ581" s="26">
        <f t="shared" si="329"/>
        <v>-1.6788046495950062</v>
      </c>
      <c r="AK581" s="26">
        <f t="shared" si="330"/>
        <v>0.15725381786846529</v>
      </c>
      <c r="AL581" s="26">
        <f t="shared" si="331"/>
        <v>1.2364381617104226E-2</v>
      </c>
      <c r="AM581" s="27">
        <f t="shared" si="332"/>
        <v>5.7526409190453487E-2</v>
      </c>
    </row>
    <row r="582" spans="1:39" ht="15" customHeight="1" x14ac:dyDescent="0.2">
      <c r="A582" s="24">
        <v>571</v>
      </c>
      <c r="B582" s="29">
        <f t="shared" si="333"/>
        <v>5.2481350829555877</v>
      </c>
      <c r="C582" s="29">
        <f t="shared" si="334"/>
        <v>-5.3349064736774645</v>
      </c>
      <c r="D582" s="29">
        <f t="shared" si="335"/>
        <v>-3.518923275911249</v>
      </c>
      <c r="E582" s="29">
        <f t="shared" si="336"/>
        <v>-3.4057622988459819</v>
      </c>
      <c r="F582" s="29">
        <f t="shared" si="337"/>
        <v>3.0198078384992493</v>
      </c>
      <c r="G582" s="29">
        <f t="shared" si="338"/>
        <v>-1.5461983550856881</v>
      </c>
      <c r="H582" s="29">
        <f t="shared" si="339"/>
        <v>5.1991951620915628</v>
      </c>
      <c r="I582" s="29">
        <f t="shared" si="340"/>
        <v>4.690818471119675</v>
      </c>
      <c r="J582" s="29">
        <f t="shared" si="341"/>
        <v>-2.4171983607501799</v>
      </c>
      <c r="K582" s="26">
        <f t="shared" si="304"/>
        <v>-3.518923275911249</v>
      </c>
      <c r="L582" s="26">
        <f t="shared" si="305"/>
        <v>2.8778575497686434E-2</v>
      </c>
      <c r="M582" s="26">
        <f t="shared" si="306"/>
        <v>-1.5461983550856881</v>
      </c>
      <c r="N582" s="26">
        <f t="shared" si="307"/>
        <v>0.17563602219256791</v>
      </c>
      <c r="O582" s="26">
        <f t="shared" si="308"/>
        <v>-1.4436962331558392</v>
      </c>
      <c r="P582" s="26">
        <f t="shared" si="309"/>
        <v>0.19097361817758426</v>
      </c>
      <c r="Q582" s="26">
        <f t="shared" si="310"/>
        <v>1.8235461419918872E-2</v>
      </c>
      <c r="R582" s="26">
        <f t="shared" si="311"/>
        <v>-8.8538297495887139</v>
      </c>
      <c r="S582" s="26">
        <f t="shared" si="312"/>
        <v>1.4281327173463126E-4</v>
      </c>
      <c r="T582" s="26">
        <f t="shared" si="313"/>
        <v>1.4736094834135611</v>
      </c>
      <c r="U582" s="26">
        <f t="shared" si="314"/>
        <v>0.8136053899011928</v>
      </c>
      <c r="V582" s="26">
        <f t="shared" si="315"/>
        <v>1.4000193444723457</v>
      </c>
      <c r="W582" s="26">
        <f t="shared" si="316"/>
        <v>0.80218695821624897</v>
      </c>
      <c r="X582" s="26">
        <f t="shared" si="317"/>
        <v>1.9564999749870016E-2</v>
      </c>
      <c r="Y582" s="26">
        <f t="shared" si="318"/>
        <v>1.7292118070443387</v>
      </c>
      <c r="Z582" s="26">
        <f t="shared" si="319"/>
        <v>0.84931157396779033</v>
      </c>
      <c r="AA582" s="26">
        <f t="shared" si="320"/>
        <v>-4.9519606539316703</v>
      </c>
      <c r="AB582" s="26">
        <f t="shared" si="321"/>
        <v>7.0199069476820537E-3</v>
      </c>
      <c r="AC582" s="26">
        <f t="shared" si="322"/>
        <v>2.0314673749072547</v>
      </c>
      <c r="AD582" s="26">
        <f t="shared" si="323"/>
        <v>0.88406156382013179</v>
      </c>
      <c r="AE582" s="26">
        <f t="shared" si="324"/>
        <v>6.7208604919166866E-3</v>
      </c>
      <c r="AF582" s="26">
        <f t="shared" si="325"/>
        <v>-3.6056946666331258</v>
      </c>
      <c r="AG582" s="26">
        <f t="shared" si="326"/>
        <v>2.644995775970381E-2</v>
      </c>
      <c r="AH582" s="26">
        <f t="shared" si="327"/>
        <v>-1.9321528154324208</v>
      </c>
      <c r="AI582" s="26">
        <f t="shared" si="328"/>
        <v>0.12651248743292925</v>
      </c>
      <c r="AJ582" s="26">
        <f t="shared" si="329"/>
        <v>-1.6862327554507215</v>
      </c>
      <c r="AK582" s="26">
        <f t="shared" si="330"/>
        <v>0.15627191213669911</v>
      </c>
      <c r="AL582" s="26">
        <f t="shared" si="331"/>
        <v>1.2210455261430104E-2</v>
      </c>
      <c r="AM582" s="27">
        <f t="shared" si="332"/>
        <v>5.673177692313567E-2</v>
      </c>
    </row>
    <row r="583" spans="1:39" ht="15" customHeight="1" x14ac:dyDescent="0.2">
      <c r="A583" s="24">
        <v>572</v>
      </c>
      <c r="B583" s="29">
        <f t="shared" si="333"/>
        <v>5.2532836731517403</v>
      </c>
      <c r="C583" s="29">
        <f t="shared" si="334"/>
        <v>-5.3376417381102081</v>
      </c>
      <c r="D583" s="29">
        <f t="shared" si="335"/>
        <v>-3.5180391678582716</v>
      </c>
      <c r="E583" s="29">
        <f t="shared" si="336"/>
        <v>-3.4160545217576352</v>
      </c>
      <c r="F583" s="29">
        <f t="shared" si="337"/>
        <v>3.0314566706311932</v>
      </c>
      <c r="G583" s="29">
        <f t="shared" si="338"/>
        <v>-1.5542006375612694</v>
      </c>
      <c r="H583" s="29">
        <f t="shared" si="339"/>
        <v>5.2078981468019236</v>
      </c>
      <c r="I583" s="29">
        <f t="shared" si="340"/>
        <v>4.7086515725307478</v>
      </c>
      <c r="J583" s="29">
        <f t="shared" si="341"/>
        <v>-2.4240360234892506</v>
      </c>
      <c r="K583" s="26">
        <f t="shared" si="304"/>
        <v>-3.5180391678582716</v>
      </c>
      <c r="L583" s="26">
        <f t="shared" si="305"/>
        <v>2.8803296941689316E-2</v>
      </c>
      <c r="M583" s="26">
        <f t="shared" si="306"/>
        <v>-1.5542006375612694</v>
      </c>
      <c r="N583" s="26">
        <f t="shared" si="307"/>
        <v>0.17448039341547678</v>
      </c>
      <c r="O583" s="26">
        <f t="shared" si="308"/>
        <v>-1.4524640078932731</v>
      </c>
      <c r="P583" s="26">
        <f t="shared" si="309"/>
        <v>0.18962264243633226</v>
      </c>
      <c r="Q583" s="26">
        <f t="shared" si="310"/>
        <v>1.7978373262268556E-2</v>
      </c>
      <c r="R583" s="26">
        <f t="shared" si="311"/>
        <v>-8.8556809059684802</v>
      </c>
      <c r="S583" s="26">
        <f t="shared" si="312"/>
        <v>1.4254918423027774E-4</v>
      </c>
      <c r="T583" s="26">
        <f t="shared" si="313"/>
        <v>1.4772560330699238</v>
      </c>
      <c r="U583" s="26">
        <f t="shared" si="314"/>
        <v>0.81415776291424602</v>
      </c>
      <c r="V583" s="26">
        <f t="shared" si="315"/>
        <v>1.4102915887774108</v>
      </c>
      <c r="W583" s="26">
        <f t="shared" si="316"/>
        <v>0.80381193076543389</v>
      </c>
      <c r="X583" s="26">
        <f t="shared" si="317"/>
        <v>1.9244879254993453E-2</v>
      </c>
      <c r="Y583" s="26">
        <f t="shared" si="318"/>
        <v>1.7352445052934686</v>
      </c>
      <c r="Z583" s="26">
        <f t="shared" si="319"/>
        <v>0.85008202138827471</v>
      </c>
      <c r="AA583" s="26">
        <f t="shared" si="320"/>
        <v>-4.9702551593189046</v>
      </c>
      <c r="AB583" s="26">
        <f t="shared" si="321"/>
        <v>6.8935260907693431E-3</v>
      </c>
      <c r="AC583" s="26">
        <f t="shared" si="322"/>
        <v>2.0355637727959612</v>
      </c>
      <c r="AD583" s="26">
        <f t="shared" si="323"/>
        <v>0.88448077103594391</v>
      </c>
      <c r="AE583" s="26">
        <f t="shared" si="324"/>
        <v>6.672346130225007E-3</v>
      </c>
      <c r="AF583" s="26">
        <f t="shared" si="325"/>
        <v>-3.6023972328167395</v>
      </c>
      <c r="AG583" s="26">
        <f t="shared" si="326"/>
        <v>2.6535000576584922E-2</v>
      </c>
      <c r="AH583" s="26">
        <f t="shared" si="327"/>
        <v>-1.9387984886877114</v>
      </c>
      <c r="AI583" s="26">
        <f t="shared" si="328"/>
        <v>0.12577991449828355</v>
      </c>
      <c r="AJ583" s="26">
        <f t="shared" si="329"/>
        <v>-1.6935906509659402</v>
      </c>
      <c r="AK583" s="26">
        <f t="shared" si="330"/>
        <v>0.15530421801909902</v>
      </c>
      <c r="AL583" s="26">
        <f t="shared" si="331"/>
        <v>1.2059700067261921E-2</v>
      </c>
      <c r="AM583" s="27">
        <f t="shared" si="332"/>
        <v>5.5955298714748941E-2</v>
      </c>
    </row>
    <row r="584" spans="1:39" ht="15" customHeight="1" x14ac:dyDescent="0.2">
      <c r="A584" s="24">
        <v>573</v>
      </c>
      <c r="B584" s="29">
        <f t="shared" si="333"/>
        <v>5.2583767546208096</v>
      </c>
      <c r="C584" s="29">
        <f t="shared" si="334"/>
        <v>-5.3403595189602004</v>
      </c>
      <c r="D584" s="29">
        <f t="shared" si="335"/>
        <v>-3.5171681397974779</v>
      </c>
      <c r="E584" s="29">
        <f t="shared" si="336"/>
        <v>-3.4262226581086792</v>
      </c>
      <c r="F584" s="29">
        <f t="shared" si="337"/>
        <v>3.0429499630661576</v>
      </c>
      <c r="G584" s="29">
        <f t="shared" si="338"/>
        <v>-1.5620892014839514</v>
      </c>
      <c r="H584" s="29">
        <f t="shared" si="339"/>
        <v>5.2165562821834275</v>
      </c>
      <c r="I584" s="29">
        <f t="shared" si="340"/>
        <v>4.7262750928671746</v>
      </c>
      <c r="J584" s="29">
        <f t="shared" si="341"/>
        <v>-2.4308064614795653</v>
      </c>
      <c r="K584" s="26">
        <f t="shared" si="304"/>
        <v>-3.5171681397974779</v>
      </c>
      <c r="L584" s="26">
        <f t="shared" si="305"/>
        <v>2.88276727935644E-2</v>
      </c>
      <c r="M584" s="26">
        <f t="shared" si="306"/>
        <v>-1.5620892014839514</v>
      </c>
      <c r="N584" s="26">
        <f t="shared" si="307"/>
        <v>0.17334706457849336</v>
      </c>
      <c r="O584" s="26">
        <f t="shared" si="308"/>
        <v>-1.4611393701285977</v>
      </c>
      <c r="P584" s="26">
        <f t="shared" si="309"/>
        <v>0.18829312337547791</v>
      </c>
      <c r="Q584" s="26">
        <f t="shared" si="310"/>
        <v>1.7727150155246472E-2</v>
      </c>
      <c r="R584" s="26">
        <f t="shared" si="311"/>
        <v>-8.8575276587576788</v>
      </c>
      <c r="S584" s="26">
        <f t="shared" si="312"/>
        <v>1.4228621148155678E-4</v>
      </c>
      <c r="T584" s="26">
        <f t="shared" si="313"/>
        <v>1.4808607615822063</v>
      </c>
      <c r="U584" s="26">
        <f t="shared" si="314"/>
        <v>0.81470255845581285</v>
      </c>
      <c r="V584" s="26">
        <f t="shared" si="315"/>
        <v>1.4204441926756783</v>
      </c>
      <c r="W584" s="26">
        <f t="shared" si="316"/>
        <v>0.8054080423618909</v>
      </c>
      <c r="X584" s="26">
        <f t="shared" si="317"/>
        <v>1.8933014988715823E-2</v>
      </c>
      <c r="Y584" s="26">
        <f t="shared" si="318"/>
        <v>1.7412086148233317</v>
      </c>
      <c r="Z584" s="26">
        <f t="shared" si="319"/>
        <v>0.85084051695192298</v>
      </c>
      <c r="AA584" s="26">
        <f t="shared" si="320"/>
        <v>-4.9883118595926303</v>
      </c>
      <c r="AB584" s="26">
        <f t="shared" si="321"/>
        <v>6.7710040731694529E-3</v>
      </c>
      <c r="AC584" s="26">
        <f t="shared" si="322"/>
        <v>2.0396526102669066</v>
      </c>
      <c r="AD584" s="26">
        <f t="shared" si="323"/>
        <v>0.88489788978527151</v>
      </c>
      <c r="AE584" s="26">
        <f t="shared" si="324"/>
        <v>6.6242478879417529E-3</v>
      </c>
      <c r="AF584" s="26">
        <f t="shared" si="325"/>
        <v>-3.5991509041368688</v>
      </c>
      <c r="AG584" s="26">
        <f t="shared" si="326"/>
        <v>2.6618985162129023E-2</v>
      </c>
      <c r="AH584" s="26">
        <f t="shared" si="327"/>
        <v>-1.945361896526473</v>
      </c>
      <c r="AI584" s="26">
        <f t="shared" si="328"/>
        <v>0.12505997744988528</v>
      </c>
      <c r="AJ584" s="26">
        <f t="shared" si="329"/>
        <v>-1.7008791706707904</v>
      </c>
      <c r="AK584" s="26">
        <f t="shared" si="330"/>
        <v>0.15435047522008358</v>
      </c>
      <c r="AL584" s="26">
        <f t="shared" si="331"/>
        <v>1.1912034600332817E-2</v>
      </c>
      <c r="AM584" s="27">
        <f t="shared" si="332"/>
        <v>5.519644763223687E-2</v>
      </c>
    </row>
    <row r="585" spans="1:39" ht="15" customHeight="1" x14ac:dyDescent="0.2">
      <c r="A585" s="24">
        <v>574</v>
      </c>
      <c r="B585" s="29">
        <f t="shared" si="333"/>
        <v>5.2634150945684164</v>
      </c>
      <c r="C585" s="29">
        <f t="shared" si="334"/>
        <v>-5.3430599919351431</v>
      </c>
      <c r="D585" s="29">
        <f t="shared" si="335"/>
        <v>-3.5163101522243254</v>
      </c>
      <c r="E585" s="29">
        <f t="shared" si="336"/>
        <v>-3.4362689277674376</v>
      </c>
      <c r="F585" s="29">
        <f t="shared" si="337"/>
        <v>3.0542907771482786</v>
      </c>
      <c r="G585" s="29">
        <f t="shared" si="338"/>
        <v>-1.5698664279174208</v>
      </c>
      <c r="H585" s="29">
        <f t="shared" si="339"/>
        <v>5.2251696016155078</v>
      </c>
      <c r="I585" s="29">
        <f t="shared" si="340"/>
        <v>4.7436927217197189</v>
      </c>
      <c r="J585" s="29">
        <f t="shared" si="341"/>
        <v>-2.4375106026143216</v>
      </c>
      <c r="K585" s="26">
        <f t="shared" si="304"/>
        <v>-3.5163101522243254</v>
      </c>
      <c r="L585" s="26">
        <f t="shared" si="305"/>
        <v>2.8851703274210671E-2</v>
      </c>
      <c r="M585" s="26">
        <f t="shared" si="306"/>
        <v>-1.5698664279174208</v>
      </c>
      <c r="N585" s="26">
        <f t="shared" si="307"/>
        <v>0.1722354343239991</v>
      </c>
      <c r="O585" s="26">
        <f t="shared" si="308"/>
        <v>-1.4697235834860962</v>
      </c>
      <c r="P585" s="26">
        <f t="shared" si="309"/>
        <v>0.18698463155196143</v>
      </c>
      <c r="Q585" s="26">
        <f t="shared" si="310"/>
        <v>1.7481626218311386E-2</v>
      </c>
      <c r="R585" s="26">
        <f t="shared" si="311"/>
        <v>-8.8593701441594686</v>
      </c>
      <c r="S585" s="26">
        <f t="shared" si="312"/>
        <v>1.4202432977785567E-4</v>
      </c>
      <c r="T585" s="26">
        <f t="shared" si="313"/>
        <v>1.4844243492308578</v>
      </c>
      <c r="U585" s="26">
        <f t="shared" si="314"/>
        <v>0.81523992263588041</v>
      </c>
      <c r="V585" s="26">
        <f t="shared" si="315"/>
        <v>1.4304791860594959</v>
      </c>
      <c r="W585" s="26">
        <f t="shared" si="316"/>
        <v>0.80697596752504086</v>
      </c>
      <c r="X585" s="26">
        <f t="shared" si="317"/>
        <v>1.8629138556447041E-2</v>
      </c>
      <c r="Y585" s="26">
        <f t="shared" si="318"/>
        <v>1.747104942344091</v>
      </c>
      <c r="Z585" s="26">
        <f t="shared" si="319"/>
        <v>0.85158727840399295</v>
      </c>
      <c r="AA585" s="26">
        <f t="shared" si="320"/>
        <v>-5.006135355684858</v>
      </c>
      <c r="AB585" s="26">
        <f t="shared" si="321"/>
        <v>6.6521859368114718E-3</v>
      </c>
      <c r="AC585" s="26">
        <f t="shared" si="322"/>
        <v>2.0437332836366835</v>
      </c>
      <c r="AD585" s="26">
        <f t="shared" si="323"/>
        <v>0.88531286875783932</v>
      </c>
      <c r="AE585" s="26">
        <f t="shared" si="324"/>
        <v>6.5765690362782937E-3</v>
      </c>
      <c r="AF585" s="26">
        <f t="shared" si="325"/>
        <v>-3.5959550495910522</v>
      </c>
      <c r="AG585" s="26">
        <f t="shared" si="326"/>
        <v>2.6701916471639425E-2</v>
      </c>
      <c r="AH585" s="26">
        <f t="shared" si="327"/>
        <v>-1.9518445785365799</v>
      </c>
      <c r="AI585" s="26">
        <f t="shared" si="328"/>
        <v>0.12435236493040065</v>
      </c>
      <c r="AJ585" s="26">
        <f t="shared" si="329"/>
        <v>-1.708099151912859</v>
      </c>
      <c r="AK585" s="26">
        <f t="shared" si="330"/>
        <v>0.15341042706886998</v>
      </c>
      <c r="AL585" s="26">
        <f t="shared" si="331"/>
        <v>1.1767379566726537E-2</v>
      </c>
      <c r="AM585" s="27">
        <f t="shared" si="332"/>
        <v>5.4454713377763253E-2</v>
      </c>
    </row>
    <row r="586" spans="1:39" ht="15" customHeight="1" x14ac:dyDescent="0.2">
      <c r="A586" s="24">
        <v>575</v>
      </c>
      <c r="B586" s="29">
        <f t="shared" si="333"/>
        <v>5.2683994550198845</v>
      </c>
      <c r="C586" s="29">
        <f t="shared" si="334"/>
        <v>-5.3457433311342157</v>
      </c>
      <c r="D586" s="29">
        <f t="shared" si="335"/>
        <v>-3.5154651558133265</v>
      </c>
      <c r="E586" s="29">
        <f t="shared" si="336"/>
        <v>-3.4461955088175369</v>
      </c>
      <c r="F586" s="29">
        <f t="shared" si="337"/>
        <v>3.0654821120422606</v>
      </c>
      <c r="G586" s="29">
        <f t="shared" si="338"/>
        <v>-1.5775346424968353</v>
      </c>
      <c r="H586" s="29">
        <f t="shared" si="339"/>
        <v>5.2337381558664031</v>
      </c>
      <c r="I586" s="29">
        <f t="shared" si="340"/>
        <v>4.7609080853668075</v>
      </c>
      <c r="J586" s="29">
        <f t="shared" si="341"/>
        <v>-2.4441493692383744</v>
      </c>
      <c r="K586" s="26">
        <f t="shared" si="304"/>
        <v>-3.5154651558133265</v>
      </c>
      <c r="L586" s="26">
        <f t="shared" si="305"/>
        <v>2.887538889563308E-2</v>
      </c>
      <c r="M586" s="26">
        <f t="shared" si="306"/>
        <v>-1.5775346424968353</v>
      </c>
      <c r="N586" s="26">
        <f t="shared" si="307"/>
        <v>0.17114492019282646</v>
      </c>
      <c r="O586" s="26">
        <f t="shared" si="308"/>
        <v>-1.478217910294334</v>
      </c>
      <c r="P586" s="26">
        <f t="shared" si="309"/>
        <v>0.18569674432489583</v>
      </c>
      <c r="Q586" s="26">
        <f t="shared" si="310"/>
        <v>1.7241640426432867E-2</v>
      </c>
      <c r="R586" s="26">
        <f t="shared" si="311"/>
        <v>-8.8612084869475432</v>
      </c>
      <c r="S586" s="26">
        <f t="shared" si="312"/>
        <v>1.4176351719334771E-4</v>
      </c>
      <c r="T586" s="26">
        <f t="shared" si="313"/>
        <v>1.4879474695454253</v>
      </c>
      <c r="U586" s="26">
        <f t="shared" si="314"/>
        <v>0.81576999910827386</v>
      </c>
      <c r="V586" s="26">
        <f t="shared" si="315"/>
        <v>1.4403985684449245</v>
      </c>
      <c r="W586" s="26">
        <f t="shared" si="316"/>
        <v>0.80851636445739816</v>
      </c>
      <c r="X586" s="26">
        <f t="shared" si="317"/>
        <v>1.8332991340305985E-2</v>
      </c>
      <c r="Y586" s="26">
        <f t="shared" si="318"/>
        <v>1.752934299206558</v>
      </c>
      <c r="Z586" s="26">
        <f t="shared" si="319"/>
        <v>0.85232252076694304</v>
      </c>
      <c r="AA586" s="26">
        <f t="shared" si="320"/>
        <v>-5.0237301513143722</v>
      </c>
      <c r="AB586" s="26">
        <f t="shared" si="321"/>
        <v>6.5369241686917302E-3</v>
      </c>
      <c r="AC586" s="26">
        <f t="shared" si="322"/>
        <v>2.047805223931964</v>
      </c>
      <c r="AD586" s="26">
        <f t="shared" si="323"/>
        <v>0.88572566088672455</v>
      </c>
      <c r="AE586" s="26">
        <f t="shared" si="324"/>
        <v>6.5293122898879372E-3</v>
      </c>
      <c r="AF586" s="26">
        <f t="shared" si="325"/>
        <v>-3.5928090319276578</v>
      </c>
      <c r="AG586" s="26">
        <f t="shared" si="326"/>
        <v>2.6783799943291164E-2</v>
      </c>
      <c r="AH586" s="26">
        <f t="shared" si="327"/>
        <v>-1.9582480392721116</v>
      </c>
      <c r="AI586" s="26">
        <f t="shared" si="328"/>
        <v>0.12365677500763379</v>
      </c>
      <c r="AJ586" s="26">
        <f t="shared" si="329"/>
        <v>-1.7152514335718512</v>
      </c>
      <c r="AK586" s="26">
        <f t="shared" si="330"/>
        <v>0.15248382063168348</v>
      </c>
      <c r="AL586" s="26">
        <f t="shared" si="331"/>
        <v>1.162565777721771E-2</v>
      </c>
      <c r="AM586" s="27">
        <f t="shared" si="332"/>
        <v>5.3729601833844495E-2</v>
      </c>
    </row>
    <row r="587" spans="1:39" ht="15" customHeight="1" x14ac:dyDescent="0.2">
      <c r="A587" s="24">
        <v>576</v>
      </c>
      <c r="B587" s="29">
        <f t="shared" si="333"/>
        <v>5.2733305923112077</v>
      </c>
      <c r="C587" s="29">
        <f t="shared" si="334"/>
        <v>-5.3484097090210518</v>
      </c>
      <c r="D587" s="29">
        <f t="shared" si="335"/>
        <v>-3.514633092160063</v>
      </c>
      <c r="E587" s="29">
        <f t="shared" si="336"/>
        <v>-3.4560045378592057</v>
      </c>
      <c r="F587" s="29">
        <f t="shared" si="337"/>
        <v>3.0765269050872601</v>
      </c>
      <c r="G587" s="29">
        <f t="shared" si="338"/>
        <v>-1.5850961163204915</v>
      </c>
      <c r="H587" s="29">
        <f t="shared" si="339"/>
        <v>5.2422620121113095</v>
      </c>
      <c r="I587" s="29">
        <f t="shared" si="340"/>
        <v>4.7779247465802337</v>
      </c>
      <c r="J587" s="29">
        <f t="shared" si="341"/>
        <v>-2.4507236773248242</v>
      </c>
      <c r="K587" s="26">
        <f t="shared" si="304"/>
        <v>-3.514633092160063</v>
      </c>
      <c r="L587" s="26">
        <f t="shared" si="305"/>
        <v>2.8898730441119264E-2</v>
      </c>
      <c r="M587" s="26">
        <f t="shared" si="306"/>
        <v>-1.5850961163204915</v>
      </c>
      <c r="N587" s="26">
        <f t="shared" si="307"/>
        <v>0.17007495803772785</v>
      </c>
      <c r="O587" s="26">
        <f t="shared" si="308"/>
        <v>-1.4866236097530452</v>
      </c>
      <c r="P587" s="26">
        <f t="shared" si="309"/>
        <v>0.18442904604217572</v>
      </c>
      <c r="Q587" s="26">
        <f t="shared" si="310"/>
        <v>1.7007036512013487E-2</v>
      </c>
      <c r="R587" s="26">
        <f t="shared" si="311"/>
        <v>-8.8630428011811144</v>
      </c>
      <c r="S587" s="26">
        <f t="shared" si="312"/>
        <v>1.4150375346941424E-4</v>
      </c>
      <c r="T587" s="26">
        <f t="shared" si="313"/>
        <v>1.4914307887667686</v>
      </c>
      <c r="U587" s="26">
        <f t="shared" si="314"/>
        <v>0.8162929290285631</v>
      </c>
      <c r="V587" s="26">
        <f t="shared" si="315"/>
        <v>1.4502043084905938</v>
      </c>
      <c r="W587" s="26">
        <f t="shared" si="316"/>
        <v>0.81002987526830517</v>
      </c>
      <c r="X587" s="26">
        <f t="shared" si="317"/>
        <v>1.8044324145287848E-2</v>
      </c>
      <c r="Y587" s="26">
        <f t="shared" si="318"/>
        <v>1.7586975001511447</v>
      </c>
      <c r="Z587" s="26">
        <f t="shared" si="319"/>
        <v>0.85304645623366915</v>
      </c>
      <c r="AA587" s="26">
        <f t="shared" si="320"/>
        <v>-5.0411006541796972</v>
      </c>
      <c r="AB587" s="26">
        <f t="shared" si="321"/>
        <v>6.4250782959692073E-3</v>
      </c>
      <c r="AC587" s="26">
        <f t="shared" si="322"/>
        <v>2.0518678953441394</v>
      </c>
      <c r="AD587" s="26">
        <f t="shared" si="323"/>
        <v>0.88613622312942875</v>
      </c>
      <c r="AE587" s="26">
        <f t="shared" si="324"/>
        <v>6.4824798416156185E-3</v>
      </c>
      <c r="AF587" s="26">
        <f t="shared" si="325"/>
        <v>-3.5897122088699072</v>
      </c>
      <c r="AG587" s="26">
        <f t="shared" si="326"/>
        <v>2.6864641464527494E-2</v>
      </c>
      <c r="AH587" s="26">
        <f t="shared" si="327"/>
        <v>-1.9645737490924371</v>
      </c>
      <c r="AI587" s="26">
        <f t="shared" si="328"/>
        <v>0.12297291485172465</v>
      </c>
      <c r="AJ587" s="26">
        <f t="shared" si="329"/>
        <v>-1.7223368548771822</v>
      </c>
      <c r="AK587" s="26">
        <f t="shared" si="330"/>
        <v>0.15157040680575348</v>
      </c>
      <c r="AL587" s="26">
        <f t="shared" si="331"/>
        <v>1.1486794109630801E-2</v>
      </c>
      <c r="AM587" s="27">
        <f t="shared" si="332"/>
        <v>5.3020634608547751E-2</v>
      </c>
    </row>
    <row r="588" spans="1:39" ht="15" customHeight="1" x14ac:dyDescent="0.2">
      <c r="A588" s="24">
        <v>577</v>
      </c>
      <c r="B588" s="29">
        <f t="shared" si="333"/>
        <v>5.278209256627969</v>
      </c>
      <c r="C588" s="29">
        <f t="shared" si="334"/>
        <v>-5.3510592964004626</v>
      </c>
      <c r="D588" s="29">
        <f t="shared" si="335"/>
        <v>-3.5138138944833046</v>
      </c>
      <c r="E588" s="29">
        <f t="shared" si="336"/>
        <v>-3.4656981103622275</v>
      </c>
      <c r="F588" s="29">
        <f t="shared" si="337"/>
        <v>3.0874280322610654</v>
      </c>
      <c r="G588" s="29">
        <f t="shared" si="338"/>
        <v>-1.592553066882878</v>
      </c>
      <c r="H588" s="29">
        <f t="shared" si="339"/>
        <v>5.2507412529920101</v>
      </c>
      <c r="I588" s="29">
        <f t="shared" si="340"/>
        <v>4.794746204579825</v>
      </c>
      <c r="J588" s="29">
        <f t="shared" si="341"/>
        <v>-2.4572344357359608</v>
      </c>
      <c r="K588" s="26">
        <f t="shared" ref="K588:K651" si="342">0*B588+0*C588+D588</f>
        <v>-3.5138138944833046</v>
      </c>
      <c r="L588" s="26">
        <f t="shared" ref="L588:L651" si="343">1/(1+EXP(-K588))</f>
        <v>2.8921728946391601E-2</v>
      </c>
      <c r="M588" s="26">
        <f t="shared" ref="M588:M651" si="344">0*E588+0*F588+G588</f>
        <v>-1.592553066882878</v>
      </c>
      <c r="N588" s="26">
        <f t="shared" ref="N588:N651" si="345">1/(1+EXP(-M588))</f>
        <v>0.16902500144773552</v>
      </c>
      <c r="O588" s="26">
        <f t="shared" ref="O588:O651" si="346">L588*H588+N588*I588+J588</f>
        <v>-1.4949419362786598</v>
      </c>
      <c r="P588" s="26">
        <f t="shared" ref="P588:P651" si="347">1/(1+EXP(-O588))</f>
        <v>0.18318112819013271</v>
      </c>
      <c r="Q588" s="26">
        <f t="shared" ref="Q588:Q651" si="348">0.5*(0-P588)^2</f>
        <v>1.6777662862504917E-2</v>
      </c>
      <c r="R588" s="26">
        <f t="shared" ref="R588:R651" si="349">0*B588+1*C588+D588</f>
        <v>-8.8648731908837668</v>
      </c>
      <c r="S588" s="26">
        <f t="shared" ref="S588:S651" si="350">1/(1+EXP(-R588))</f>
        <v>1.4124501990349212E-4</v>
      </c>
      <c r="T588" s="26">
        <f t="shared" ref="T588:T651" si="351">0*E588+1*F588+G588</f>
        <v>1.4948749653781874</v>
      </c>
      <c r="U588" s="26">
        <f t="shared" ref="U588:U651" si="352">1/(1+EXP(-T588))</f>
        <v>0.81680885102252843</v>
      </c>
      <c r="V588" s="26">
        <f t="shared" ref="V588:V651" si="353">S588*H588+U588*I588+J588</f>
        <v>1.4598983436243023</v>
      </c>
      <c r="W588" s="26">
        <f t="shared" ref="W588:W651" si="354">1/(1+EXP(-V588))</f>
        <v>0.81151712621618388</v>
      </c>
      <c r="X588" s="26">
        <f t="shared" ref="X588:X651" si="355">0.5*(1-W588)^2</f>
        <v>1.7762896854902979E-2</v>
      </c>
      <c r="Y588" s="26">
        <f t="shared" ref="Y588:Y651" si="356">1*B588+0*C588+D588</f>
        <v>1.7643953621446644</v>
      </c>
      <c r="Z588" s="26">
        <f t="shared" ref="Z588:Z651" si="357">1/(1+EXP(-Y588))</f>
        <v>0.85375929407526885</v>
      </c>
      <c r="AA588" s="26">
        <f t="shared" ref="AA588:AA651" si="358">1*E588+0*F588+G588</f>
        <v>-5.058251177245106</v>
      </c>
      <c r="AB588" s="26">
        <f t="shared" ref="AB588:AB651" si="359">1/(1+EXP(-AA588))</f>
        <v>6.3165145049757484E-3</v>
      </c>
      <c r="AC588" s="26">
        <f t="shared" ref="AC588:AC651" si="360">Z588*H588+AB588*I588+J588</f>
        <v>2.055920793739296</v>
      </c>
      <c r="AD588" s="26">
        <f t="shared" ref="AD588:AD651" si="361">1/(1+EXP(-AC588))</f>
        <v>0.88654451625793973</v>
      </c>
      <c r="AE588" s="26">
        <f t="shared" ref="AE588:AE651" si="362">0.5*(1-AD588)^2</f>
        <v>6.4360733955724512E-3</v>
      </c>
      <c r="AF588" s="26">
        <f t="shared" ref="AF588:AF651" si="363">1*B588+1*C588+D588</f>
        <v>-3.5866639342557982</v>
      </c>
      <c r="AG588" s="26">
        <f t="shared" ref="AG588:AG651" si="364">1/(1+EXP(-AF588))</f>
        <v>2.6944447339964841E-2</v>
      </c>
      <c r="AH588" s="26">
        <f t="shared" ref="AH588:AH651" si="365">1*E588+1*F588+G588</f>
        <v>-1.9708231449840401</v>
      </c>
      <c r="AI588" s="26">
        <f t="shared" ref="AI588:AI651" si="366">1/(1+EXP(-AH588))</f>
        <v>0.12230050042410491</v>
      </c>
      <c r="AJ588" s="26">
        <f t="shared" ref="AJ588:AJ651" si="367">AG588*H588+AI588*I588+J588</f>
        <v>-1.7293562543222463</v>
      </c>
      <c r="AK588" s="26">
        <f t="shared" ref="AK588:AK651" si="368">1/(1+EXP(-AJ588))</f>
        <v>0.15066994039661177</v>
      </c>
      <c r="AL588" s="26">
        <f t="shared" ref="AL588:AL651" si="369">0.5*(0-AK588)^2</f>
        <v>1.1350715469559272E-2</v>
      </c>
      <c r="AM588" s="27">
        <f t="shared" ref="AM588:AM651" si="370">Q588+X588+AE588+AL588</f>
        <v>5.2327348582539616E-2</v>
      </c>
    </row>
    <row r="589" spans="1:39" ht="15" customHeight="1" x14ac:dyDescent="0.2">
      <c r="A589" s="24">
        <v>578</v>
      </c>
      <c r="B589" s="29">
        <f t="shared" ref="B589:B652" si="371">B588-$C$6*(((((P588)-0)*(P588)*(1-(P588)))*H588*(L588)*(1-(L588))*0)+((((W588)-1)*(W588)*(1-(W588)))*H588*(S588)*(1-(S588))*0)+((((AD588)-1)*(AD588)*(1-(AD588)))*H588*(Z588)*(1-(Z588))*1)+((((AK588)-0)*(AK588)*(1-(AK588)))*H588*(AG588)*(1-(AG588))*1))</f>
        <v>5.2830361915892041</v>
      </c>
      <c r="C589" s="29">
        <f t="shared" ref="C589:C652" si="372">C588-$C$6*(((((P588)-0)*(P588)*(1-(P588)))*H588*(L588)*(1-(L588))*0)+((((W588)-1)*(W588)*(1-(W588)))*H588*(S588)*(1-(S588))*1)+((((AD588)-1)*(AD588)*(1-(AD588)))*H588*(Z588)*(1-(Z588))*0)+((((AK588)-0)*(AK588)*(1-(AK588)))*H588*(AG588)*(1-(AG588))*1))</f>
        <v>-5.3536922623986429</v>
      </c>
      <c r="D589" s="29">
        <f t="shared" ref="D589:D652" si="373">D588-$C$6*(((((P588)-0)*(P588)*(1-(P588)))*H588*(L588)*(1-(L588)))+((((W588)-1)*(W588)*(1-(W588)))*H588*(S588)*(1-(S588)))+((((AD588)-1)*(AD588)*(1-(AD588)))*H588*(Z588)*(1-(Z588)))+((((AK588)-0)*(AK588)*(1-(AK588)))*H588*(AG588)*(1-(AG588))))</f>
        <v>-3.5130074882887463</v>
      </c>
      <c r="E589" s="29">
        <f t="shared" ref="E589:E652" si="374">E588-$C$6*(((((P588)-0)*(P588)*(1-(P588)))*I588*(N588)*(1-(N588))*0)+((((W588)-1)*(W588)*(1-(W588)))*I588*(U588)*(1-(U588))*0)+((((AD588)-1)*(AD588)*(1-(AD588)))*I588*(AB588)*(1-(AB588))*1)+((((AK588)-0)*(AK588)*(1-(AK588)))*I588*(AI588)*(1-(AI588))*1))</f>
        <v>-3.4752782810647531</v>
      </c>
      <c r="F589" s="29">
        <f t="shared" ref="F589:F652" si="375">F588-$C$6*(((((P588)-0)*(P588)*(1-(P588)))*I588*(N588)*(1-(N588))*0)+((((W588)-1)*(W588)*(1-(W588)))*I588*(U588)*(1-(U588))*1)+((((AD588)-1)*(AD588)*(1-(AD588)))*I588*(AB588)*(1-(AB588))*0)+((((AK588)-0)*(AK588)*(1-(AK588)))*I588*(AI588)*(1-(AI588))*1))</f>
        <v>3.0981883087411957</v>
      </c>
      <c r="G589" s="29">
        <f t="shared" ref="G589:G652" si="376">G588-$C$6*(((((P588)-0)*(P588)*(1-(P588)))*I588*(N588)*(1-(N588)))+((((W588)-1)*(W588)*(1-(W588)))*I588*(U588)*(1-(U588)))+((((AD588)-1)*(AD588)*(1-(AD588)))*I588*(AB588)*(1-(AB588)))+((((AK588)-0)*(AK588)*(1-(AK588)))*I588*(AI588)*(1-(AI588))))</f>
        <v>-1.599907659041627</v>
      </c>
      <c r="H589" s="29">
        <f t="shared" ref="H589:H652" si="377">H588-$C$6*((((P588)-0)*(P588)*(1-(P588))*L588)+(((W588)-1)*(W588)*(1-(W588))*S588)+(((AD588)-1)*(AD588)*(1-(AD588))*Z588)+(((AK588)-0)*(AK588)*(1-(AK588))*AG588))</f>
        <v>5.2591759757168433</v>
      </c>
      <c r="I589" s="29">
        <f t="shared" ref="I589:I652" si="378">I588-$C$6*((((P588)-0)*(P588)*(1-(P588))*N588)+(((W588)-1)*(W588)*(1-(W588))*U588)+(((AD588)-1)*(AD588)*(1-(AD588))*AB588)+(((AK588)-0)*(AK588)*(1-(AK588))*AI588))</f>
        <v>4.8113758951221559</v>
      </c>
      <c r="J589" s="29">
        <f t="shared" ref="J589:J652" si="379">J588-$C$6*((((P588)-0)*(P588)*(1-(P588)))+(((W588)-1)*(W588)*(1-(W588)))+(((AD588)-1)*(AD588)*(1-(AD588)))+(((AK588)-0)*(AK588)*(1-(AK588))))</f>
        <v>-2.4636825455623921</v>
      </c>
      <c r="K589" s="26">
        <f t="shared" si="342"/>
        <v>-3.5130074882887463</v>
      </c>
      <c r="L589" s="26">
        <f t="shared" si="343"/>
        <v>2.894438568170327E-2</v>
      </c>
      <c r="M589" s="26">
        <f t="shared" si="344"/>
        <v>-1.599907659041627</v>
      </c>
      <c r="N589" s="26">
        <f t="shared" si="345"/>
        <v>0.16799452118425276</v>
      </c>
      <c r="O589" s="26">
        <f t="shared" si="346"/>
        <v>-1.5031741380147934</v>
      </c>
      <c r="P589" s="26">
        <f t="shared" si="347"/>
        <v>0.18195258950983911</v>
      </c>
      <c r="Q589" s="26">
        <f t="shared" si="348"/>
        <v>1.6553372414668008E-2</v>
      </c>
      <c r="R589" s="26">
        <f t="shared" si="349"/>
        <v>-8.8666997506873884</v>
      </c>
      <c r="S589" s="26">
        <f t="shared" si="350"/>
        <v>1.4098729924408882E-4</v>
      </c>
      <c r="T589" s="26">
        <f t="shared" si="351"/>
        <v>1.4982806496995686</v>
      </c>
      <c r="U589" s="26">
        <f t="shared" si="352"/>
        <v>0.81731790116412273</v>
      </c>
      <c r="V589" s="26">
        <f t="shared" si="353"/>
        <v>1.4694825797675661</v>
      </c>
      <c r="W589" s="26">
        <f t="shared" si="354"/>
        <v>0.8129787279664733</v>
      </c>
      <c r="X589" s="26">
        <f t="shared" si="355"/>
        <v>1.7488478096519197E-2</v>
      </c>
      <c r="Y589" s="26">
        <f t="shared" si="356"/>
        <v>1.7700287033004578</v>
      </c>
      <c r="Z589" s="26">
        <f t="shared" si="357"/>
        <v>0.8544612405622577</v>
      </c>
      <c r="AA589" s="26">
        <f t="shared" si="358"/>
        <v>-5.0751859401063797</v>
      </c>
      <c r="AB589" s="26">
        <f t="shared" si="359"/>
        <v>6.2111052826668116E-3</v>
      </c>
      <c r="AC589" s="26">
        <f t="shared" si="360"/>
        <v>2.059963445222933</v>
      </c>
      <c r="AD589" s="26">
        <f t="shared" si="361"/>
        <v>0.88695050465760417</v>
      </c>
      <c r="AE589" s="26">
        <f t="shared" si="362"/>
        <v>6.3900941985851889E-3</v>
      </c>
      <c r="AF589" s="26">
        <f t="shared" si="363"/>
        <v>-3.5836635590981851</v>
      </c>
      <c r="AG589" s="26">
        <f t="shared" si="364"/>
        <v>2.7023224260768804E-2</v>
      </c>
      <c r="AH589" s="26">
        <f t="shared" si="365"/>
        <v>-1.9769976313651845</v>
      </c>
      <c r="AI589" s="26">
        <f t="shared" si="366"/>
        <v>0.12163925617778401</v>
      </c>
      <c r="AJ589" s="26">
        <f t="shared" si="367"/>
        <v>-1.7363104686693696</v>
      </c>
      <c r="AK589" s="26">
        <f t="shared" si="368"/>
        <v>0.14978218018011233</v>
      </c>
      <c r="AL589" s="26">
        <f t="shared" si="369"/>
        <v>1.1217350749753817E-2</v>
      </c>
      <c r="AM589" s="27">
        <f t="shared" si="370"/>
        <v>5.1649295459526207E-2</v>
      </c>
    </row>
    <row r="590" spans="1:39" ht="15" customHeight="1" x14ac:dyDescent="0.2">
      <c r="A590" s="24">
        <v>579</v>
      </c>
      <c r="B590" s="29">
        <f t="shared" si="371"/>
        <v>5.2878121338733477</v>
      </c>
      <c r="C590" s="29">
        <f t="shared" si="372"/>
        <v>-5.356308774446612</v>
      </c>
      <c r="D590" s="29">
        <f t="shared" si="373"/>
        <v>-3.5122137919958929</v>
      </c>
      <c r="E590" s="29">
        <f t="shared" si="374"/>
        <v>-3.4847470644126246</v>
      </c>
      <c r="F590" s="29">
        <f t="shared" si="375"/>
        <v>3.1088104895507218</v>
      </c>
      <c r="G590" s="29">
        <f t="shared" si="376"/>
        <v>-1.6071620060116469</v>
      </c>
      <c r="H590" s="29">
        <f t="shared" si="377"/>
        <v>5.2675662911998433</v>
      </c>
      <c r="I590" s="29">
        <f t="shared" si="378"/>
        <v>4.8278171907095517</v>
      </c>
      <c r="J590" s="29">
        <f t="shared" si="379"/>
        <v>-2.4700688995345654</v>
      </c>
      <c r="K590" s="26">
        <f t="shared" si="342"/>
        <v>-3.5122137919958929</v>
      </c>
      <c r="L590" s="26">
        <f t="shared" si="343"/>
        <v>2.8966702134846051E-2</v>
      </c>
      <c r="M590" s="26">
        <f t="shared" si="344"/>
        <v>-1.6071620060116469</v>
      </c>
      <c r="N590" s="26">
        <f t="shared" si="345"/>
        <v>0.16698300462955082</v>
      </c>
      <c r="O590" s="26">
        <f t="shared" si="346"/>
        <v>-1.5113214554949457</v>
      </c>
      <c r="P590" s="26">
        <f t="shared" si="347"/>
        <v>0.18074303608337033</v>
      </c>
      <c r="Q590" s="26">
        <f t="shared" si="348"/>
        <v>1.6334022546317255E-2</v>
      </c>
      <c r="R590" s="26">
        <f t="shared" si="349"/>
        <v>-8.868522566442504</v>
      </c>
      <c r="S590" s="26">
        <f t="shared" si="350"/>
        <v>1.4073057559169365E-4</v>
      </c>
      <c r="T590" s="26">
        <f t="shared" si="351"/>
        <v>1.5016484835390749</v>
      </c>
      <c r="U590" s="26">
        <f t="shared" si="352"/>
        <v>0.81782021296194107</v>
      </c>
      <c r="V590" s="26">
        <f t="shared" si="353"/>
        <v>1.4789588911489679</v>
      </c>
      <c r="W590" s="26">
        <f t="shared" si="354"/>
        <v>0.81441527586269102</v>
      </c>
      <c r="X590" s="26">
        <f t="shared" si="355"/>
        <v>1.7220844916560535E-2</v>
      </c>
      <c r="Y590" s="26">
        <f t="shared" si="356"/>
        <v>1.7755983418774548</v>
      </c>
      <c r="Z590" s="26">
        <f t="shared" si="357"/>
        <v>0.8551524988982101</v>
      </c>
      <c r="AA590" s="26">
        <f t="shared" si="358"/>
        <v>-5.091909070424272</v>
      </c>
      <c r="AB590" s="26">
        <f t="shared" si="359"/>
        <v>6.108729079128343E-3</v>
      </c>
      <c r="AC590" s="26">
        <f t="shared" si="360"/>
        <v>2.0639954047585602</v>
      </c>
      <c r="AD590" s="26">
        <f t="shared" si="361"/>
        <v>0.887354156134605</v>
      </c>
      <c r="AE590" s="26">
        <f t="shared" si="362"/>
        <v>6.3445430700734742E-3</v>
      </c>
      <c r="AF590" s="26">
        <f t="shared" si="363"/>
        <v>-3.5807104325691572</v>
      </c>
      <c r="AG590" s="26">
        <f t="shared" si="364"/>
        <v>2.7100979275461613E-2</v>
      </c>
      <c r="AH590" s="26">
        <f t="shared" si="365"/>
        <v>-1.9830985808735497</v>
      </c>
      <c r="AI590" s="26">
        <f t="shared" si="366"/>
        <v>0.1209889147685508</v>
      </c>
      <c r="AJ590" s="26">
        <f t="shared" si="367"/>
        <v>-1.743200332039736</v>
      </c>
      <c r="AK590" s="26">
        <f t="shared" si="368"/>
        <v>0.14890688895049736</v>
      </c>
      <c r="AL590" s="26">
        <f t="shared" si="369"/>
        <v>1.1086630788457877E-2</v>
      </c>
      <c r="AM590" s="27">
        <f t="shared" si="370"/>
        <v>5.0986041321409145E-2</v>
      </c>
    </row>
    <row r="591" spans="1:39" ht="15" customHeight="1" x14ac:dyDescent="0.2">
      <c r="A591" s="24">
        <v>580</v>
      </c>
      <c r="B591" s="29">
        <f t="shared" si="371"/>
        <v>5.292537812883527</v>
      </c>
      <c r="C591" s="29">
        <f t="shared" si="372"/>
        <v>-5.3589089982666609</v>
      </c>
      <c r="D591" s="29">
        <f t="shared" si="373"/>
        <v>-3.5114327175296061</v>
      </c>
      <c r="E591" s="29">
        <f t="shared" si="374"/>
        <v>-3.4941064350342921</v>
      </c>
      <c r="F591" s="29">
        <f t="shared" si="375"/>
        <v>3.1192972702777277</v>
      </c>
      <c r="G591" s="29">
        <f t="shared" si="376"/>
        <v>-1.6143181703804079</v>
      </c>
      <c r="H591" s="29">
        <f t="shared" si="377"/>
        <v>5.275912323237864</v>
      </c>
      <c r="I591" s="29">
        <f t="shared" si="378"/>
        <v>4.8440734009067157</v>
      </c>
      <c r="J591" s="29">
        <f t="shared" si="379"/>
        <v>-2.4763943815012324</v>
      </c>
      <c r="K591" s="26">
        <f t="shared" si="342"/>
        <v>-3.5114327175296061</v>
      </c>
      <c r="L591" s="26">
        <f t="shared" si="343"/>
        <v>2.8988679995037406E-2</v>
      </c>
      <c r="M591" s="26">
        <f t="shared" si="344"/>
        <v>-1.6143181703804079</v>
      </c>
      <c r="N591" s="26">
        <f t="shared" si="345"/>
        <v>0.16598995524820309</v>
      </c>
      <c r="O591" s="26">
        <f t="shared" si="346"/>
        <v>-1.5193851204454989</v>
      </c>
      <c r="P591" s="26">
        <f t="shared" si="347"/>
        <v>0.17955208139306761</v>
      </c>
      <c r="Q591" s="26">
        <f t="shared" si="348"/>
        <v>1.6119474966291389E-2</v>
      </c>
      <c r="R591" s="26">
        <f t="shared" si="349"/>
        <v>-8.8703417157962665</v>
      </c>
      <c r="S591" s="26">
        <f t="shared" si="350"/>
        <v>1.4047483430532973E-4</v>
      </c>
      <c r="T591" s="26">
        <f t="shared" si="351"/>
        <v>1.5049790998973198</v>
      </c>
      <c r="U591" s="26">
        <f t="shared" si="352"/>
        <v>0.81831591735330755</v>
      </c>
      <c r="V591" s="26">
        <f t="shared" si="353"/>
        <v>1.4883291201979194</v>
      </c>
      <c r="W591" s="26">
        <f t="shared" si="354"/>
        <v>0.81582735020830977</v>
      </c>
      <c r="X591" s="26">
        <f t="shared" si="355"/>
        <v>1.6959782465646289E-2</v>
      </c>
      <c r="Y591" s="26">
        <f t="shared" si="356"/>
        <v>1.7811050953539209</v>
      </c>
      <c r="Z591" s="26">
        <f t="shared" si="357"/>
        <v>0.85583326916486624</v>
      </c>
      <c r="AA591" s="26">
        <f t="shared" si="358"/>
        <v>-5.1084246054147</v>
      </c>
      <c r="AB591" s="26">
        <f t="shared" si="359"/>
        <v>6.0092699898408666E-3</v>
      </c>
      <c r="AC591" s="26">
        <f t="shared" si="360"/>
        <v>2.0680162548392884</v>
      </c>
      <c r="AD591" s="26">
        <f t="shared" si="361"/>
        <v>0.88775544173182941</v>
      </c>
      <c r="AE591" s="26">
        <f t="shared" si="362"/>
        <v>6.2994204304083713E-3</v>
      </c>
      <c r="AF591" s="26">
        <f t="shared" si="363"/>
        <v>-3.57780390291274</v>
      </c>
      <c r="AG591" s="26">
        <f t="shared" si="364"/>
        <v>2.7177719762119471E-2</v>
      </c>
      <c r="AH591" s="26">
        <f t="shared" si="365"/>
        <v>-1.9891273351369723</v>
      </c>
      <c r="AI591" s="26">
        <f t="shared" si="366"/>
        <v>0.12034921677669005</v>
      </c>
      <c r="AJ591" s="26">
        <f t="shared" si="367"/>
        <v>-1.7500266750828404</v>
      </c>
      <c r="AK591" s="26">
        <f t="shared" si="368"/>
        <v>0.14804383355574618</v>
      </c>
      <c r="AL591" s="26">
        <f t="shared" si="369"/>
        <v>1.0958488326940741E-2</v>
      </c>
      <c r="AM591" s="27">
        <f t="shared" si="370"/>
        <v>5.033716618928679E-2</v>
      </c>
    </row>
    <row r="592" spans="1:39" ht="15" customHeight="1" x14ac:dyDescent="0.2">
      <c r="A592" s="24">
        <v>581</v>
      </c>
      <c r="B592" s="29">
        <f t="shared" si="371"/>
        <v>5.2972139504496161</v>
      </c>
      <c r="C592" s="29">
        <f t="shared" si="372"/>
        <v>-5.3614930978615787</v>
      </c>
      <c r="D592" s="29">
        <f t="shared" si="373"/>
        <v>-3.5106641708778237</v>
      </c>
      <c r="E592" s="29">
        <f t="shared" si="374"/>
        <v>-3.5033583282467951</v>
      </c>
      <c r="F592" s="29">
        <f t="shared" si="375"/>
        <v>3.1296512878583473</v>
      </c>
      <c r="G592" s="29">
        <f t="shared" si="376"/>
        <v>-1.6213781651389969</v>
      </c>
      <c r="H592" s="29">
        <f t="shared" si="377"/>
        <v>5.2842142077244683</v>
      </c>
      <c r="I592" s="29">
        <f t="shared" si="378"/>
        <v>4.8601477727533187</v>
      </c>
      <c r="J592" s="29">
        <f t="shared" si="379"/>
        <v>-2.4826598659697634</v>
      </c>
      <c r="K592" s="26">
        <f t="shared" si="342"/>
        <v>-3.5106641708778237</v>
      </c>
      <c r="L592" s="26">
        <f t="shared" si="343"/>
        <v>2.9010321137654067E-2</v>
      </c>
      <c r="M592" s="26">
        <f t="shared" si="344"/>
        <v>-1.6213781651389969</v>
      </c>
      <c r="N592" s="26">
        <f t="shared" si="345"/>
        <v>0.16501489206185721</v>
      </c>
      <c r="O592" s="26">
        <f t="shared" si="346"/>
        <v>-1.5273663547179577</v>
      </c>
      <c r="P592" s="26">
        <f t="shared" si="347"/>
        <v>0.17837934635658598</v>
      </c>
      <c r="Q592" s="26">
        <f t="shared" si="348"/>
        <v>1.5909595603301432E-2</v>
      </c>
      <c r="R592" s="26">
        <f t="shared" si="349"/>
        <v>-8.8721572687394019</v>
      </c>
      <c r="S592" s="26">
        <f t="shared" si="350"/>
        <v>1.4022006191448898E-4</v>
      </c>
      <c r="T592" s="26">
        <f t="shared" si="351"/>
        <v>1.5082731227193504</v>
      </c>
      <c r="U592" s="26">
        <f t="shared" si="352"/>
        <v>0.81880514270515359</v>
      </c>
      <c r="V592" s="26">
        <f t="shared" si="353"/>
        <v>1.4975950775110287</v>
      </c>
      <c r="W592" s="26">
        <f t="shared" si="354"/>
        <v>0.81721551655736713</v>
      </c>
      <c r="X592" s="26">
        <f t="shared" si="355"/>
        <v>1.6705083693695066E-2</v>
      </c>
      <c r="Y592" s="26">
        <f t="shared" si="356"/>
        <v>1.7865497795717924</v>
      </c>
      <c r="Z592" s="26">
        <f t="shared" si="357"/>
        <v>0.85650374827779585</v>
      </c>
      <c r="AA592" s="26">
        <f t="shared" si="358"/>
        <v>-5.1247364933857922</v>
      </c>
      <c r="AB592" s="26">
        <f t="shared" si="359"/>
        <v>5.912617456481804E-3</v>
      </c>
      <c r="AC592" s="26">
        <f t="shared" si="360"/>
        <v>2.0720256042112899</v>
      </c>
      <c r="AD592" s="26">
        <f t="shared" si="361"/>
        <v>0.88815433555289502</v>
      </c>
      <c r="AE592" s="26">
        <f t="shared" si="362"/>
        <v>6.254726327807201E-3</v>
      </c>
      <c r="AF592" s="26">
        <f t="shared" si="363"/>
        <v>-3.5749433182897863</v>
      </c>
      <c r="AG592" s="26">
        <f t="shared" si="364"/>
        <v>2.7253453401917881E-2</v>
      </c>
      <c r="AH592" s="26">
        <f t="shared" si="365"/>
        <v>-1.9950852055274446</v>
      </c>
      <c r="AI592" s="26">
        <f t="shared" si="366"/>
        <v>0.11971991043882728</v>
      </c>
      <c r="AJ592" s="26">
        <f t="shared" si="367"/>
        <v>-1.7567903242202989</v>
      </c>
      <c r="AK592" s="26">
        <f t="shared" si="368"/>
        <v>0.14719278492135657</v>
      </c>
      <c r="AL592" s="26">
        <f t="shared" si="369"/>
        <v>1.0832857966452367E-2</v>
      </c>
      <c r="AM592" s="27">
        <f t="shared" si="370"/>
        <v>4.9702263591256068E-2</v>
      </c>
    </row>
    <row r="593" spans="1:39" ht="15" customHeight="1" x14ac:dyDescent="0.2">
      <c r="A593" s="24">
        <v>582</v>
      </c>
      <c r="B593" s="29">
        <f t="shared" si="371"/>
        <v>5.3018412605645846</v>
      </c>
      <c r="C593" s="29">
        <f t="shared" si="372"/>
        <v>-5.3640612355064574</v>
      </c>
      <c r="D593" s="29">
        <f t="shared" si="373"/>
        <v>-3.5099080526169373</v>
      </c>
      <c r="E593" s="29">
        <f t="shared" si="374"/>
        <v>-3.51250464058865</v>
      </c>
      <c r="F593" s="29">
        <f t="shared" si="375"/>
        <v>3.139875121414248</v>
      </c>
      <c r="G593" s="29">
        <f t="shared" si="376"/>
        <v>-1.628343954724133</v>
      </c>
      <c r="H593" s="29">
        <f t="shared" si="377"/>
        <v>5.2924720918993762</v>
      </c>
      <c r="I593" s="29">
        <f t="shared" si="378"/>
        <v>4.8760434912618553</v>
      </c>
      <c r="J593" s="29">
        <f t="shared" si="379"/>
        <v>-2.488866217703531</v>
      </c>
      <c r="K593" s="26">
        <f t="shared" si="342"/>
        <v>-3.5099080526169373</v>
      </c>
      <c r="L593" s="26">
        <f t="shared" si="343"/>
        <v>2.9031627609779214E-2</v>
      </c>
      <c r="M593" s="26">
        <f t="shared" si="344"/>
        <v>-1.628343954724133</v>
      </c>
      <c r="N593" s="26">
        <f t="shared" si="345"/>
        <v>0.16405734913763653</v>
      </c>
      <c r="O593" s="26">
        <f t="shared" si="346"/>
        <v>-1.5352663693401127</v>
      </c>
      <c r="P593" s="26">
        <f t="shared" si="347"/>
        <v>0.17722445934028266</v>
      </c>
      <c r="Q593" s="26">
        <f t="shared" si="348"/>
        <v>1.5704254494227753E-2</v>
      </c>
      <c r="R593" s="26">
        <f t="shared" si="349"/>
        <v>-8.8739692881233943</v>
      </c>
      <c r="S593" s="26">
        <f t="shared" si="350"/>
        <v>1.3996624603619914E-4</v>
      </c>
      <c r="T593" s="26">
        <f t="shared" si="351"/>
        <v>1.511531166690115</v>
      </c>
      <c r="U593" s="26">
        <f t="shared" si="352"/>
        <v>0.8192880148209386</v>
      </c>
      <c r="V593" s="26">
        <f t="shared" si="353"/>
        <v>1.5067585418839076</v>
      </c>
      <c r="W593" s="26">
        <f t="shared" si="354"/>
        <v>0.81858032601194219</v>
      </c>
      <c r="X593" s="26">
        <f t="shared" si="355"/>
        <v>1.6456549054966588E-2</v>
      </c>
      <c r="Y593" s="26">
        <f t="shared" si="356"/>
        <v>1.7919332079476473</v>
      </c>
      <c r="Z593" s="26">
        <f t="shared" si="357"/>
        <v>0.85716412995176516</v>
      </c>
      <c r="AA593" s="26">
        <f t="shared" si="358"/>
        <v>-5.1408485953127832</v>
      </c>
      <c r="AB593" s="26">
        <f t="shared" si="359"/>
        <v>5.8186659851234262E-3</v>
      </c>
      <c r="AC593" s="26">
        <f t="shared" si="360"/>
        <v>2.0760230866479845</v>
      </c>
      <c r="AD593" s="26">
        <f t="shared" si="361"/>
        <v>0.88855081459409124</v>
      </c>
      <c r="AE593" s="26">
        <f t="shared" si="362"/>
        <v>6.210460463820313E-3</v>
      </c>
      <c r="AF593" s="26">
        <f t="shared" si="363"/>
        <v>-3.5721280275588101</v>
      </c>
      <c r="AG593" s="26">
        <f t="shared" si="364"/>
        <v>2.7328188153981244E-2</v>
      </c>
      <c r="AH593" s="26">
        <f t="shared" si="365"/>
        <v>-2.0009734738985347</v>
      </c>
      <c r="AI593" s="26">
        <f t="shared" si="366"/>
        <v>0.11910075138952862</v>
      </c>
      <c r="AJ593" s="26">
        <f t="shared" si="367"/>
        <v>-1.7634921009591027</v>
      </c>
      <c r="AK593" s="26">
        <f t="shared" si="368"/>
        <v>0.14635351806362992</v>
      </c>
      <c r="AL593" s="26">
        <f t="shared" si="369"/>
        <v>1.0709676124800624E-2</v>
      </c>
      <c r="AM593" s="27">
        <f t="shared" si="370"/>
        <v>4.9080940137815283E-2</v>
      </c>
    </row>
    <row r="594" spans="1:39" ht="15" customHeight="1" x14ac:dyDescent="0.2">
      <c r="A594" s="24">
        <v>583</v>
      </c>
      <c r="B594" s="29">
        <f t="shared" si="371"/>
        <v>5.3064204491528102</v>
      </c>
      <c r="C594" s="29">
        <f t="shared" si="372"/>
        <v>-5.3666135717428771</v>
      </c>
      <c r="D594" s="29">
        <f t="shared" si="373"/>
        <v>-3.5091642584062899</v>
      </c>
      <c r="E594" s="29">
        <f t="shared" si="374"/>
        <v>-3.5215472303758326</v>
      </c>
      <c r="F594" s="29">
        <f t="shared" si="375"/>
        <v>3.1499712931362995</v>
      </c>
      <c r="G594" s="29">
        <f t="shared" si="376"/>
        <v>-1.6352174560668666</v>
      </c>
      <c r="H594" s="29">
        <f t="shared" si="377"/>
        <v>5.3006861336322482</v>
      </c>
      <c r="I594" s="29">
        <f t="shared" si="378"/>
        <v>4.8917636799909356</v>
      </c>
      <c r="J594" s="29">
        <f t="shared" si="379"/>
        <v>-2.4950142913718949</v>
      </c>
      <c r="K594" s="26">
        <f t="shared" si="342"/>
        <v>-3.5091642584062899</v>
      </c>
      <c r="L594" s="26">
        <f t="shared" si="343"/>
        <v>2.9052601616530796E-2</v>
      </c>
      <c r="M594" s="26">
        <f t="shared" si="344"/>
        <v>-1.6352174560668666</v>
      </c>
      <c r="N594" s="26">
        <f t="shared" si="345"/>
        <v>0.16311687509036218</v>
      </c>
      <c r="O594" s="26">
        <f t="shared" si="346"/>
        <v>-1.5430863636765564</v>
      </c>
      <c r="P594" s="26">
        <f t="shared" si="347"/>
        <v>0.17608705615328116</v>
      </c>
      <c r="Q594" s="26">
        <f t="shared" si="348"/>
        <v>1.5503325672364395E-2</v>
      </c>
      <c r="R594" s="26">
        <f t="shared" si="349"/>
        <v>-8.8757778301491665</v>
      </c>
      <c r="S594" s="26">
        <f t="shared" si="350"/>
        <v>1.3971337529697988E-4</v>
      </c>
      <c r="T594" s="26">
        <f t="shared" si="351"/>
        <v>1.5147538370694329</v>
      </c>
      <c r="U594" s="26">
        <f t="shared" si="352"/>
        <v>0.81976465695293121</v>
      </c>
      <c r="V594" s="26">
        <f t="shared" si="353"/>
        <v>1.5158212604018022</v>
      </c>
      <c r="W594" s="26">
        <f t="shared" si="354"/>
        <v>0.81992231552482608</v>
      </c>
      <c r="X594" s="26">
        <f t="shared" si="355"/>
        <v>1.6213986222970145E-2</v>
      </c>
      <c r="Y594" s="26">
        <f t="shared" si="356"/>
        <v>1.7972561907465203</v>
      </c>
      <c r="Z594" s="26">
        <f t="shared" si="357"/>
        <v>0.85781460467500825</v>
      </c>
      <c r="AA594" s="26">
        <f t="shared" si="358"/>
        <v>-5.156764686442699</v>
      </c>
      <c r="AB594" s="26">
        <f t="shared" si="359"/>
        <v>5.7273148807547485E-3</v>
      </c>
      <c r="AC594" s="26">
        <f t="shared" si="360"/>
        <v>2.0800083597736974</v>
      </c>
      <c r="AD594" s="26">
        <f t="shared" si="361"/>
        <v>0.88894485858399364</v>
      </c>
      <c r="AE594" s="26">
        <f t="shared" si="362"/>
        <v>6.1666222174645863E-3</v>
      </c>
      <c r="AF594" s="26">
        <f t="shared" si="363"/>
        <v>-3.5693573809963568</v>
      </c>
      <c r="AG594" s="26">
        <f t="shared" si="364"/>
        <v>2.7401932231493172E-2</v>
      </c>
      <c r="AH594" s="26">
        <f t="shared" si="365"/>
        <v>-2.0067933933063999</v>
      </c>
      <c r="AI594" s="26">
        <f t="shared" si="366"/>
        <v>0.11849150241229543</v>
      </c>
      <c r="AJ594" s="26">
        <f t="shared" si="367"/>
        <v>-1.7701328212696632</v>
      </c>
      <c r="AK594" s="26">
        <f t="shared" si="368"/>
        <v>0.14552581209345281</v>
      </c>
      <c r="AL594" s="26">
        <f t="shared" si="369"/>
        <v>1.0588880992729468E-2</v>
      </c>
      <c r="AM594" s="27">
        <f t="shared" si="370"/>
        <v>4.8472815105528595E-2</v>
      </c>
    </row>
    <row r="595" spans="1:39" ht="15" customHeight="1" x14ac:dyDescent="0.2">
      <c r="A595" s="24">
        <v>584</v>
      </c>
      <c r="B595" s="29">
        <f t="shared" si="371"/>
        <v>5.3109522138681431</v>
      </c>
      <c r="C595" s="29">
        <f t="shared" si="372"/>
        <v>-5.3691502653752936</v>
      </c>
      <c r="D595" s="29">
        <f t="shared" si="373"/>
        <v>-3.5084326794532239</v>
      </c>
      <c r="E595" s="29">
        <f t="shared" si="374"/>
        <v>-3.5304879182773661</v>
      </c>
      <c r="F595" s="29">
        <f t="shared" si="375"/>
        <v>3.1599422692069576</v>
      </c>
      <c r="G595" s="29">
        <f t="shared" si="376"/>
        <v>-1.642000539644169</v>
      </c>
      <c r="H595" s="29">
        <f t="shared" si="377"/>
        <v>5.3088565007395916</v>
      </c>
      <c r="I595" s="29">
        <f t="shared" si="378"/>
        <v>4.9073114016850017</v>
      </c>
      <c r="J595" s="29">
        <f t="shared" si="379"/>
        <v>-2.501104931248622</v>
      </c>
      <c r="K595" s="26">
        <f t="shared" si="342"/>
        <v>-3.5084326794532239</v>
      </c>
      <c r="L595" s="26">
        <f t="shared" si="343"/>
        <v>2.9073245508138529E-2</v>
      </c>
      <c r="M595" s="26">
        <f t="shared" si="344"/>
        <v>-1.642000539644169</v>
      </c>
      <c r="N595" s="26">
        <f t="shared" si="345"/>
        <v>0.16219303259870313</v>
      </c>
      <c r="O595" s="26">
        <f t="shared" si="346"/>
        <v>-1.5508275246896597</v>
      </c>
      <c r="P595" s="26">
        <f t="shared" si="347"/>
        <v>0.1749667800243446</v>
      </c>
      <c r="Q595" s="26">
        <f t="shared" si="348"/>
        <v>1.5306687056043695E-2</v>
      </c>
      <c r="R595" s="26">
        <f t="shared" si="349"/>
        <v>-8.877582944828518</v>
      </c>
      <c r="S595" s="26">
        <f t="shared" si="350"/>
        <v>1.3946143925944795E-4</v>
      </c>
      <c r="T595" s="26">
        <f t="shared" si="351"/>
        <v>1.5179417295627886</v>
      </c>
      <c r="U595" s="26">
        <f t="shared" si="352"/>
        <v>0.82023518981922428</v>
      </c>
      <c r="V595" s="26">
        <f t="shared" si="353"/>
        <v>1.5247849485829343</v>
      </c>
      <c r="W595" s="26">
        <f t="shared" si="354"/>
        <v>0.82124200820588589</v>
      </c>
      <c r="X595" s="26">
        <f t="shared" si="355"/>
        <v>1.5977209815132284E-2</v>
      </c>
      <c r="Y595" s="26">
        <f t="shared" si="356"/>
        <v>1.8025195344149192</v>
      </c>
      <c r="Z595" s="26">
        <f t="shared" si="357"/>
        <v>0.85845535969165065</v>
      </c>
      <c r="AA595" s="26">
        <f t="shared" si="358"/>
        <v>-5.1724884579215349</v>
      </c>
      <c r="AB595" s="26">
        <f t="shared" si="359"/>
        <v>5.638467997123163E-3</v>
      </c>
      <c r="AC595" s="26">
        <f t="shared" si="360"/>
        <v>2.0839811039354599</v>
      </c>
      <c r="AD595" s="26">
        <f t="shared" si="361"/>
        <v>0.88933644983049098</v>
      </c>
      <c r="AE595" s="26">
        <f t="shared" si="362"/>
        <v>6.12321066805972E-3</v>
      </c>
      <c r="AF595" s="26">
        <f t="shared" si="363"/>
        <v>-3.5666307309603744</v>
      </c>
      <c r="AG595" s="26">
        <f t="shared" si="364"/>
        <v>2.747469407902316E-2</v>
      </c>
      <c r="AH595" s="26">
        <f t="shared" si="365"/>
        <v>-2.0125461887145777</v>
      </c>
      <c r="AI595" s="26">
        <f t="shared" si="366"/>
        <v>0.11789193319960575</v>
      </c>
      <c r="AJ595" s="26">
        <f t="shared" si="367"/>
        <v>-1.7767132950242563</v>
      </c>
      <c r="AK595" s="26">
        <f t="shared" si="368"/>
        <v>0.14470945021149559</v>
      </c>
      <c r="AL595" s="26">
        <f t="shared" si="369"/>
        <v>1.047041249025666E-2</v>
      </c>
      <c r="AM595" s="27">
        <f t="shared" si="370"/>
        <v>4.787752002949236E-2</v>
      </c>
    </row>
    <row r="596" spans="1:39" ht="15" customHeight="1" x14ac:dyDescent="0.2">
      <c r="A596" s="24">
        <v>585</v>
      </c>
      <c r="B596" s="29">
        <f t="shared" si="371"/>
        <v>5.3154372439196411</v>
      </c>
      <c r="C596" s="29">
        <f t="shared" si="372"/>
        <v>-5.3716714734694566</v>
      </c>
      <c r="D596" s="29">
        <f t="shared" si="373"/>
        <v>-3.5077132029500762</v>
      </c>
      <c r="E596" s="29">
        <f t="shared" si="374"/>
        <v>-3.5393284879073228</v>
      </c>
      <c r="F596" s="29">
        <f t="shared" si="375"/>
        <v>3.169790460754617</v>
      </c>
      <c r="G596" s="29">
        <f t="shared" si="376"/>
        <v>-1.6486950305300516</v>
      </c>
      <c r="H596" s="29">
        <f t="shared" si="377"/>
        <v>5.3169833703335891</v>
      </c>
      <c r="I596" s="29">
        <f t="shared" si="378"/>
        <v>4.9226896589722395</v>
      </c>
      <c r="J596" s="29">
        <f t="shared" si="379"/>
        <v>-2.50713897095484</v>
      </c>
      <c r="K596" s="26">
        <f t="shared" si="342"/>
        <v>-3.5077132029500762</v>
      </c>
      <c r="L596" s="26">
        <f t="shared" si="343"/>
        <v>2.9093561767737943E-2</v>
      </c>
      <c r="M596" s="26">
        <f t="shared" si="344"/>
        <v>-1.6486950305300516</v>
      </c>
      <c r="N596" s="26">
        <f t="shared" si="345"/>
        <v>0.16128539793528568</v>
      </c>
      <c r="O596" s="26">
        <f t="shared" si="346"/>
        <v>-1.5584910262927507</v>
      </c>
      <c r="P596" s="26">
        <f t="shared" si="347"/>
        <v>0.17386328156350889</v>
      </c>
      <c r="Q596" s="26">
        <f t="shared" si="348"/>
        <v>1.5114220338015984E-2</v>
      </c>
      <c r="R596" s="26">
        <f t="shared" si="349"/>
        <v>-8.8793846764195337</v>
      </c>
      <c r="S596" s="26">
        <f t="shared" si="350"/>
        <v>1.392104283533427E-4</v>
      </c>
      <c r="T596" s="26">
        <f t="shared" si="351"/>
        <v>1.5210954302245654</v>
      </c>
      <c r="U596" s="26">
        <f t="shared" si="352"/>
        <v>0.82069973162491705</v>
      </c>
      <c r="V596" s="26">
        <f t="shared" si="353"/>
        <v>1.533651290568963</v>
      </c>
      <c r="W596" s="26">
        <f t="shared" si="354"/>
        <v>0.82253991363079093</v>
      </c>
      <c r="X596" s="26">
        <f t="shared" si="355"/>
        <v>1.5746041127083572E-2</v>
      </c>
      <c r="Y596" s="26">
        <f t="shared" si="356"/>
        <v>1.807724040969565</v>
      </c>
      <c r="Z596" s="26">
        <f t="shared" si="357"/>
        <v>0.85908657899158702</v>
      </c>
      <c r="AA596" s="26">
        <f t="shared" si="358"/>
        <v>-5.1880235184373742</v>
      </c>
      <c r="AB596" s="26">
        <f t="shared" si="359"/>
        <v>5.5520335009546611E-3</v>
      </c>
      <c r="AC596" s="26">
        <f t="shared" si="360"/>
        <v>2.0879410211216185</v>
      </c>
      <c r="AD596" s="26">
        <f t="shared" si="361"/>
        <v>0.88972557307497646</v>
      </c>
      <c r="AE596" s="26">
        <f t="shared" si="362"/>
        <v>6.0802246168211779E-3</v>
      </c>
      <c r="AF596" s="26">
        <f t="shared" si="363"/>
        <v>-3.5639474324998917</v>
      </c>
      <c r="AG596" s="26">
        <f t="shared" si="364"/>
        <v>2.7546482351025817E-2</v>
      </c>
      <c r="AH596" s="26">
        <f t="shared" si="365"/>
        <v>-2.0182330576827576</v>
      </c>
      <c r="AI596" s="26">
        <f t="shared" si="366"/>
        <v>0.11730182012166679</v>
      </c>
      <c r="AJ596" s="26">
        <f t="shared" si="367"/>
        <v>-1.7832343254916971</v>
      </c>
      <c r="AK596" s="26">
        <f t="shared" si="368"/>
        <v>0.14390421969568223</v>
      </c>
      <c r="AL596" s="26">
        <f t="shared" si="369"/>
        <v>1.035421222311159E-2</v>
      </c>
      <c r="AM596" s="27">
        <f t="shared" si="370"/>
        <v>4.7294698305032329E-2</v>
      </c>
    </row>
    <row r="597" spans="1:39" ht="15" customHeight="1" x14ac:dyDescent="0.2">
      <c r="A597" s="24">
        <v>586</v>
      </c>
      <c r="B597" s="29">
        <f t="shared" si="371"/>
        <v>5.3198762199229943</v>
      </c>
      <c r="C597" s="29">
        <f t="shared" si="372"/>
        <v>-5.3741773513526967</v>
      </c>
      <c r="D597" s="29">
        <f t="shared" si="373"/>
        <v>-3.5070057124844762</v>
      </c>
      <c r="E597" s="29">
        <f t="shared" si="374"/>
        <v>-3.5480706864303295</v>
      </c>
      <c r="F597" s="29">
        <f t="shared" si="375"/>
        <v>3.1795182248338603</v>
      </c>
      <c r="G597" s="29">
        <f t="shared" si="376"/>
        <v>-1.6553027094432575</v>
      </c>
      <c r="H597" s="29">
        <f t="shared" si="377"/>
        <v>5.3250669282016538</v>
      </c>
      <c r="I597" s="29">
        <f t="shared" si="378"/>
        <v>4.9379013951131352</v>
      </c>
      <c r="J597" s="29">
        <f t="shared" si="379"/>
        <v>-2.5131172332429035</v>
      </c>
      <c r="K597" s="26">
        <f t="shared" si="342"/>
        <v>-3.5070057124844762</v>
      </c>
      <c r="L597" s="26">
        <f t="shared" si="343"/>
        <v>2.9113552999850068E-2</v>
      </c>
      <c r="M597" s="26">
        <f t="shared" si="344"/>
        <v>-1.6553027094432575</v>
      </c>
      <c r="N597" s="26">
        <f t="shared" si="345"/>
        <v>0.16039356051073203</v>
      </c>
      <c r="O597" s="26">
        <f t="shared" si="346"/>
        <v>-1.5660780287878491</v>
      </c>
      <c r="P597" s="26">
        <f t="shared" si="347"/>
        <v>0.1727762187102509</v>
      </c>
      <c r="Q597" s="26">
        <f t="shared" si="348"/>
        <v>1.4925810875906225E-2</v>
      </c>
      <c r="R597" s="26">
        <f t="shared" si="349"/>
        <v>-8.8811830638371738</v>
      </c>
      <c r="S597" s="26">
        <f t="shared" si="350"/>
        <v>1.3896033381074636E-4</v>
      </c>
      <c r="T597" s="26">
        <f t="shared" si="351"/>
        <v>1.5242155153906027</v>
      </c>
      <c r="U597" s="26">
        <f t="shared" si="352"/>
        <v>0.82115839808694913</v>
      </c>
      <c r="V597" s="26">
        <f t="shared" si="353"/>
        <v>1.5424219393574177</v>
      </c>
      <c r="W597" s="26">
        <f t="shared" si="354"/>
        <v>0.82381652815091511</v>
      </c>
      <c r="X597" s="26">
        <f t="shared" si="355"/>
        <v>1.5520307876398645E-2</v>
      </c>
      <c r="Y597" s="26">
        <f t="shared" si="356"/>
        <v>1.8128705074385181</v>
      </c>
      <c r="Z597" s="26">
        <f t="shared" si="357"/>
        <v>0.85970844330714991</v>
      </c>
      <c r="AA597" s="26">
        <f t="shared" si="358"/>
        <v>-5.2033733958735873</v>
      </c>
      <c r="AB597" s="26">
        <f t="shared" si="359"/>
        <v>5.4679236496708453E-3</v>
      </c>
      <c r="AC597" s="26">
        <f t="shared" si="360"/>
        <v>2.0918878339258091</v>
      </c>
      <c r="AD597" s="26">
        <f t="shared" si="361"/>
        <v>0.89011221535343987</v>
      </c>
      <c r="AE597" s="26">
        <f t="shared" si="362"/>
        <v>6.0376626072643881E-3</v>
      </c>
      <c r="AF597" s="26">
        <f t="shared" si="363"/>
        <v>-3.5613068439141786</v>
      </c>
      <c r="AG597" s="26">
        <f t="shared" si="364"/>
        <v>2.7617305891468418E-2</v>
      </c>
      <c r="AH597" s="26">
        <f t="shared" si="365"/>
        <v>-2.0238551710397266</v>
      </c>
      <c r="AI597" s="26">
        <f t="shared" si="366"/>
        <v>0.11672094600355562</v>
      </c>
      <c r="AJ597" s="26">
        <f t="shared" si="367"/>
        <v>-1.7896967088843341</v>
      </c>
      <c r="AK597" s="26">
        <f t="shared" si="368"/>
        <v>0.14310991188171815</v>
      </c>
      <c r="AL597" s="26">
        <f t="shared" si="369"/>
        <v>1.0240223439396567E-2</v>
      </c>
      <c r="AM597" s="27">
        <f t="shared" si="370"/>
        <v>4.6724004798965831E-2</v>
      </c>
    </row>
    <row r="598" spans="1:39" ht="15" customHeight="1" x14ac:dyDescent="0.2">
      <c r="A598" s="24">
        <v>587</v>
      </c>
      <c r="B598" s="29">
        <f t="shared" si="371"/>
        <v>5.3242698137757882</v>
      </c>
      <c r="C598" s="29">
        <f t="shared" si="372"/>
        <v>-5.3766680526159387</v>
      </c>
      <c r="D598" s="29">
        <f t="shared" si="373"/>
        <v>-3.5063100884242666</v>
      </c>
      <c r="E598" s="29">
        <f t="shared" si="374"/>
        <v>-3.5567162251779272</v>
      </c>
      <c r="F598" s="29">
        <f t="shared" si="375"/>
        <v>3.1891278654261344</v>
      </c>
      <c r="G598" s="29">
        <f t="shared" si="376"/>
        <v>-1.6618253137889234</v>
      </c>
      <c r="H598" s="29">
        <f t="shared" si="377"/>
        <v>5.3331073682155505</v>
      </c>
      <c r="I598" s="29">
        <f t="shared" si="378"/>
        <v>4.9529494947927999</v>
      </c>
      <c r="J598" s="29">
        <f t="shared" si="379"/>
        <v>-2.5190405298177865</v>
      </c>
      <c r="K598" s="26">
        <f t="shared" si="342"/>
        <v>-3.5063100884242666</v>
      </c>
      <c r="L598" s="26">
        <f t="shared" si="343"/>
        <v>2.9133221919516263E-2</v>
      </c>
      <c r="M598" s="26">
        <f t="shared" si="344"/>
        <v>-1.6618253137889234</v>
      </c>
      <c r="N598" s="26">
        <f t="shared" si="345"/>
        <v>0.15951712243154034</v>
      </c>
      <c r="O598" s="26">
        <f t="shared" si="346"/>
        <v>-1.5735896783808565</v>
      </c>
      <c r="P598" s="26">
        <f t="shared" si="347"/>
        <v>0.1717052566698111</v>
      </c>
      <c r="Q598" s="26">
        <f t="shared" si="348"/>
        <v>1.4741347584022855E-2</v>
      </c>
      <c r="R598" s="26">
        <f t="shared" si="349"/>
        <v>-8.8829781410402049</v>
      </c>
      <c r="S598" s="26">
        <f t="shared" si="350"/>
        <v>1.387111476052849E-4</v>
      </c>
      <c r="T598" s="26">
        <f t="shared" si="351"/>
        <v>1.527302551637211</v>
      </c>
      <c r="U598" s="26">
        <f t="shared" si="352"/>
        <v>0.82161130246211411</v>
      </c>
      <c r="V598" s="26">
        <f t="shared" si="353"/>
        <v>1.5510985170713436</v>
      </c>
      <c r="W598" s="26">
        <f t="shared" si="354"/>
        <v>0.82507233520335943</v>
      </c>
      <c r="X598" s="26">
        <f t="shared" si="355"/>
        <v>1.5299843955602922E-2</v>
      </c>
      <c r="Y598" s="26">
        <f t="shared" si="356"/>
        <v>1.8179597253515216</v>
      </c>
      <c r="Z598" s="26">
        <f t="shared" si="357"/>
        <v>0.86032113011596401</v>
      </c>
      <c r="AA598" s="26">
        <f t="shared" si="358"/>
        <v>-5.2185415389668508</v>
      </c>
      <c r="AB598" s="26">
        <f t="shared" si="359"/>
        <v>5.3860545817766307E-3</v>
      </c>
      <c r="AC598" s="26">
        <f t="shared" si="360"/>
        <v>2.095821284554928</v>
      </c>
      <c r="AD598" s="26">
        <f t="shared" si="361"/>
        <v>0.89049636586421121</v>
      </c>
      <c r="AE598" s="26">
        <f t="shared" si="362"/>
        <v>5.9955229444723437E-3</v>
      </c>
      <c r="AF598" s="26">
        <f t="shared" si="363"/>
        <v>-3.5587083272644171</v>
      </c>
      <c r="AG598" s="26">
        <f t="shared" si="364"/>
        <v>2.7687173714543382E-2</v>
      </c>
      <c r="AH598" s="26">
        <f t="shared" si="365"/>
        <v>-2.0294136735407164</v>
      </c>
      <c r="AI598" s="26">
        <f t="shared" si="366"/>
        <v>0.11614909991043439</v>
      </c>
      <c r="AJ598" s="26">
        <f t="shared" si="367"/>
        <v>-1.7961012339536668</v>
      </c>
      <c r="AK598" s="26">
        <f t="shared" si="368"/>
        <v>0.14232632213740543</v>
      </c>
      <c r="AL598" s="26">
        <f t="shared" si="369"/>
        <v>1.0128390986580251E-2</v>
      </c>
      <c r="AM598" s="27">
        <f t="shared" si="370"/>
        <v>4.6165105470678369E-2</v>
      </c>
    </row>
    <row r="599" spans="1:39" ht="15" customHeight="1" x14ac:dyDescent="0.2">
      <c r="A599" s="24">
        <v>588</v>
      </c>
      <c r="B599" s="29">
        <f t="shared" si="371"/>
        <v>5.3286186885548501</v>
      </c>
      <c r="C599" s="29">
        <f t="shared" si="372"/>
        <v>-5.3791437291172919</v>
      </c>
      <c r="D599" s="29">
        <f t="shared" si="373"/>
        <v>-3.5056262082783194</v>
      </c>
      <c r="E599" s="29">
        <f t="shared" si="374"/>
        <v>-3.5652667802733671</v>
      </c>
      <c r="F599" s="29">
        <f t="shared" si="375"/>
        <v>3.1986216344559524</v>
      </c>
      <c r="G599" s="29">
        <f t="shared" si="376"/>
        <v>-1.6682645386919375</v>
      </c>
      <c r="H599" s="29">
        <f t="shared" si="377"/>
        <v>5.341104891768917</v>
      </c>
      <c r="I599" s="29">
        <f t="shared" si="378"/>
        <v>4.9678367849507863</v>
      </c>
      <c r="J599" s="29">
        <f t="shared" si="379"/>
        <v>-2.5249096611928574</v>
      </c>
      <c r="K599" s="26">
        <f t="shared" si="342"/>
        <v>-3.5056262082783194</v>
      </c>
      <c r="L599" s="26">
        <f t="shared" si="343"/>
        <v>2.9152571342058346E-2</v>
      </c>
      <c r="M599" s="26">
        <f t="shared" si="344"/>
        <v>-1.6682645386919375</v>
      </c>
      <c r="N599" s="26">
        <f t="shared" si="345"/>
        <v>0.15865569807167312</v>
      </c>
      <c r="O599" s="26">
        <f t="shared" si="346"/>
        <v>-1.581027106767644</v>
      </c>
      <c r="P599" s="26">
        <f t="shared" si="347"/>
        <v>0.17065006783914316</v>
      </c>
      <c r="Q599" s="26">
        <f t="shared" si="348"/>
        <v>1.4560722826752082E-2</v>
      </c>
      <c r="R599" s="26">
        <f t="shared" si="349"/>
        <v>-8.8847699373956104</v>
      </c>
      <c r="S599" s="26">
        <f t="shared" si="350"/>
        <v>1.3846286239510089E-4</v>
      </c>
      <c r="T599" s="26">
        <f t="shared" si="351"/>
        <v>1.5303570957640149</v>
      </c>
      <c r="U599" s="26">
        <f t="shared" si="352"/>
        <v>0.8220585555778317</v>
      </c>
      <c r="V599" s="26">
        <f t="shared" si="353"/>
        <v>1.5596826152618726</v>
      </c>
      <c r="W599" s="26">
        <f t="shared" si="354"/>
        <v>0.82630780562017248</v>
      </c>
      <c r="X599" s="26">
        <f t="shared" si="355"/>
        <v>1.5084489194239895E-2</v>
      </c>
      <c r="Y599" s="26">
        <f t="shared" si="356"/>
        <v>1.8229924802765307</v>
      </c>
      <c r="Z599" s="26">
        <f t="shared" si="357"/>
        <v>0.86092481364941065</v>
      </c>
      <c r="AA599" s="26">
        <f t="shared" si="358"/>
        <v>-5.233531318965305</v>
      </c>
      <c r="AB599" s="26">
        <f t="shared" si="359"/>
        <v>5.3063461191448042E-3</v>
      </c>
      <c r="AC599" s="26">
        <f t="shared" si="360"/>
        <v>2.0997411338796215</v>
      </c>
      <c r="AD599" s="26">
        <f t="shared" si="361"/>
        <v>0.89087801584209436</v>
      </c>
      <c r="AE599" s="26">
        <f t="shared" si="362"/>
        <v>5.9538037132791048E-3</v>
      </c>
      <c r="AF599" s="26">
        <f t="shared" si="363"/>
        <v>-3.5561512488407612</v>
      </c>
      <c r="AG599" s="26">
        <f t="shared" si="364"/>
        <v>2.7756094986422761E-2</v>
      </c>
      <c r="AH599" s="26">
        <f t="shared" si="365"/>
        <v>-2.0349096845093522</v>
      </c>
      <c r="AI599" s="26">
        <f t="shared" si="366"/>
        <v>0.11558607694054153</v>
      </c>
      <c r="AJ599" s="26">
        <f t="shared" si="367"/>
        <v>-1.8024486816310981</v>
      </c>
      <c r="AK599" s="26">
        <f t="shared" si="368"/>
        <v>0.14155324983141745</v>
      </c>
      <c r="AL599" s="26">
        <f t="shared" si="369"/>
        <v>1.0018661268917843E-2</v>
      </c>
      <c r="AM599" s="27">
        <f t="shared" si="370"/>
        <v>4.5617677003188924E-2</v>
      </c>
    </row>
    <row r="600" spans="1:39" ht="15" customHeight="1" x14ac:dyDescent="0.2">
      <c r="A600" s="24">
        <v>589</v>
      </c>
      <c r="B600" s="29">
        <f t="shared" si="371"/>
        <v>5.3329234984340257</v>
      </c>
      <c r="C600" s="29">
        <f t="shared" si="372"/>
        <v>-5.3816045309870963</v>
      </c>
      <c r="D600" s="29">
        <f t="shared" si="373"/>
        <v>-3.5049539470344802</v>
      </c>
      <c r="E600" s="29">
        <f t="shared" si="374"/>
        <v>-3.5737239932626608</v>
      </c>
      <c r="F600" s="29">
        <f t="shared" si="375"/>
        <v>3.2080017328182162</v>
      </c>
      <c r="G600" s="29">
        <f t="shared" si="376"/>
        <v>-1.6746220380200163</v>
      </c>
      <c r="H600" s="29">
        <f t="shared" si="377"/>
        <v>5.3490597072420751</v>
      </c>
      <c r="I600" s="29">
        <f t="shared" si="378"/>
        <v>4.9825660356426749</v>
      </c>
      <c r="J600" s="29">
        <f t="shared" si="379"/>
        <v>-2.5307254165771158</v>
      </c>
      <c r="K600" s="26">
        <f t="shared" si="342"/>
        <v>-3.5049539470344802</v>
      </c>
      <c r="L600" s="26">
        <f t="shared" si="343"/>
        <v>2.9171604173434961E-2</v>
      </c>
      <c r="M600" s="26">
        <f t="shared" si="344"/>
        <v>-1.6746220380200163</v>
      </c>
      <c r="N600" s="26">
        <f t="shared" si="345"/>
        <v>0.15780891365768016</v>
      </c>
      <c r="O600" s="26">
        <f t="shared" si="346"/>
        <v>-1.5883914307849556</v>
      </c>
      <c r="P600" s="26">
        <f t="shared" si="347"/>
        <v>0.16961033172382795</v>
      </c>
      <c r="Q600" s="26">
        <f t="shared" si="348"/>
        <v>1.4383832313733478E-2</v>
      </c>
      <c r="R600" s="26">
        <f t="shared" si="349"/>
        <v>-8.8865584780215769</v>
      </c>
      <c r="S600" s="26">
        <f t="shared" si="350"/>
        <v>1.3821547146939945E-4</v>
      </c>
      <c r="T600" s="26">
        <f t="shared" si="351"/>
        <v>1.5333796947981999</v>
      </c>
      <c r="U600" s="26">
        <f t="shared" si="352"/>
        <v>0.82250026586528702</v>
      </c>
      <c r="V600" s="26">
        <f t="shared" si="353"/>
        <v>1.568175795239688</v>
      </c>
      <c r="W600" s="26">
        <f t="shared" si="354"/>
        <v>0.82752339793594398</v>
      </c>
      <c r="X600" s="26">
        <f t="shared" si="355"/>
        <v>1.4874089129781366E-2</v>
      </c>
      <c r="Y600" s="26">
        <f t="shared" si="356"/>
        <v>1.8279695513995455</v>
      </c>
      <c r="Z600" s="26">
        <f t="shared" si="357"/>
        <v>0.86151966490617204</v>
      </c>
      <c r="AA600" s="26">
        <f t="shared" si="358"/>
        <v>-5.2483460312826775</v>
      </c>
      <c r="AB600" s="26">
        <f t="shared" si="359"/>
        <v>5.2287215804726088E-3</v>
      </c>
      <c r="AC600" s="26">
        <f t="shared" si="360"/>
        <v>2.1036471605258789</v>
      </c>
      <c r="AD600" s="26">
        <f t="shared" si="361"/>
        <v>0.89125715843864395</v>
      </c>
      <c r="AE600" s="26">
        <f t="shared" si="362"/>
        <v>5.9125027954190926E-3</v>
      </c>
      <c r="AF600" s="26">
        <f t="shared" si="363"/>
        <v>-3.5536349795875508</v>
      </c>
      <c r="AG600" s="26">
        <f t="shared" si="364"/>
        <v>2.7824079008012127E-2</v>
      </c>
      <c r="AH600" s="26">
        <f t="shared" si="365"/>
        <v>-2.0403442984644609</v>
      </c>
      <c r="AI600" s="26">
        <f t="shared" si="366"/>
        <v>0.1150316780256654</v>
      </c>
      <c r="AJ600" s="26">
        <f t="shared" si="367"/>
        <v>-1.8087398247105737</v>
      </c>
      <c r="AK600" s="26">
        <f t="shared" si="368"/>
        <v>0.14079049829714993</v>
      </c>
      <c r="AL600" s="26">
        <f t="shared" si="369"/>
        <v>9.9109822053798889E-3</v>
      </c>
      <c r="AM600" s="27">
        <f t="shared" si="370"/>
        <v>4.5081406444313826E-2</v>
      </c>
    </row>
    <row r="601" spans="1:39" ht="15" customHeight="1" x14ac:dyDescent="0.2">
      <c r="A601" s="24">
        <v>590</v>
      </c>
      <c r="B601" s="29">
        <f t="shared" si="371"/>
        <v>5.3371848886208451</v>
      </c>
      <c r="C601" s="29">
        <f t="shared" si="372"/>
        <v>-5.3840506066342977</v>
      </c>
      <c r="D601" s="29">
        <f t="shared" si="373"/>
        <v>-3.5042931774758248</v>
      </c>
      <c r="E601" s="29">
        <f t="shared" si="374"/>
        <v>-3.5820894717498977</v>
      </c>
      <c r="F601" s="29">
        <f t="shared" si="375"/>
        <v>3.217270311412737</v>
      </c>
      <c r="G601" s="29">
        <f t="shared" si="376"/>
        <v>-1.6808994253947858</v>
      </c>
      <c r="H601" s="29">
        <f t="shared" si="377"/>
        <v>5.356972029493015</v>
      </c>
      <c r="I601" s="29">
        <f t="shared" si="378"/>
        <v>4.9971399609282328</v>
      </c>
      <c r="J601" s="29">
        <f t="shared" si="379"/>
        <v>-2.5364885737911695</v>
      </c>
      <c r="K601" s="26">
        <f t="shared" si="342"/>
        <v>-3.5042931774758248</v>
      </c>
      <c r="L601" s="26">
        <f t="shared" si="343"/>
        <v>2.9190323401165997E-2</v>
      </c>
      <c r="M601" s="26">
        <f t="shared" si="344"/>
        <v>-1.6808994253947858</v>
      </c>
      <c r="N601" s="26">
        <f t="shared" si="345"/>
        <v>0.15697640686714912</v>
      </c>
      <c r="O601" s="26">
        <f t="shared" si="346"/>
        <v>-1.5956837521205081</v>
      </c>
      <c r="P601" s="26">
        <f t="shared" si="347"/>
        <v>0.16858573484716741</v>
      </c>
      <c r="Q601" s="26">
        <f t="shared" si="348"/>
        <v>1.4210574996979718E-2</v>
      </c>
      <c r="R601" s="26">
        <f t="shared" si="349"/>
        <v>-8.8883437841101234</v>
      </c>
      <c r="S601" s="26">
        <f t="shared" si="350"/>
        <v>1.3796896869837448E-4</v>
      </c>
      <c r="T601" s="26">
        <f t="shared" si="351"/>
        <v>1.5363708860179512</v>
      </c>
      <c r="U601" s="26">
        <f t="shared" si="352"/>
        <v>0.82293653939459332</v>
      </c>
      <c r="V601" s="26">
        <f t="shared" si="353"/>
        <v>1.5765795884317981</v>
      </c>
      <c r="W601" s="26">
        <f t="shared" si="354"/>
        <v>0.82871955869306146</v>
      </c>
      <c r="X601" s="26">
        <f t="shared" si="355"/>
        <v>1.4668494787149808E-2</v>
      </c>
      <c r="Y601" s="26">
        <f t="shared" si="356"/>
        <v>1.8328917111450203</v>
      </c>
      <c r="Z601" s="26">
        <f t="shared" si="357"/>
        <v>0.86210585167036269</v>
      </c>
      <c r="AA601" s="26">
        <f t="shared" si="358"/>
        <v>-5.2629888971446839</v>
      </c>
      <c r="AB601" s="26">
        <f t="shared" si="359"/>
        <v>5.1531076052314124E-3</v>
      </c>
      <c r="AC601" s="26">
        <f t="shared" si="360"/>
        <v>2.1075391600062829</v>
      </c>
      <c r="AD601" s="26">
        <f t="shared" si="361"/>
        <v>0.89163378860833686</v>
      </c>
      <c r="AE601" s="26">
        <f t="shared" si="362"/>
        <v>5.8716178856913111E-3</v>
      </c>
      <c r="AF601" s="26">
        <f t="shared" si="363"/>
        <v>-3.5511588954892774</v>
      </c>
      <c r="AG601" s="26">
        <f t="shared" si="364"/>
        <v>2.7891135198662615E-2</v>
      </c>
      <c r="AH601" s="26">
        <f t="shared" si="365"/>
        <v>-2.0457185857319464</v>
      </c>
      <c r="AI601" s="26">
        <f t="shared" si="366"/>
        <v>0.11448570973882376</v>
      </c>
      <c r="AJ601" s="26">
        <f t="shared" si="367"/>
        <v>-1.814975427570019</v>
      </c>
      <c r="AK601" s="26">
        <f t="shared" si="368"/>
        <v>0.1400378747922193</v>
      </c>
      <c r="AL601" s="26">
        <f t="shared" si="369"/>
        <v>9.8053031881606446E-3</v>
      </c>
      <c r="AM601" s="27">
        <f t="shared" si="370"/>
        <v>4.4555990857981481E-2</v>
      </c>
    </row>
    <row r="602" spans="1:39" ht="15" customHeight="1" x14ac:dyDescent="0.2">
      <c r="A602" s="24">
        <v>591</v>
      </c>
      <c r="B602" s="29">
        <f t="shared" si="371"/>
        <v>5.3414034953106073</v>
      </c>
      <c r="C602" s="29">
        <f t="shared" si="372"/>
        <v>-5.3864821027540382</v>
      </c>
      <c r="D602" s="29">
        <f t="shared" si="373"/>
        <v>-3.5036437704763714</v>
      </c>
      <c r="E602" s="29">
        <f t="shared" si="374"/>
        <v>-3.5903647900350371</v>
      </c>
      <c r="F602" s="29">
        <f t="shared" si="375"/>
        <v>3.2264294721824438</v>
      </c>
      <c r="G602" s="29">
        <f t="shared" si="376"/>
        <v>-1.6870982751893935</v>
      </c>
      <c r="H602" s="29">
        <f t="shared" si="377"/>
        <v>5.3648420793734859</v>
      </c>
      <c r="I602" s="29">
        <f t="shared" si="378"/>
        <v>5.0115612197814272</v>
      </c>
      <c r="J602" s="29">
        <f t="shared" si="379"/>
        <v>-2.542199899209435</v>
      </c>
      <c r="K602" s="26">
        <f t="shared" si="342"/>
        <v>-3.5036437704763714</v>
      </c>
      <c r="L602" s="26">
        <f t="shared" si="343"/>
        <v>2.9208732085797755E-2</v>
      </c>
      <c r="M602" s="26">
        <f t="shared" si="344"/>
        <v>-1.6870982751893935</v>
      </c>
      <c r="N602" s="26">
        <f t="shared" si="345"/>
        <v>0.15615782644024842</v>
      </c>
      <c r="O602" s="26">
        <f t="shared" si="346"/>
        <v>-1.6029051570770929</v>
      </c>
      <c r="P602" s="26">
        <f t="shared" si="347"/>
        <v>0.1675759706525593</v>
      </c>
      <c r="Q602" s="26">
        <f t="shared" si="348"/>
        <v>1.4040852970073708E-2</v>
      </c>
      <c r="R602" s="26">
        <f t="shared" si="349"/>
        <v>-8.89012587323041</v>
      </c>
      <c r="S602" s="26">
        <f t="shared" si="350"/>
        <v>1.3772334848633058E-4</v>
      </c>
      <c r="T602" s="26">
        <f t="shared" si="351"/>
        <v>1.5393311969930503</v>
      </c>
      <c r="U602" s="26">
        <f t="shared" si="352"/>
        <v>0.82336747991165737</v>
      </c>
      <c r="V602" s="26">
        <f t="shared" si="353"/>
        <v>1.5848954967602626</v>
      </c>
      <c r="W602" s="26">
        <f t="shared" si="354"/>
        <v>0.82989672274400139</v>
      </c>
      <c r="X602" s="26">
        <f t="shared" si="355"/>
        <v>1.4467562466615567E-2</v>
      </c>
      <c r="Y602" s="26">
        <f t="shared" si="356"/>
        <v>1.8377597248342359</v>
      </c>
      <c r="Z602" s="26">
        <f t="shared" si="357"/>
        <v>0.86268353853378488</v>
      </c>
      <c r="AA602" s="26">
        <f t="shared" si="358"/>
        <v>-5.2774630652244303</v>
      </c>
      <c r="AB602" s="26">
        <f t="shared" si="359"/>
        <v>5.079433987473618E-3</v>
      </c>
      <c r="AC602" s="26">
        <f t="shared" si="360"/>
        <v>2.1114169438894947</v>
      </c>
      <c r="AD602" s="26">
        <f t="shared" si="361"/>
        <v>0.89200790300039179</v>
      </c>
      <c r="AE602" s="26">
        <f t="shared" si="362"/>
        <v>5.8311465071863942E-3</v>
      </c>
      <c r="AF602" s="26">
        <f t="shared" si="363"/>
        <v>-3.5487223779198023</v>
      </c>
      <c r="AG602" s="26">
        <f t="shared" si="364"/>
        <v>2.7957273080800184E-2</v>
      </c>
      <c r="AH602" s="26">
        <f t="shared" si="365"/>
        <v>-2.0510335930419865</v>
      </c>
      <c r="AI602" s="26">
        <f t="shared" si="366"/>
        <v>0.11394798410887795</v>
      </c>
      <c r="AJ602" s="26">
        <f t="shared" si="367"/>
        <v>-1.8211562459286994</v>
      </c>
      <c r="AK602" s="26">
        <f t="shared" si="368"/>
        <v>0.13929519045413122</v>
      </c>
      <c r="AL602" s="26">
        <f t="shared" si="369"/>
        <v>9.7015750418263449E-3</v>
      </c>
      <c r="AM602" s="27">
        <f t="shared" si="370"/>
        <v>4.4041136985702015E-2</v>
      </c>
    </row>
    <row r="603" spans="1:39" ht="15" customHeight="1" x14ac:dyDescent="0.2">
      <c r="A603" s="24">
        <v>592</v>
      </c>
      <c r="B603" s="29">
        <f t="shared" si="371"/>
        <v>5.3455799456565281</v>
      </c>
      <c r="C603" s="29">
        <f t="shared" si="372"/>
        <v>-5.3888991643363573</v>
      </c>
      <c r="D603" s="29">
        <f t="shared" si="373"/>
        <v>-3.5030055952773407</v>
      </c>
      <c r="E603" s="29">
        <f t="shared" si="374"/>
        <v>-3.5985514897525586</v>
      </c>
      <c r="F603" s="29">
        <f t="shared" si="375"/>
        <v>3.2354812691521602</v>
      </c>
      <c r="G603" s="29">
        <f t="shared" si="376"/>
        <v>-1.6932201235113988</v>
      </c>
      <c r="H603" s="29">
        <f t="shared" si="377"/>
        <v>5.3726700832691492</v>
      </c>
      <c r="I603" s="29">
        <f t="shared" si="378"/>
        <v>5.0258324170179973</v>
      </c>
      <c r="J603" s="29">
        <f t="shared" si="379"/>
        <v>-2.5478601477262193</v>
      </c>
      <c r="K603" s="26">
        <f t="shared" si="342"/>
        <v>-3.5030055952773407</v>
      </c>
      <c r="L603" s="26">
        <f t="shared" si="343"/>
        <v>2.9226833352882491E-2</v>
      </c>
      <c r="M603" s="26">
        <f t="shared" si="344"/>
        <v>-1.6932201235113988</v>
      </c>
      <c r="N603" s="26">
        <f t="shared" si="345"/>
        <v>0.15535283180410428</v>
      </c>
      <c r="O603" s="26">
        <f t="shared" si="346"/>
        <v>-1.6100567163858828</v>
      </c>
      <c r="P603" s="26">
        <f t="shared" si="347"/>
        <v>0.1665807394001495</v>
      </c>
      <c r="Q603" s="26">
        <f t="shared" si="348"/>
        <v>1.3874571369550261E-2</v>
      </c>
      <c r="R603" s="26">
        <f t="shared" si="349"/>
        <v>-8.8919047596136984</v>
      </c>
      <c r="S603" s="26">
        <f t="shared" si="350"/>
        <v>1.3747860572782658E-4</v>
      </c>
      <c r="T603" s="26">
        <f t="shared" si="351"/>
        <v>1.5422611456407613</v>
      </c>
      <c r="U603" s="26">
        <f t="shared" si="352"/>
        <v>0.82379318887646602</v>
      </c>
      <c r="V603" s="26">
        <f t="shared" si="353"/>
        <v>1.593124993039837</v>
      </c>
      <c r="W603" s="26">
        <f t="shared" si="354"/>
        <v>0.83105531355011319</v>
      </c>
      <c r="X603" s="26">
        <f t="shared" si="355"/>
        <v>1.4271153539825283E-2</v>
      </c>
      <c r="Y603" s="26">
        <f t="shared" si="356"/>
        <v>1.8425743503791874</v>
      </c>
      <c r="Z603" s="26">
        <f t="shared" si="357"/>
        <v>0.86325288692188717</v>
      </c>
      <c r="AA603" s="26">
        <f t="shared" si="358"/>
        <v>-5.2917716132639576</v>
      </c>
      <c r="AB603" s="26">
        <f t="shared" si="359"/>
        <v>5.0076335189011322E-3</v>
      </c>
      <c r="AC603" s="26">
        <f t="shared" si="360"/>
        <v>2.1152803390065693</v>
      </c>
      <c r="AD603" s="26">
        <f t="shared" si="361"/>
        <v>0.89237949985600529</v>
      </c>
      <c r="AE603" s="26">
        <f t="shared" si="362"/>
        <v>5.7910860256217833E-3</v>
      </c>
      <c r="AF603" s="26">
        <f t="shared" si="363"/>
        <v>-3.5463248139571699</v>
      </c>
      <c r="AG603" s="26">
        <f t="shared" si="364"/>
        <v>2.8022502265432563E-2</v>
      </c>
      <c r="AH603" s="26">
        <f t="shared" si="365"/>
        <v>-2.0562903441117975</v>
      </c>
      <c r="AI603" s="26">
        <f t="shared" si="366"/>
        <v>0.11341831844182214</v>
      </c>
      <c r="AJ603" s="26">
        <f t="shared" si="367"/>
        <v>-1.827283026637808</v>
      </c>
      <c r="AK603" s="26">
        <f t="shared" si="368"/>
        <v>0.1385622602525983</v>
      </c>
      <c r="AL603" s="26">
        <f t="shared" si="369"/>
        <v>9.5997499831543907E-3</v>
      </c>
      <c r="AM603" s="27">
        <f t="shared" si="370"/>
        <v>4.3536560918151716E-2</v>
      </c>
    </row>
    <row r="604" spans="1:39" ht="15" customHeight="1" x14ac:dyDescent="0.2">
      <c r="A604" s="24">
        <v>593</v>
      </c>
      <c r="B604" s="29">
        <f t="shared" si="371"/>
        <v>5.3497148577546598</v>
      </c>
      <c r="C604" s="29">
        <f t="shared" si="372"/>
        <v>-5.3913019346759059</v>
      </c>
      <c r="D604" s="29">
        <f t="shared" si="373"/>
        <v>-3.5023785197450188</v>
      </c>
      <c r="E604" s="29">
        <f t="shared" si="374"/>
        <v>-3.6066510805095171</v>
      </c>
      <c r="F604" s="29">
        <f t="shared" si="375"/>
        <v>3.2444277094651861</v>
      </c>
      <c r="G604" s="29">
        <f t="shared" si="376"/>
        <v>-1.6992664691698749</v>
      </c>
      <c r="H604" s="29">
        <f t="shared" si="377"/>
        <v>5.380456272662772</v>
      </c>
      <c r="I604" s="29">
        <f t="shared" si="378"/>
        <v>5.0399561042367216</v>
      </c>
      <c r="J604" s="29">
        <f t="shared" si="379"/>
        <v>-2.5534700627435201</v>
      </c>
      <c r="K604" s="26">
        <f t="shared" si="342"/>
        <v>-3.5023785197450188</v>
      </c>
      <c r="L604" s="26">
        <f t="shared" si="343"/>
        <v>2.9244630385446804E-2</v>
      </c>
      <c r="M604" s="26">
        <f t="shared" si="344"/>
        <v>-1.6992664691698749</v>
      </c>
      <c r="N604" s="26">
        <f t="shared" si="345"/>
        <v>0.15456109270973578</v>
      </c>
      <c r="O604" s="26">
        <f t="shared" si="346"/>
        <v>-1.6171394850645078</v>
      </c>
      <c r="P604" s="26">
        <f t="shared" si="347"/>
        <v>0.16559974805866434</v>
      </c>
      <c r="Q604" s="26">
        <f t="shared" si="348"/>
        <v>1.3711638278546552E-2</v>
      </c>
      <c r="R604" s="26">
        <f t="shared" si="349"/>
        <v>-8.8936804544209238</v>
      </c>
      <c r="S604" s="26">
        <f t="shared" si="350"/>
        <v>1.3723473576667168E-4</v>
      </c>
      <c r="T604" s="26">
        <f t="shared" si="351"/>
        <v>1.5451612402953112</v>
      </c>
      <c r="U604" s="26">
        <f t="shared" si="352"/>
        <v>0.824213765502537</v>
      </c>
      <c r="V604" s="26">
        <f t="shared" si="353"/>
        <v>1.6012695213918087</v>
      </c>
      <c r="W604" s="26">
        <f t="shared" si="354"/>
        <v>0.8321957434764341</v>
      </c>
      <c r="X604" s="26">
        <f t="shared" si="355"/>
        <v>1.4079134253713354E-2</v>
      </c>
      <c r="Y604" s="26">
        <f t="shared" si="356"/>
        <v>1.847336338009641</v>
      </c>
      <c r="Z604" s="26">
        <f t="shared" si="357"/>
        <v>0.86381405512302734</v>
      </c>
      <c r="AA604" s="26">
        <f t="shared" si="358"/>
        <v>-5.3059175496793918</v>
      </c>
      <c r="AB604" s="26">
        <f t="shared" si="359"/>
        <v>4.9376418406376354E-3</v>
      </c>
      <c r="AC604" s="26">
        <f t="shared" si="360"/>
        <v>2.1191291866926938</v>
      </c>
      <c r="AD604" s="26">
        <f t="shared" si="361"/>
        <v>0.89274857891076342</v>
      </c>
      <c r="AE604" s="26">
        <f t="shared" si="362"/>
        <v>5.7514336628303698E-3</v>
      </c>
      <c r="AF604" s="26">
        <f t="shared" si="363"/>
        <v>-3.5439655966662649</v>
      </c>
      <c r="AG604" s="26">
        <f t="shared" si="364"/>
        <v>2.8086832438495059E-2</v>
      </c>
      <c r="AH604" s="26">
        <f t="shared" si="365"/>
        <v>-2.0614898402142057</v>
      </c>
      <c r="AI604" s="26">
        <f t="shared" si="366"/>
        <v>0.11289653514849816</v>
      </c>
      <c r="AJ604" s="26">
        <f t="shared" si="367"/>
        <v>-1.8333565075017422</v>
      </c>
      <c r="AK604" s="26">
        <f t="shared" si="368"/>
        <v>0.13783890293894835</v>
      </c>
      <c r="AL604" s="26">
        <f t="shared" si="369"/>
        <v>9.4997815817064128E-3</v>
      </c>
      <c r="AM604" s="27">
        <f t="shared" si="370"/>
        <v>4.3041987776796686E-2</v>
      </c>
    </row>
    <row r="605" spans="1:39" ht="15" customHeight="1" x14ac:dyDescent="0.2">
      <c r="A605" s="24">
        <v>594</v>
      </c>
      <c r="B605" s="29">
        <f t="shared" si="371"/>
        <v>5.3538088406423876</v>
      </c>
      <c r="C605" s="29">
        <f t="shared" si="372"/>
        <v>-5.3936905553825802</v>
      </c>
      <c r="D605" s="29">
        <f t="shared" si="373"/>
        <v>-3.5017624106112248</v>
      </c>
      <c r="E605" s="29">
        <f t="shared" si="374"/>
        <v>-3.6146650405216958</v>
      </c>
      <c r="F605" s="29">
        <f t="shared" si="375"/>
        <v>3.2532707544152353</v>
      </c>
      <c r="G605" s="29">
        <f t="shared" si="376"/>
        <v>-1.7052387746258395</v>
      </c>
      <c r="H605" s="29">
        <f t="shared" si="377"/>
        <v>5.3882008837194801</v>
      </c>
      <c r="I605" s="29">
        <f t="shared" si="378"/>
        <v>5.0539347807708639</v>
      </c>
      <c r="J605" s="29">
        <f t="shared" si="379"/>
        <v>-2.5590303761785345</v>
      </c>
      <c r="K605" s="26">
        <f t="shared" si="342"/>
        <v>-3.5017624106112248</v>
      </c>
      <c r="L605" s="26">
        <f t="shared" si="343"/>
        <v>2.9262126416924366E-2</v>
      </c>
      <c r="M605" s="26">
        <f t="shared" si="344"/>
        <v>-1.7052387746258395</v>
      </c>
      <c r="N605" s="26">
        <f t="shared" si="345"/>
        <v>0.1537822888812552</v>
      </c>
      <c r="O605" s="26">
        <f t="shared" si="346"/>
        <v>-1.6241545023158233</v>
      </c>
      <c r="P605" s="26">
        <f t="shared" si="347"/>
        <v>0.16463271019323558</v>
      </c>
      <c r="Q605" s="26">
        <f t="shared" si="348"/>
        <v>1.3551964632784947E-2</v>
      </c>
      <c r="R605" s="26">
        <f t="shared" si="349"/>
        <v>-8.8954529659938046</v>
      </c>
      <c r="S605" s="26">
        <f t="shared" si="350"/>
        <v>1.369917343576116E-4</v>
      </c>
      <c r="T605" s="26">
        <f t="shared" si="351"/>
        <v>1.5480319797893958</v>
      </c>
      <c r="U605" s="26">
        <f t="shared" si="352"/>
        <v>0.82462930679729851</v>
      </c>
      <c r="V605" s="26">
        <f t="shared" si="353"/>
        <v>1.6093304976714284</v>
      </c>
      <c r="W605" s="26">
        <f t="shared" si="354"/>
        <v>0.83331841408212737</v>
      </c>
      <c r="X605" s="26">
        <f t="shared" si="355"/>
        <v>1.3891375542048579E-2</v>
      </c>
      <c r="Y605" s="26">
        <f t="shared" si="356"/>
        <v>1.8520464300311628</v>
      </c>
      <c r="Z605" s="26">
        <f t="shared" si="357"/>
        <v>0.8643671983206761</v>
      </c>
      <c r="AA605" s="26">
        <f t="shared" si="358"/>
        <v>-5.3199038151475353</v>
      </c>
      <c r="AB605" s="26">
        <f t="shared" si="359"/>
        <v>4.8693973031819059E-3</v>
      </c>
      <c r="AC605" s="26">
        <f t="shared" si="360"/>
        <v>2.1229633420630067</v>
      </c>
      <c r="AD605" s="26">
        <f t="shared" si="361"/>
        <v>0.89311514130201131</v>
      </c>
      <c r="AE605" s="26">
        <f t="shared" si="362"/>
        <v>5.712186509444505E-3</v>
      </c>
      <c r="AF605" s="26">
        <f t="shared" si="363"/>
        <v>-3.5416441253514175</v>
      </c>
      <c r="AG605" s="26">
        <f t="shared" si="364"/>
        <v>2.8150273347997596E-2</v>
      </c>
      <c r="AH605" s="26">
        <f t="shared" si="365"/>
        <v>-2.0666330607323</v>
      </c>
      <c r="AI605" s="26">
        <f t="shared" si="366"/>
        <v>0.11238246157849344</v>
      </c>
      <c r="AJ605" s="26">
        <f t="shared" si="367"/>
        <v>-1.8393774171277157</v>
      </c>
      <c r="AK605" s="26">
        <f t="shared" si="368"/>
        <v>0.13712494099302441</v>
      </c>
      <c r="AL605" s="26">
        <f t="shared" si="369"/>
        <v>9.4016247211702129E-3</v>
      </c>
      <c r="AM605" s="27">
        <f t="shared" si="370"/>
        <v>4.2557151405448239E-2</v>
      </c>
    </row>
    <row r="606" spans="1:39" ht="15" customHeight="1" x14ac:dyDescent="0.2">
      <c r="A606" s="24">
        <v>595</v>
      </c>
      <c r="B606" s="29">
        <f t="shared" si="371"/>
        <v>5.357862494309372</v>
      </c>
      <c r="C606" s="29">
        <f t="shared" si="372"/>
        <v>-5.3960651663929866</v>
      </c>
      <c r="D606" s="29">
        <f t="shared" si="373"/>
        <v>-3.501157133697347</v>
      </c>
      <c r="E606" s="29">
        <f t="shared" si="374"/>
        <v>-3.6225948172466871</v>
      </c>
      <c r="F606" s="29">
        <f t="shared" si="375"/>
        <v>3.2620123204715772</v>
      </c>
      <c r="G606" s="29">
        <f t="shared" si="376"/>
        <v>-1.7111384669252818</v>
      </c>
      <c r="H606" s="29">
        <f t="shared" si="377"/>
        <v>5.3959041568931152</v>
      </c>
      <c r="I606" s="29">
        <f t="shared" si="378"/>
        <v>5.0677708946466469</v>
      </c>
      <c r="J606" s="29">
        <f t="shared" si="379"/>
        <v>-2.5645418084890199</v>
      </c>
      <c r="K606" s="26">
        <f t="shared" si="342"/>
        <v>-3.501157133697347</v>
      </c>
      <c r="L606" s="26">
        <f t="shared" si="343"/>
        <v>2.9279324724529342E-2</v>
      </c>
      <c r="M606" s="26">
        <f t="shared" si="344"/>
        <v>-1.7111384669252818</v>
      </c>
      <c r="N606" s="26">
        <f t="shared" si="345"/>
        <v>0.15301610967703194</v>
      </c>
      <c r="O606" s="26">
        <f t="shared" si="346"/>
        <v>-1.6311027914635869</v>
      </c>
      <c r="P606" s="26">
        <f t="shared" si="347"/>
        <v>0.16367934584995383</v>
      </c>
      <c r="Q606" s="26">
        <f t="shared" si="348"/>
        <v>1.3395464128934399E-2</v>
      </c>
      <c r="R606" s="26">
        <f t="shared" si="349"/>
        <v>-8.8972223000903341</v>
      </c>
      <c r="S606" s="26">
        <f t="shared" si="350"/>
        <v>1.3674959763055637E-4</v>
      </c>
      <c r="T606" s="26">
        <f t="shared" si="351"/>
        <v>1.5508738535462954</v>
      </c>
      <c r="U606" s="26">
        <f t="shared" si="352"/>
        <v>0.82503990760319657</v>
      </c>
      <c r="V606" s="26">
        <f t="shared" si="353"/>
        <v>1.6173093099067266</v>
      </c>
      <c r="W606" s="26">
        <f t="shared" si="354"/>
        <v>0.83442371640621593</v>
      </c>
      <c r="X606" s="26">
        <f t="shared" si="355"/>
        <v>1.3707752844364604E-2</v>
      </c>
      <c r="Y606" s="26">
        <f t="shared" si="356"/>
        <v>1.856705360612025</v>
      </c>
      <c r="Z606" s="26">
        <f t="shared" si="357"/>
        <v>0.86491246862822513</v>
      </c>
      <c r="AA606" s="26">
        <f t="shared" si="358"/>
        <v>-5.3337332841719691</v>
      </c>
      <c r="AB606" s="26">
        <f t="shared" si="359"/>
        <v>4.8028408340528442E-3</v>
      </c>
      <c r="AC606" s="26">
        <f t="shared" si="360"/>
        <v>2.1267826733211397</v>
      </c>
      <c r="AD606" s="26">
        <f t="shared" si="361"/>
        <v>0.89347918948095606</v>
      </c>
      <c r="AE606" s="26">
        <f t="shared" si="362"/>
        <v>5.6733415368170311E-3</v>
      </c>
      <c r="AF606" s="26">
        <f t="shared" si="363"/>
        <v>-3.5393598057809617</v>
      </c>
      <c r="AG606" s="26">
        <f t="shared" si="364"/>
        <v>2.8212834791936689E-2</v>
      </c>
      <c r="AH606" s="26">
        <f t="shared" si="365"/>
        <v>-2.0717209637003915</v>
      </c>
      <c r="AI606" s="26">
        <f t="shared" si="366"/>
        <v>0.11187592985999231</v>
      </c>
      <c r="AJ606" s="26">
        <f t="shared" si="367"/>
        <v>-1.8453464748014712</v>
      </c>
      <c r="AK606" s="26">
        <f t="shared" si="368"/>
        <v>0.13642020056794668</v>
      </c>
      <c r="AL606" s="26">
        <f t="shared" si="369"/>
        <v>9.3052355614993993E-3</v>
      </c>
      <c r="AM606" s="27">
        <f t="shared" si="370"/>
        <v>4.2081794071615435E-2</v>
      </c>
    </row>
    <row r="607" spans="1:39" ht="15" customHeight="1" x14ac:dyDescent="0.2">
      <c r="A607" s="24">
        <v>596</v>
      </c>
      <c r="B607" s="29">
        <f t="shared" si="371"/>
        <v>5.3618764097198897</v>
      </c>
      <c r="C607" s="29">
        <f t="shared" si="372"/>
        <v>-5.3984259059826627</v>
      </c>
      <c r="D607" s="29">
        <f t="shared" si="373"/>
        <v>-3.500562554122864</v>
      </c>
      <c r="E607" s="29">
        <f t="shared" si="374"/>
        <v>-3.6304418280128665</v>
      </c>
      <c r="F607" s="29">
        <f t="shared" si="375"/>
        <v>3.270654280295489</v>
      </c>
      <c r="G607" s="29">
        <f t="shared" si="376"/>
        <v>-1.7169669386141959</v>
      </c>
      <c r="H607" s="29">
        <f t="shared" si="377"/>
        <v>5.4035663365527693</v>
      </c>
      <c r="I607" s="29">
        <f t="shared" si="378"/>
        <v>5.0814668435458916</v>
      </c>
      <c r="J607" s="29">
        <f t="shared" si="379"/>
        <v>-2.57000506871479</v>
      </c>
      <c r="K607" s="26">
        <f t="shared" si="342"/>
        <v>-3.500562554122864</v>
      </c>
      <c r="L607" s="26">
        <f t="shared" si="343"/>
        <v>2.9296228623047912E-2</v>
      </c>
      <c r="M607" s="26">
        <f t="shared" si="344"/>
        <v>-1.7169669386141959</v>
      </c>
      <c r="N607" s="26">
        <f t="shared" si="345"/>
        <v>0.1522622537625076</v>
      </c>
      <c r="O607" s="26">
        <f t="shared" si="346"/>
        <v>-1.6379853599215815</v>
      </c>
      <c r="P607" s="26">
        <f t="shared" si="347"/>
        <v>0.16273938143781014</v>
      </c>
      <c r="Q607" s="26">
        <f t="shared" si="348"/>
        <v>1.3242053135380532E-2</v>
      </c>
      <c r="R607" s="26">
        <f t="shared" si="349"/>
        <v>-8.8989884601055262</v>
      </c>
      <c r="S607" s="26">
        <f t="shared" si="350"/>
        <v>1.3650832205719892E-4</v>
      </c>
      <c r="T607" s="26">
        <f t="shared" si="351"/>
        <v>1.5536873416812931</v>
      </c>
      <c r="U607" s="26">
        <f t="shared" si="352"/>
        <v>0.82544566063933722</v>
      </c>
      <c r="V607" s="26">
        <f t="shared" si="353"/>
        <v>1.6252073187465634</v>
      </c>
      <c r="W607" s="26">
        <f t="shared" si="354"/>
        <v>0.83551203124831908</v>
      </c>
      <c r="X607" s="26">
        <f t="shared" si="355"/>
        <v>1.352814593202698E-2</v>
      </c>
      <c r="Y607" s="26">
        <f t="shared" si="356"/>
        <v>1.8613138555970257</v>
      </c>
      <c r="Z607" s="26">
        <f t="shared" si="357"/>
        <v>0.86545001512608599</v>
      </c>
      <c r="AA607" s="26">
        <f t="shared" si="358"/>
        <v>-5.347408766627062</v>
      </c>
      <c r="AB607" s="26">
        <f t="shared" si="359"/>
        <v>4.7379158126674044E-3</v>
      </c>
      <c r="AC607" s="26">
        <f t="shared" si="360"/>
        <v>2.1305870610991939</v>
      </c>
      <c r="AD607" s="26">
        <f t="shared" si="361"/>
        <v>0.8938407271292913</v>
      </c>
      <c r="AE607" s="26">
        <f t="shared" si="362"/>
        <v>5.6348956082187939E-3</v>
      </c>
      <c r="AF607" s="26">
        <f t="shared" si="363"/>
        <v>-3.537112050385637</v>
      </c>
      <c r="AG607" s="26">
        <f t="shared" si="364"/>
        <v>2.8274526606936745E-2</v>
      </c>
      <c r="AH607" s="26">
        <f t="shared" si="365"/>
        <v>-2.0767544863315734</v>
      </c>
      <c r="AI607" s="26">
        <f t="shared" si="366"/>
        <v>0.11137677674535437</v>
      </c>
      <c r="AJ607" s="26">
        <f t="shared" si="367"/>
        <v>-1.8512643903870496</v>
      </c>
      <c r="AK607" s="26">
        <f t="shared" si="368"/>
        <v>0.13572451143307002</v>
      </c>
      <c r="AL607" s="26">
        <f t="shared" si="369"/>
        <v>9.2105715018727767E-3</v>
      </c>
      <c r="AM607" s="27">
        <f t="shared" si="370"/>
        <v>4.161566617749908E-2</v>
      </c>
    </row>
    <row r="608" spans="1:39" ht="15" customHeight="1" x14ac:dyDescent="0.2">
      <c r="A608" s="24">
        <v>597</v>
      </c>
      <c r="B608" s="29">
        <f t="shared" si="371"/>
        <v>5.365851168845583</v>
      </c>
      <c r="C608" s="29">
        <f t="shared" si="372"/>
        <v>-5.4007729107789757</v>
      </c>
      <c r="D608" s="29">
        <f t="shared" si="373"/>
        <v>-3.4999785364992282</v>
      </c>
      <c r="E608" s="29">
        <f t="shared" si="374"/>
        <v>-3.6382074606433248</v>
      </c>
      <c r="F608" s="29">
        <f t="shared" si="375"/>
        <v>3.2791984637463694</v>
      </c>
      <c r="G608" s="29">
        <f t="shared" si="376"/>
        <v>-1.7227255486351565</v>
      </c>
      <c r="H608" s="29">
        <f t="shared" si="377"/>
        <v>5.4111876706286131</v>
      </c>
      <c r="I608" s="29">
        <f t="shared" si="378"/>
        <v>5.0950249757702766</v>
      </c>
      <c r="J608" s="29">
        <f t="shared" si="379"/>
        <v>-2.5754208545337587</v>
      </c>
      <c r="K608" s="26">
        <f t="shared" si="342"/>
        <v>-3.4999785364992282</v>
      </c>
      <c r="L608" s="26">
        <f t="shared" si="343"/>
        <v>2.9312841459026039E-2</v>
      </c>
      <c r="M608" s="26">
        <f t="shared" si="344"/>
        <v>-1.7227255486351565</v>
      </c>
      <c r="N608" s="26">
        <f t="shared" si="345"/>
        <v>0.15152042879434524</v>
      </c>
      <c r="O608" s="26">
        <f t="shared" si="346"/>
        <v>-1.644803199192975</v>
      </c>
      <c r="P608" s="26">
        <f t="shared" si="347"/>
        <v>0.16181254960861952</v>
      </c>
      <c r="Q608" s="26">
        <f t="shared" si="348"/>
        <v>1.3091650605420975E-2</v>
      </c>
      <c r="R608" s="26">
        <f t="shared" si="349"/>
        <v>-8.9007514472782034</v>
      </c>
      <c r="S608" s="26">
        <f t="shared" si="350"/>
        <v>1.3626790441988813E-4</v>
      </c>
      <c r="T608" s="26">
        <f t="shared" si="351"/>
        <v>1.5564729151112129</v>
      </c>
      <c r="U608" s="26">
        <f t="shared" si="352"/>
        <v>0.82584665654350142</v>
      </c>
      <c r="V608" s="26">
        <f t="shared" si="353"/>
        <v>1.6330258579160581</v>
      </c>
      <c r="W608" s="26">
        <f t="shared" si="354"/>
        <v>0.83658372944416415</v>
      </c>
      <c r="X608" s="26">
        <f t="shared" si="355"/>
        <v>1.3352438741189071E-2</v>
      </c>
      <c r="Y608" s="26">
        <f t="shared" si="356"/>
        <v>1.8658726323463548</v>
      </c>
      <c r="Z608" s="26">
        <f t="shared" si="357"/>
        <v>0.86597998390079178</v>
      </c>
      <c r="AA608" s="26">
        <f t="shared" si="358"/>
        <v>-5.3609330092784813</v>
      </c>
      <c r="AB608" s="26">
        <f t="shared" si="359"/>
        <v>4.6745679520217983E-3</v>
      </c>
      <c r="AC608" s="26">
        <f t="shared" si="360"/>
        <v>2.1343763978278574</v>
      </c>
      <c r="AD608" s="26">
        <f t="shared" si="361"/>
        <v>0.89419975908013805</v>
      </c>
      <c r="AE608" s="26">
        <f t="shared" si="362"/>
        <v>5.5968454893504157E-3</v>
      </c>
      <c r="AF608" s="26">
        <f t="shared" si="363"/>
        <v>-3.5349002784326209</v>
      </c>
      <c r="AG608" s="26">
        <f t="shared" si="364"/>
        <v>2.8335358657586539E-2</v>
      </c>
      <c r="AH608" s="26">
        <f t="shared" si="365"/>
        <v>-2.0817345455321119</v>
      </c>
      <c r="AI608" s="26">
        <f t="shared" si="366"/>
        <v>0.11088484346220702</v>
      </c>
      <c r="AJ608" s="26">
        <f t="shared" si="367"/>
        <v>-1.8571318642486645</v>
      </c>
      <c r="AK608" s="26">
        <f t="shared" si="368"/>
        <v>0.13503770691544564</v>
      </c>
      <c r="AL608" s="26">
        <f t="shared" si="369"/>
        <v>9.117591144490898E-3</v>
      </c>
      <c r="AM608" s="27">
        <f t="shared" si="370"/>
        <v>4.115852598045136E-2</v>
      </c>
    </row>
    <row r="609" spans="1:39" ht="15" customHeight="1" x14ac:dyDescent="0.2">
      <c r="A609" s="24">
        <v>598</v>
      </c>
      <c r="B609" s="29">
        <f t="shared" si="371"/>
        <v>5.3697873447077011</v>
      </c>
      <c r="C609" s="29">
        <f t="shared" si="372"/>
        <v>-5.403106315774636</v>
      </c>
      <c r="D609" s="29">
        <f t="shared" si="373"/>
        <v>-3.499404945109946</v>
      </c>
      <c r="E609" s="29">
        <f t="shared" si="374"/>
        <v>-3.6458930740739466</v>
      </c>
      <c r="F609" s="29">
        <f t="shared" si="375"/>
        <v>3.2876466588760791</v>
      </c>
      <c r="G609" s="29">
        <f t="shared" si="376"/>
        <v>-1.7284156232050836</v>
      </c>
      <c r="H609" s="29">
        <f t="shared" si="377"/>
        <v>5.4187684102761464</v>
      </c>
      <c r="I609" s="29">
        <f t="shared" si="378"/>
        <v>5.1084475912049214</v>
      </c>
      <c r="J609" s="29">
        <f t="shared" si="379"/>
        <v>-2.5807898523310673</v>
      </c>
      <c r="K609" s="26">
        <f t="shared" si="342"/>
        <v>-3.499404945109946</v>
      </c>
      <c r="L609" s="26">
        <f t="shared" si="343"/>
        <v>2.9329166605332697E-2</v>
      </c>
      <c r="M609" s="26">
        <f t="shared" si="344"/>
        <v>-1.7284156232050836</v>
      </c>
      <c r="N609" s="26">
        <f t="shared" si="345"/>
        <v>0.15079035111559164</v>
      </c>
      <c r="O609" s="26">
        <f t="shared" si="346"/>
        <v>-1.651557284896976</v>
      </c>
      <c r="P609" s="26">
        <f t="shared" si="347"/>
        <v>0.16089858913545971</v>
      </c>
      <c r="Q609" s="26">
        <f t="shared" si="348"/>
        <v>1.2944177992890736E-2</v>
      </c>
      <c r="R609" s="26">
        <f t="shared" si="349"/>
        <v>-8.902511260884582</v>
      </c>
      <c r="S609" s="26">
        <f t="shared" si="350"/>
        <v>1.3602834178262543E-4</v>
      </c>
      <c r="T609" s="26">
        <f t="shared" si="351"/>
        <v>1.5592310356709955</v>
      </c>
      <c r="U609" s="26">
        <f t="shared" si="352"/>
        <v>0.82624298391438122</v>
      </c>
      <c r="V609" s="26">
        <f t="shared" si="353"/>
        <v>1.6407662346776748</v>
      </c>
      <c r="W609" s="26">
        <f t="shared" si="354"/>
        <v>0.8376391721356804</v>
      </c>
      <c r="X609" s="26">
        <f t="shared" si="355"/>
        <v>1.318051921239361E-2</v>
      </c>
      <c r="Y609" s="26">
        <f t="shared" si="356"/>
        <v>1.8703823995977551</v>
      </c>
      <c r="Z609" s="26">
        <f t="shared" si="357"/>
        <v>0.86650251808583967</v>
      </c>
      <c r="AA609" s="26">
        <f t="shared" si="358"/>
        <v>-5.3743086972790302</v>
      </c>
      <c r="AB609" s="26">
        <f t="shared" si="359"/>
        <v>4.6127451867733048E-3</v>
      </c>
      <c r="AC609" s="26">
        <f t="shared" si="360"/>
        <v>2.1381505871354305</v>
      </c>
      <c r="AD609" s="26">
        <f t="shared" si="361"/>
        <v>0.89455629124310221</v>
      </c>
      <c r="AE609" s="26">
        <f t="shared" si="362"/>
        <v>5.5591878582047418E-3</v>
      </c>
      <c r="AF609" s="26">
        <f t="shared" si="363"/>
        <v>-3.5327239161768809</v>
      </c>
      <c r="AG609" s="26">
        <f t="shared" si="364"/>
        <v>2.8395340826437718E-2</v>
      </c>
      <c r="AH609" s="26">
        <f t="shared" si="365"/>
        <v>-2.0866620384029511</v>
      </c>
      <c r="AI609" s="26">
        <f t="shared" si="366"/>
        <v>0.1103999755698437</v>
      </c>
      <c r="AJ609" s="26">
        <f t="shared" si="367"/>
        <v>-1.8629495871928918</v>
      </c>
      <c r="AK609" s="26">
        <f t="shared" si="368"/>
        <v>0.1343596238400642</v>
      </c>
      <c r="AL609" s="26">
        <f t="shared" si="369"/>
        <v>9.0262542592217734E-3</v>
      </c>
      <c r="AM609" s="27">
        <f t="shared" si="370"/>
        <v>4.0710139322710864E-2</v>
      </c>
    </row>
    <row r="610" spans="1:39" ht="15" customHeight="1" x14ac:dyDescent="0.2">
      <c r="A610" s="24">
        <v>599</v>
      </c>
      <c r="B610" s="29">
        <f t="shared" si="371"/>
        <v>5.3736855014279792</v>
      </c>
      <c r="C610" s="29">
        <f t="shared" si="372"/>
        <v>-5.4054262543417506</v>
      </c>
      <c r="D610" s="29">
        <f t="shared" si="373"/>
        <v>-3.4988416440776495</v>
      </c>
      <c r="E610" s="29">
        <f t="shared" si="374"/>
        <v>-3.6534999989649113</v>
      </c>
      <c r="F610" s="29">
        <f t="shared" si="375"/>
        <v>3.2960006129102704</v>
      </c>
      <c r="G610" s="29">
        <f t="shared" si="376"/>
        <v>-1.7340384566739413</v>
      </c>
      <c r="H610" s="29">
        <f t="shared" si="377"/>
        <v>5.4263088095580505</v>
      </c>
      <c r="I610" s="29">
        <f t="shared" si="378"/>
        <v>5.1217369422792363</v>
      </c>
      <c r="J610" s="29">
        <f t="shared" si="379"/>
        <v>-2.5861127372799415</v>
      </c>
      <c r="K610" s="26">
        <f t="shared" si="342"/>
        <v>-3.4988416440776495</v>
      </c>
      <c r="L610" s="26">
        <f t="shared" si="343"/>
        <v>2.9345207456078583E-2</v>
      </c>
      <c r="M610" s="26">
        <f t="shared" si="344"/>
        <v>-1.7340384566739413</v>
      </c>
      <c r="N610" s="26">
        <f t="shared" si="345"/>
        <v>0.15007174546153021</v>
      </c>
      <c r="O610" s="26">
        <f t="shared" si="346"/>
        <v>-1.6582485768200681</v>
      </c>
      <c r="P610" s="26">
        <f t="shared" si="347"/>
        <v>0.15999724479010172</v>
      </c>
      <c r="Q610" s="26">
        <f t="shared" si="348"/>
        <v>1.2799559170211866E-2</v>
      </c>
      <c r="R610" s="26">
        <f t="shared" si="349"/>
        <v>-8.9042678984194001</v>
      </c>
      <c r="S610" s="26">
        <f t="shared" si="350"/>
        <v>1.3578963146405833E-4</v>
      </c>
      <c r="T610" s="26">
        <f t="shared" si="351"/>
        <v>1.5619621562363291</v>
      </c>
      <c r="U610" s="26">
        <f t="shared" si="352"/>
        <v>0.82663472935390514</v>
      </c>
      <c r="V610" s="26">
        <f t="shared" si="353"/>
        <v>1.6484297302964124</v>
      </c>
      <c r="W610" s="26">
        <f t="shared" si="354"/>
        <v>0.83867871103552605</v>
      </c>
      <c r="X610" s="26">
        <f t="shared" si="355"/>
        <v>1.3012279136579652E-2</v>
      </c>
      <c r="Y610" s="26">
        <f t="shared" si="356"/>
        <v>1.8748438573503297</v>
      </c>
      <c r="Z610" s="26">
        <f t="shared" si="357"/>
        <v>0.8670177579040278</v>
      </c>
      <c r="AA610" s="26">
        <f t="shared" si="358"/>
        <v>-5.3875384556388521</v>
      </c>
      <c r="AB610" s="26">
        <f t="shared" si="359"/>
        <v>4.5523975673452052E-3</v>
      </c>
      <c r="AC610" s="26">
        <f t="shared" si="360"/>
        <v>2.1419095432745672</v>
      </c>
      <c r="AD610" s="26">
        <f t="shared" si="361"/>
        <v>0.8949103305332583</v>
      </c>
      <c r="AE610" s="26">
        <f t="shared" si="362"/>
        <v>5.5219193143145112E-3</v>
      </c>
      <c r="AF610" s="26">
        <f t="shared" si="363"/>
        <v>-3.530582396991421</v>
      </c>
      <c r="AG610" s="26">
        <f t="shared" si="364"/>
        <v>2.8454483004633751E-2</v>
      </c>
      <c r="AH610" s="26">
        <f t="shared" si="365"/>
        <v>-2.0915378427285822</v>
      </c>
      <c r="AI610" s="26">
        <f t="shared" si="366"/>
        <v>0.1099220228207288</v>
      </c>
      <c r="AJ610" s="26">
        <f t="shared" si="367"/>
        <v>-1.8687182404294895</v>
      </c>
      <c r="AK610" s="26">
        <f t="shared" si="368"/>
        <v>0.13369010246913421</v>
      </c>
      <c r="AL610" s="26">
        <f t="shared" si="369"/>
        <v>8.9365217491038026E-3</v>
      </c>
      <c r="AM610" s="27">
        <f t="shared" si="370"/>
        <v>4.0270279370209834E-2</v>
      </c>
    </row>
    <row r="611" spans="1:39" ht="15" customHeight="1" x14ac:dyDescent="0.2">
      <c r="A611" s="24">
        <v>600</v>
      </c>
      <c r="B611" s="29">
        <f t="shared" si="371"/>
        <v>5.3775461942873504</v>
      </c>
      <c r="C611" s="29">
        <f t="shared" si="372"/>
        <v>-5.4077328582463693</v>
      </c>
      <c r="D611" s="29">
        <f t="shared" si="373"/>
        <v>-3.4982884975189128</v>
      </c>
      <c r="E611" s="29">
        <f t="shared" si="374"/>
        <v>-3.6610295383049825</v>
      </c>
      <c r="F611" s="29">
        <f t="shared" si="375"/>
        <v>3.3042620332156427</v>
      </c>
      <c r="G611" s="29">
        <f t="shared" si="376"/>
        <v>-1.7395953123642069</v>
      </c>
      <c r="H611" s="29">
        <f t="shared" si="377"/>
        <v>5.4338091251428384</v>
      </c>
      <c r="I611" s="29">
        <f t="shared" si="378"/>
        <v>5.1348952349232215</v>
      </c>
      <c r="J611" s="29">
        <f t="shared" si="379"/>
        <v>-2.5913901734330342</v>
      </c>
      <c r="K611" s="26">
        <f t="shared" si="342"/>
        <v>-3.4982884975189128</v>
      </c>
      <c r="L611" s="26">
        <f t="shared" si="343"/>
        <v>2.9360967421871262E-2</v>
      </c>
      <c r="M611" s="26">
        <f t="shared" si="344"/>
        <v>-1.7395953123642069</v>
      </c>
      <c r="N611" s="26">
        <f t="shared" si="345"/>
        <v>0.14936434467590101</v>
      </c>
      <c r="O611" s="26">
        <f t="shared" si="346"/>
        <v>-1.6648780189893349</v>
      </c>
      <c r="P611" s="26">
        <f t="shared" si="347"/>
        <v>0.15910826721985777</v>
      </c>
      <c r="Q611" s="26">
        <f t="shared" si="348"/>
        <v>1.2657720348852833E-2</v>
      </c>
      <c r="R611" s="26">
        <f t="shared" si="349"/>
        <v>-8.906021355765283</v>
      </c>
      <c r="S611" s="26">
        <f t="shared" si="350"/>
        <v>1.355517710123517E-4</v>
      </c>
      <c r="T611" s="26">
        <f t="shared" si="351"/>
        <v>1.5646667208514358</v>
      </c>
      <c r="U611" s="26">
        <f t="shared" si="352"/>
        <v>0.82702197750953488</v>
      </c>
      <c r="V611" s="26">
        <f t="shared" si="353"/>
        <v>1.6560176005077119</v>
      </c>
      <c r="W611" s="26">
        <f t="shared" si="354"/>
        <v>0.83970268868593412</v>
      </c>
      <c r="X611" s="26">
        <f t="shared" si="355"/>
        <v>1.2847614007259277E-2</v>
      </c>
      <c r="Y611" s="26">
        <f t="shared" si="356"/>
        <v>1.8792576967684376</v>
      </c>
      <c r="Z611" s="26">
        <f t="shared" si="357"/>
        <v>0.86752584071106531</v>
      </c>
      <c r="AA611" s="26">
        <f t="shared" si="358"/>
        <v>-5.400624850669189</v>
      </c>
      <c r="AB611" s="26">
        <f t="shared" si="359"/>
        <v>4.4934771597012098E-3</v>
      </c>
      <c r="AC611" s="26">
        <f t="shared" si="360"/>
        <v>2.1456531905755507</v>
      </c>
      <c r="AD611" s="26">
        <f t="shared" si="361"/>
        <v>0.89526188480387225</v>
      </c>
      <c r="AE611" s="26">
        <f t="shared" si="362"/>
        <v>5.4850363874186627E-3</v>
      </c>
      <c r="AF611" s="26">
        <f t="shared" si="363"/>
        <v>-3.5284751614779317</v>
      </c>
      <c r="AG611" s="26">
        <f t="shared" si="364"/>
        <v>2.8512795083138337E-2</v>
      </c>
      <c r="AH611" s="26">
        <f t="shared" si="365"/>
        <v>-2.0963628174535467</v>
      </c>
      <c r="AI611" s="26">
        <f t="shared" si="366"/>
        <v>0.10945083902691746</v>
      </c>
      <c r="AJ611" s="26">
        <f t="shared" si="367"/>
        <v>-1.8744384955492823</v>
      </c>
      <c r="AK611" s="26">
        <f t="shared" si="368"/>
        <v>0.13302898644062577</v>
      </c>
      <c r="AL611" s="26">
        <f t="shared" si="369"/>
        <v>8.8483556167100984E-3</v>
      </c>
      <c r="AM611" s="27">
        <f t="shared" si="370"/>
        <v>3.983872636024087E-2</v>
      </c>
    </row>
    <row r="612" spans="1:39" ht="15" customHeight="1" x14ac:dyDescent="0.2">
      <c r="A612" s="24">
        <v>601</v>
      </c>
      <c r="B612" s="29">
        <f t="shared" si="371"/>
        <v>5.3813699697917459</v>
      </c>
      <c r="C612" s="29">
        <f t="shared" si="372"/>
        <v>-5.4100262576634597</v>
      </c>
      <c r="D612" s="29">
        <f t="shared" si="373"/>
        <v>-3.4977453696875349</v>
      </c>
      <c r="E612" s="29">
        <f t="shared" si="374"/>
        <v>-3.6684829680080373</v>
      </c>
      <c r="F612" s="29">
        <f t="shared" si="375"/>
        <v>3.3124325882522303</v>
      </c>
      <c r="G612" s="29">
        <f t="shared" si="376"/>
        <v>-1.7450874233910225</v>
      </c>
      <c r="H612" s="29">
        <f t="shared" si="377"/>
        <v>5.441269616019536</v>
      </c>
      <c r="I612" s="29">
        <f t="shared" si="378"/>
        <v>5.1479246295175827</v>
      </c>
      <c r="J612" s="29">
        <f t="shared" si="379"/>
        <v>-2.5966228138231009</v>
      </c>
      <c r="K612" s="26">
        <f t="shared" si="342"/>
        <v>-3.4977453696875349</v>
      </c>
      <c r="L612" s="26">
        <f t="shared" si="343"/>
        <v>2.9376449925388549E-2</v>
      </c>
      <c r="M612" s="26">
        <f t="shared" si="344"/>
        <v>-1.7450874233910225</v>
      </c>
      <c r="N612" s="26">
        <f t="shared" si="345"/>
        <v>0.14866788943716727</v>
      </c>
      <c r="O612" s="26">
        <f t="shared" si="346"/>
        <v>-1.6714465397655744</v>
      </c>
      <c r="P612" s="26">
        <f t="shared" si="347"/>
        <v>0.15823141282422756</v>
      </c>
      <c r="Q612" s="26">
        <f t="shared" si="348"/>
        <v>1.2518590002175563E-2</v>
      </c>
      <c r="R612" s="26">
        <f t="shared" si="349"/>
        <v>-8.9077716273509946</v>
      </c>
      <c r="S612" s="26">
        <f t="shared" si="350"/>
        <v>1.3531475818182661E-4</v>
      </c>
      <c r="T612" s="26">
        <f t="shared" si="351"/>
        <v>1.5673451648612078</v>
      </c>
      <c r="U612" s="26">
        <f t="shared" si="352"/>
        <v>0.8274048111164285</v>
      </c>
      <c r="V612" s="26">
        <f t="shared" si="353"/>
        <v>1.6635310759867985</v>
      </c>
      <c r="W612" s="26">
        <f t="shared" si="354"/>
        <v>0.84071143871178988</v>
      </c>
      <c r="X612" s="26">
        <f t="shared" si="355"/>
        <v>1.2686422878633936E-2</v>
      </c>
      <c r="Y612" s="26">
        <f t="shared" si="356"/>
        <v>1.883624600104211</v>
      </c>
      <c r="Z612" s="26">
        <f t="shared" si="357"/>
        <v>0.8680269010402466</v>
      </c>
      <c r="AA612" s="26">
        <f t="shared" si="358"/>
        <v>-5.4135703913990598</v>
      </c>
      <c r="AB612" s="26">
        <f t="shared" si="359"/>
        <v>4.4359379504577022E-3</v>
      </c>
      <c r="AC612" s="26">
        <f t="shared" si="360"/>
        <v>2.1493814629249628</v>
      </c>
      <c r="AD612" s="26">
        <f t="shared" si="361"/>
        <v>0.89561096278268748</v>
      </c>
      <c r="AE612" s="26">
        <f t="shared" si="362"/>
        <v>5.4485355455787289E-3</v>
      </c>
      <c r="AF612" s="26">
        <f t="shared" si="363"/>
        <v>-3.5264016575592487</v>
      </c>
      <c r="AG612" s="26">
        <f t="shared" si="364"/>
        <v>2.857028694453367E-2</v>
      </c>
      <c r="AH612" s="26">
        <f t="shared" si="365"/>
        <v>-2.1011378031468295</v>
      </c>
      <c r="AI612" s="26">
        <f t="shared" si="366"/>
        <v>0.10898628193120539</v>
      </c>
      <c r="AJ612" s="26">
        <f t="shared" si="367"/>
        <v>-1.8801110145176509</v>
      </c>
      <c r="AK612" s="26">
        <f t="shared" si="368"/>
        <v>0.13237612270628782</v>
      </c>
      <c r="AL612" s="26">
        <f t="shared" si="369"/>
        <v>8.7617189313750846E-3</v>
      </c>
      <c r="AM612" s="27">
        <f t="shared" si="370"/>
        <v>3.9415267357763316E-2</v>
      </c>
    </row>
    <row r="613" spans="1:39" ht="15" customHeight="1" x14ac:dyDescent="0.2">
      <c r="A613" s="24">
        <v>602</v>
      </c>
      <c r="B613" s="29">
        <f t="shared" si="371"/>
        <v>5.3851573657442877</v>
      </c>
      <c r="C613" s="29">
        <f t="shared" si="372"/>
        <v>-5.4123065811922624</v>
      </c>
      <c r="D613" s="29">
        <f t="shared" si="373"/>
        <v>-3.4972121251069681</v>
      </c>
      <c r="E613" s="29">
        <f t="shared" si="374"/>
        <v>-3.6758615375013597</v>
      </c>
      <c r="F613" s="29">
        <f t="shared" si="375"/>
        <v>3.3205139085099571</v>
      </c>
      <c r="G613" s="29">
        <f t="shared" si="376"/>
        <v>-1.7505159934630095</v>
      </c>
      <c r="H613" s="29">
        <f t="shared" si="377"/>
        <v>5.4486905432276558</v>
      </c>
      <c r="I613" s="29">
        <f t="shared" si="378"/>
        <v>5.1608272418362278</v>
      </c>
      <c r="J613" s="29">
        <f t="shared" si="379"/>
        <v>-2.6018113005719559</v>
      </c>
      <c r="K613" s="26">
        <f t="shared" si="342"/>
        <v>-3.4972121251069681</v>
      </c>
      <c r="L613" s="26">
        <f t="shared" si="343"/>
        <v>2.9391658397252645E-2</v>
      </c>
      <c r="M613" s="26">
        <f t="shared" si="344"/>
        <v>-1.7505159934630095</v>
      </c>
      <c r="N613" s="26">
        <f t="shared" si="345"/>
        <v>0.14798212799450902</v>
      </c>
      <c r="O613" s="26">
        <f t="shared" si="346"/>
        <v>-1.67795505195411</v>
      </c>
      <c r="P613" s="26">
        <f t="shared" si="347"/>
        <v>0.15736644363167851</v>
      </c>
      <c r="Q613" s="26">
        <f t="shared" si="348"/>
        <v>1.2382098790641125E-2</v>
      </c>
      <c r="R613" s="26">
        <f t="shared" si="349"/>
        <v>-8.9095187062992309</v>
      </c>
      <c r="S613" s="26">
        <f t="shared" si="350"/>
        <v>1.3507859091125624E-4</v>
      </c>
      <c r="T613" s="26">
        <f t="shared" si="351"/>
        <v>1.5699979150469476</v>
      </c>
      <c r="U613" s="26">
        <f t="shared" si="352"/>
        <v>0.82778331103937752</v>
      </c>
      <c r="V613" s="26">
        <f t="shared" si="353"/>
        <v>1.6709713628183462</v>
      </c>
      <c r="W613" s="26">
        <f t="shared" si="354"/>
        <v>0.84170528606788875</v>
      </c>
      <c r="X613" s="26">
        <f t="shared" si="355"/>
        <v>1.2528608229424467E-2</v>
      </c>
      <c r="Y613" s="26">
        <f t="shared" si="356"/>
        <v>1.8879452406373196</v>
      </c>
      <c r="Z613" s="26">
        <f t="shared" si="357"/>
        <v>0.8685210706480071</v>
      </c>
      <c r="AA613" s="26">
        <f t="shared" si="358"/>
        <v>-5.4263775309643689</v>
      </c>
      <c r="AB613" s="26">
        <f t="shared" si="359"/>
        <v>4.3797357570228741E-3</v>
      </c>
      <c r="AC613" s="26">
        <f t="shared" si="360"/>
        <v>2.1530943032686864</v>
      </c>
      <c r="AD613" s="26">
        <f t="shared" si="361"/>
        <v>0.89595757401160347</v>
      </c>
      <c r="AE613" s="26">
        <f t="shared" si="362"/>
        <v>5.4124132027754844E-3</v>
      </c>
      <c r="AF613" s="26">
        <f t="shared" si="363"/>
        <v>-3.5243613405549428</v>
      </c>
      <c r="AG613" s="26">
        <f t="shared" si="364"/>
        <v>2.8626968455360356E-2</v>
      </c>
      <c r="AH613" s="26">
        <f t="shared" si="365"/>
        <v>-2.1058636224544118</v>
      </c>
      <c r="AI613" s="26">
        <f t="shared" si="366"/>
        <v>0.10852821308283098</v>
      </c>
      <c r="AJ613" s="26">
        <f t="shared" si="367"/>
        <v>-1.8857364496822764</v>
      </c>
      <c r="AK613" s="26">
        <f t="shared" si="368"/>
        <v>0.1317313614693259</v>
      </c>
      <c r="AL613" s="26">
        <f t="shared" si="369"/>
        <v>8.6765757972811011E-3</v>
      </c>
      <c r="AM613" s="27">
        <f t="shared" si="370"/>
        <v>3.8999696020122182E-2</v>
      </c>
    </row>
    <row r="614" spans="1:39" ht="15" customHeight="1" x14ac:dyDescent="0.2">
      <c r="A614" s="24">
        <v>603</v>
      </c>
      <c r="B614" s="29">
        <f t="shared" si="371"/>
        <v>5.3889089113232345</v>
      </c>
      <c r="C614" s="29">
        <f t="shared" si="372"/>
        <v>-5.4145739558719788</v>
      </c>
      <c r="D614" s="29">
        <f t="shared" si="373"/>
        <v>-3.4966886286925396</v>
      </c>
      <c r="E614" s="29">
        <f t="shared" si="374"/>
        <v>-3.6831664703052871</v>
      </c>
      <c r="F614" s="29">
        <f t="shared" si="375"/>
        <v>3.3285075874288403</v>
      </c>
      <c r="G614" s="29">
        <f t="shared" si="376"/>
        <v>-1.7558821976637897</v>
      </c>
      <c r="H614" s="29">
        <f t="shared" si="377"/>
        <v>5.4560721696017502</v>
      </c>
      <c r="I614" s="29">
        <f t="shared" si="378"/>
        <v>5.1736051439798771</v>
      </c>
      <c r="J614" s="29">
        <f t="shared" si="379"/>
        <v>-2.6069562650067319</v>
      </c>
      <c r="K614" s="26">
        <f t="shared" si="342"/>
        <v>-3.4966886286925396</v>
      </c>
      <c r="L614" s="26">
        <f t="shared" si="343"/>
        <v>2.9406596272188609E-2</v>
      </c>
      <c r="M614" s="26">
        <f t="shared" si="344"/>
        <v>-1.7558821976637897</v>
      </c>
      <c r="N614" s="26">
        <f t="shared" si="345"/>
        <v>0.14730681591322917</v>
      </c>
      <c r="O614" s="26">
        <f t="shared" si="346"/>
        <v>-1.6844044529313498</v>
      </c>
      <c r="P614" s="26">
        <f t="shared" si="347"/>
        <v>0.15651312717686064</v>
      </c>
      <c r="Q614" s="26">
        <f t="shared" si="348"/>
        <v>1.2248179489340077E-2</v>
      </c>
      <c r="R614" s="26">
        <f t="shared" si="349"/>
        <v>-8.9112625845645184</v>
      </c>
      <c r="S614" s="26">
        <f t="shared" si="350"/>
        <v>1.3484326730372331E-4</v>
      </c>
      <c r="T614" s="26">
        <f t="shared" si="351"/>
        <v>1.5726253897650506</v>
      </c>
      <c r="U614" s="26">
        <f t="shared" si="352"/>
        <v>0.82815755631443755</v>
      </c>
      <c r="V614" s="26">
        <f t="shared" si="353"/>
        <v>1.6783396429654407</v>
      </c>
      <c r="W614" s="26">
        <f t="shared" si="354"/>
        <v>0.8426845472803407</v>
      </c>
      <c r="X614" s="26">
        <f t="shared" si="355"/>
        <v>1.237407583219568E-2</v>
      </c>
      <c r="Y614" s="26">
        <f t="shared" si="356"/>
        <v>1.8922202826306949</v>
      </c>
      <c r="Z614" s="26">
        <f t="shared" si="357"/>
        <v>0.8690084785601816</v>
      </c>
      <c r="AA614" s="26">
        <f t="shared" si="358"/>
        <v>-5.439048667969077</v>
      </c>
      <c r="AB614" s="26">
        <f t="shared" si="359"/>
        <v>4.324828142471147E-3</v>
      </c>
      <c r="AC614" s="26">
        <f t="shared" si="360"/>
        <v>2.1567916631381521</v>
      </c>
      <c r="AD614" s="26">
        <f t="shared" si="361"/>
        <v>0.89630172878958181</v>
      </c>
      <c r="AE614" s="26">
        <f t="shared" si="362"/>
        <v>5.3766657260147233E-3</v>
      </c>
      <c r="AF614" s="26">
        <f t="shared" si="363"/>
        <v>-3.5223536732412839</v>
      </c>
      <c r="AG614" s="26">
        <f t="shared" si="364"/>
        <v>2.8682849458971642E-2</v>
      </c>
      <c r="AH614" s="26">
        <f t="shared" si="365"/>
        <v>-2.1105410805402363</v>
      </c>
      <c r="AI614" s="26">
        <f t="shared" si="366"/>
        <v>0.10807649771755894</v>
      </c>
      <c r="AJ614" s="26">
        <f t="shared" si="367"/>
        <v>-1.8913154437938677</v>
      </c>
      <c r="AK614" s="26">
        <f t="shared" si="368"/>
        <v>0.1310945561219119</v>
      </c>
      <c r="AL614" s="26">
        <f t="shared" si="369"/>
        <v>8.5928913224005542E-3</v>
      </c>
      <c r="AM614" s="27">
        <f t="shared" si="370"/>
        <v>3.8591812369951038E-2</v>
      </c>
    </row>
    <row r="615" spans="1:39" ht="15" customHeight="1" x14ac:dyDescent="0.2">
      <c r="A615" s="24">
        <v>604</v>
      </c>
      <c r="B615" s="29">
        <f t="shared" si="371"/>
        <v>5.3926251271650694</v>
      </c>
      <c r="C615" s="29">
        <f t="shared" si="372"/>
        <v>-5.4168285071977493</v>
      </c>
      <c r="D615" s="29">
        <f t="shared" si="373"/>
        <v>-3.4961747458640788</v>
      </c>
      <c r="E615" s="29">
        <f t="shared" si="374"/>
        <v>-3.690398964603868</v>
      </c>
      <c r="F615" s="29">
        <f t="shared" si="375"/>
        <v>3.3364151823023285</v>
      </c>
      <c r="G615" s="29">
        <f t="shared" si="376"/>
        <v>-1.7611871832143082</v>
      </c>
      <c r="H615" s="29">
        <f t="shared" si="377"/>
        <v>5.4634147595298703</v>
      </c>
      <c r="I615" s="29">
        <f t="shared" si="378"/>
        <v>5.186260365299673</v>
      </c>
      <c r="J615" s="29">
        <f t="shared" si="379"/>
        <v>-2.6120583277825511</v>
      </c>
      <c r="K615" s="26">
        <f t="shared" si="342"/>
        <v>-3.4961747458640788</v>
      </c>
      <c r="L615" s="26">
        <f t="shared" si="343"/>
        <v>2.9421266985451215E-2</v>
      </c>
      <c r="M615" s="26">
        <f t="shared" si="344"/>
        <v>-1.7611871832143082</v>
      </c>
      <c r="N615" s="26">
        <f t="shared" si="345"/>
        <v>0.1466417158292615</v>
      </c>
      <c r="O615" s="26">
        <f t="shared" si="346"/>
        <v>-1.6907956247853315</v>
      </c>
      <c r="P615" s="26">
        <f t="shared" si="347"/>
        <v>0.15567123637851946</v>
      </c>
      <c r="Q615" s="26">
        <f t="shared" si="348"/>
        <v>1.211676691780844E-2</v>
      </c>
      <c r="R615" s="26">
        <f t="shared" si="349"/>
        <v>-8.9130032530618273</v>
      </c>
      <c r="S615" s="26">
        <f t="shared" si="350"/>
        <v>1.3460878560793708E-4</v>
      </c>
      <c r="T615" s="26">
        <f t="shared" si="351"/>
        <v>1.5752279990880202</v>
      </c>
      <c r="U615" s="26">
        <f t="shared" si="352"/>
        <v>0.82852762419017956</v>
      </c>
      <c r="V615" s="26">
        <f t="shared" si="353"/>
        <v>1.6856370747369325</v>
      </c>
      <c r="W615" s="26">
        <f t="shared" si="354"/>
        <v>0.84364953068211357</v>
      </c>
      <c r="X615" s="26">
        <f t="shared" si="355"/>
        <v>1.2222734627961673E-2</v>
      </c>
      <c r="Y615" s="26">
        <f t="shared" si="356"/>
        <v>1.8964503813009905</v>
      </c>
      <c r="Z615" s="26">
        <f t="shared" si="357"/>
        <v>0.86948925111881514</v>
      </c>
      <c r="AA615" s="26">
        <f t="shared" si="358"/>
        <v>-5.4515861478181762</v>
      </c>
      <c r="AB615" s="26">
        <f t="shared" si="359"/>
        <v>4.2711743348794219E-3</v>
      </c>
      <c r="AC615" s="26">
        <f t="shared" si="360"/>
        <v>2.1604735021988275</v>
      </c>
      <c r="AD615" s="26">
        <f t="shared" si="361"/>
        <v>0.89664343811862279</v>
      </c>
      <c r="AE615" s="26">
        <f t="shared" si="362"/>
        <v>5.3412894419694783E-3</v>
      </c>
      <c r="AF615" s="26">
        <f t="shared" si="363"/>
        <v>-3.5203781258967588</v>
      </c>
      <c r="AG615" s="26">
        <f t="shared" si="364"/>
        <v>2.8737939768875575E-2</v>
      </c>
      <c r="AH615" s="26">
        <f t="shared" si="365"/>
        <v>-2.1151709655158477</v>
      </c>
      <c r="AI615" s="26">
        <f t="shared" si="366"/>
        <v>0.10763100464198093</v>
      </c>
      <c r="AJ615" s="26">
        <f t="shared" si="367"/>
        <v>-1.8968486300387051</v>
      </c>
      <c r="AK615" s="26">
        <f t="shared" si="368"/>
        <v>0.1304655631826771</v>
      </c>
      <c r="AL615" s="26">
        <f t="shared" si="369"/>
        <v>8.510631588286556E-3</v>
      </c>
      <c r="AM615" s="27">
        <f t="shared" si="370"/>
        <v>3.8191422576026146E-2</v>
      </c>
    </row>
    <row r="616" spans="1:39" ht="15" customHeight="1" x14ac:dyDescent="0.2">
      <c r="A616" s="24">
        <v>605</v>
      </c>
      <c r="B616" s="29">
        <f t="shared" si="371"/>
        <v>5.3963065254521805</v>
      </c>
      <c r="C616" s="29">
        <f t="shared" si="372"/>
        <v>-5.419070359136879</v>
      </c>
      <c r="D616" s="29">
        <f t="shared" si="373"/>
        <v>-3.4956703426495337</v>
      </c>
      <c r="E616" s="29">
        <f t="shared" si="374"/>
        <v>-3.697560193806237</v>
      </c>
      <c r="F616" s="29">
        <f t="shared" si="375"/>
        <v>3.3442382151633687</v>
      </c>
      <c r="G616" s="29">
        <f t="shared" si="376"/>
        <v>-1.7664320702160998</v>
      </c>
      <c r="H616" s="29">
        <f t="shared" si="377"/>
        <v>5.4707185787252648</v>
      </c>
      <c r="I616" s="29">
        <f t="shared" si="378"/>
        <v>5.1987948933098158</v>
      </c>
      <c r="J616" s="29">
        <f t="shared" si="379"/>
        <v>-2.6171180990107854</v>
      </c>
      <c r="K616" s="26">
        <f t="shared" si="342"/>
        <v>-3.4956703426495337</v>
      </c>
      <c r="L616" s="26">
        <f t="shared" si="343"/>
        <v>2.9435673969505242E-2</v>
      </c>
      <c r="M616" s="26">
        <f t="shared" si="344"/>
        <v>-1.7664320702160998</v>
      </c>
      <c r="N616" s="26">
        <f t="shared" si="345"/>
        <v>0.14598659721247478</v>
      </c>
      <c r="O616" s="26">
        <f t="shared" si="346"/>
        <v>-1.6971294344686225</v>
      </c>
      <c r="P616" s="26">
        <f t="shared" si="347"/>
        <v>0.15484054941833941</v>
      </c>
      <c r="Q616" s="26">
        <f t="shared" si="348"/>
        <v>1.1987797872086606E-2</v>
      </c>
      <c r="R616" s="26">
        <f t="shared" si="349"/>
        <v>-8.9147407017864122</v>
      </c>
      <c r="S616" s="26">
        <f t="shared" si="350"/>
        <v>1.3437514420092477E-4</v>
      </c>
      <c r="T616" s="26">
        <f t="shared" si="351"/>
        <v>1.5778061449472689</v>
      </c>
      <c r="U616" s="26">
        <f t="shared" si="352"/>
        <v>0.82889359016850128</v>
      </c>
      <c r="V616" s="26">
        <f t="shared" si="353"/>
        <v>1.6928647932523577</v>
      </c>
      <c r="W616" s="26">
        <f t="shared" si="354"/>
        <v>0.84460053664272405</v>
      </c>
      <c r="X616" s="26">
        <f t="shared" si="355"/>
        <v>1.2074496605864675E-2</v>
      </c>
      <c r="Y616" s="26">
        <f t="shared" si="356"/>
        <v>1.9006361828026468</v>
      </c>
      <c r="Z616" s="26">
        <f t="shared" si="357"/>
        <v>0.86996351202937672</v>
      </c>
      <c r="AA616" s="26">
        <f t="shared" si="358"/>
        <v>-5.4639922640223366</v>
      </c>
      <c r="AB616" s="26">
        <f t="shared" si="359"/>
        <v>4.2187351508684908E-3</v>
      </c>
      <c r="AC616" s="26">
        <f t="shared" si="360"/>
        <v>2.1641397878199684</v>
      </c>
      <c r="AD616" s="26">
        <f t="shared" si="361"/>
        <v>0.8969827136526638</v>
      </c>
      <c r="AE616" s="26">
        <f t="shared" si="362"/>
        <v>5.3062806431845308E-3</v>
      </c>
      <c r="AF616" s="26">
        <f t="shared" si="363"/>
        <v>-3.5184341763342322</v>
      </c>
      <c r="AG616" s="26">
        <f t="shared" si="364"/>
        <v>2.8792249162540196E-2</v>
      </c>
      <c r="AH616" s="26">
        <f t="shared" si="365"/>
        <v>-2.1197540488589679</v>
      </c>
      <c r="AI616" s="26">
        <f t="shared" si="366"/>
        <v>0.10719160612187464</v>
      </c>
      <c r="AJ616" s="26">
        <f t="shared" si="367"/>
        <v>-1.9023366320819108</v>
      </c>
      <c r="AK616" s="26">
        <f t="shared" si="368"/>
        <v>0.12984424223432572</v>
      </c>
      <c r="AL616" s="26">
        <f t="shared" si="369"/>
        <v>8.4297636207031276E-3</v>
      </c>
      <c r="AM616" s="27">
        <f t="shared" si="370"/>
        <v>3.7798338741838938E-2</v>
      </c>
    </row>
    <row r="617" spans="1:39" ht="15" customHeight="1" x14ac:dyDescent="0.2">
      <c r="A617" s="24">
        <v>606</v>
      </c>
      <c r="B617" s="29">
        <f t="shared" si="371"/>
        <v>5.399953610004613</v>
      </c>
      <c r="C617" s="29">
        <f t="shared" si="372"/>
        <v>-5.4212996341452691</v>
      </c>
      <c r="D617" s="29">
        <f t="shared" si="373"/>
        <v>-3.4951752857801219</v>
      </c>
      <c r="E617" s="29">
        <f t="shared" si="374"/>
        <v>-3.7046513070984717</v>
      </c>
      <c r="F617" s="29">
        <f t="shared" si="375"/>
        <v>3.3519781736528977</v>
      </c>
      <c r="G617" s="29">
        <f t="shared" si="376"/>
        <v>-1.7716179523756816</v>
      </c>
      <c r="H617" s="29">
        <f t="shared" si="377"/>
        <v>5.4779838940107082</v>
      </c>
      <c r="I617" s="29">
        <f t="shared" si="378"/>
        <v>5.2112106745883793</v>
      </c>
      <c r="J617" s="29">
        <f t="shared" si="379"/>
        <v>-2.6221361783921551</v>
      </c>
      <c r="K617" s="26">
        <f t="shared" si="342"/>
        <v>-3.4951752857801219</v>
      </c>
      <c r="L617" s="26">
        <f t="shared" si="343"/>
        <v>2.9449820650944935E-2</v>
      </c>
      <c r="M617" s="26">
        <f t="shared" si="344"/>
        <v>-1.7716179523756816</v>
      </c>
      <c r="N617" s="26">
        <f t="shared" si="345"/>
        <v>0.14534123613847433</v>
      </c>
      <c r="O617" s="26">
        <f t="shared" si="346"/>
        <v>-1.7034067339620871</v>
      </c>
      <c r="P617" s="26">
        <f t="shared" si="347"/>
        <v>0.1540208496209215</v>
      </c>
      <c r="Q617" s="26">
        <f t="shared" si="348"/>
        <v>1.1861211058975257E-2</v>
      </c>
      <c r="R617" s="26">
        <f t="shared" si="349"/>
        <v>-8.9164749199253919</v>
      </c>
      <c r="S617" s="26">
        <f t="shared" si="350"/>
        <v>1.3414234157201039E-4</v>
      </c>
      <c r="T617" s="26">
        <f t="shared" si="351"/>
        <v>1.5803602212772161</v>
      </c>
      <c r="U617" s="26">
        <f t="shared" si="352"/>
        <v>0.82925552804494318</v>
      </c>
      <c r="V617" s="26">
        <f t="shared" si="353"/>
        <v>1.7000239109037119</v>
      </c>
      <c r="W617" s="26">
        <f t="shared" si="354"/>
        <v>0.84553785779210378</v>
      </c>
      <c r="X617" s="26">
        <f t="shared" si="355"/>
        <v>1.1929276687726179E-2</v>
      </c>
      <c r="Y617" s="26">
        <f t="shared" si="356"/>
        <v>1.9047783242244911</v>
      </c>
      <c r="Z617" s="26">
        <f t="shared" si="357"/>
        <v>0.87043138240825046</v>
      </c>
      <c r="AA617" s="26">
        <f t="shared" si="358"/>
        <v>-5.4762692594741536</v>
      </c>
      <c r="AB617" s="26">
        <f t="shared" si="359"/>
        <v>4.1674729231089107E-3</v>
      </c>
      <c r="AC617" s="26">
        <f t="shared" si="360"/>
        <v>2.1677904946646804</v>
      </c>
      <c r="AD617" s="26">
        <f t="shared" si="361"/>
        <v>0.8973195676492518</v>
      </c>
      <c r="AE617" s="26">
        <f t="shared" si="362"/>
        <v>5.2716355938682881E-3</v>
      </c>
      <c r="AF617" s="26">
        <f t="shared" si="363"/>
        <v>-3.5165213099207779</v>
      </c>
      <c r="AG617" s="26">
        <f t="shared" si="364"/>
        <v>2.884578737563788E-2</v>
      </c>
      <c r="AH617" s="26">
        <f t="shared" si="365"/>
        <v>-2.1242910858212554</v>
      </c>
      <c r="AI617" s="26">
        <f t="shared" si="366"/>
        <v>0.10675817777446964</v>
      </c>
      <c r="AJ617" s="26">
        <f t="shared" si="367"/>
        <v>-1.9077800641204332</v>
      </c>
      <c r="AK617" s="26">
        <f t="shared" si="368"/>
        <v>0.1292304558614922</v>
      </c>
      <c r="AL617" s="26">
        <f t="shared" si="369"/>
        <v>8.3502553610845433E-3</v>
      </c>
      <c r="AM617" s="27">
        <f t="shared" si="370"/>
        <v>3.7412378701654266E-2</v>
      </c>
    </row>
    <row r="618" spans="1:39" ht="15" customHeight="1" x14ac:dyDescent="0.2">
      <c r="A618" s="24">
        <v>607</v>
      </c>
      <c r="B618" s="29">
        <f t="shared" si="371"/>
        <v>5.4035668763754092</v>
      </c>
      <c r="C618" s="29">
        <f t="shared" si="372"/>
        <v>-5.423516453184031</v>
      </c>
      <c r="D618" s="29">
        <f t="shared" si="373"/>
        <v>-3.4946894427775428</v>
      </c>
      <c r="E618" s="29">
        <f t="shared" si="374"/>
        <v>-3.7116734299857379</v>
      </c>
      <c r="F618" s="29">
        <f t="shared" si="375"/>
        <v>3.3596365118705203</v>
      </c>
      <c r="G618" s="29">
        <f t="shared" si="376"/>
        <v>-1.7767458977102888</v>
      </c>
      <c r="H618" s="29">
        <f t="shared" si="377"/>
        <v>5.4852109731148424</v>
      </c>
      <c r="I618" s="29">
        <f t="shared" si="378"/>
        <v>5.2235096156655896</v>
      </c>
      <c r="J618" s="29">
        <f t="shared" si="379"/>
        <v>-2.6271131553539688</v>
      </c>
      <c r="K618" s="26">
        <f t="shared" si="342"/>
        <v>-3.4946894427775428</v>
      </c>
      <c r="L618" s="26">
        <f t="shared" si="343"/>
        <v>2.9463710447638916E-2</v>
      </c>
      <c r="M618" s="26">
        <f t="shared" si="344"/>
        <v>-1.7767458977102888</v>
      </c>
      <c r="N618" s="26">
        <f t="shared" si="345"/>
        <v>0.14470541506860768</v>
      </c>
      <c r="O618" s="26">
        <f t="shared" si="346"/>
        <v>-1.709628360448149</v>
      </c>
      <c r="P618" s="26">
        <f t="shared" si="347"/>
        <v>0.15321192533507327</v>
      </c>
      <c r="Q618" s="26">
        <f t="shared" si="348"/>
        <v>1.1736947032440034E-2</v>
      </c>
      <c r="R618" s="26">
        <f t="shared" si="349"/>
        <v>-8.9182058959615738</v>
      </c>
      <c r="S618" s="26">
        <f t="shared" si="350"/>
        <v>1.3391037630799946E-4</v>
      </c>
      <c r="T618" s="26">
        <f t="shared" si="351"/>
        <v>1.5828906141602315</v>
      </c>
      <c r="U618" s="26">
        <f t="shared" si="352"/>
        <v>0.8296135099484645</v>
      </c>
      <c r="V618" s="26">
        <f t="shared" si="353"/>
        <v>1.7071155178134538</v>
      </c>
      <c r="W618" s="26">
        <f t="shared" si="354"/>
        <v>0.84646177923868604</v>
      </c>
      <c r="X618" s="26">
        <f t="shared" si="355"/>
        <v>1.1786992617274991E-2</v>
      </c>
      <c r="Y618" s="26">
        <f t="shared" si="356"/>
        <v>1.9088774335978664</v>
      </c>
      <c r="Z618" s="26">
        <f t="shared" si="357"/>
        <v>0.87089298083038125</v>
      </c>
      <c r="AA618" s="26">
        <f t="shared" si="358"/>
        <v>-5.4884193276960271</v>
      </c>
      <c r="AB618" s="26">
        <f t="shared" si="359"/>
        <v>4.1173514315653538E-3</v>
      </c>
      <c r="AC618" s="26">
        <f t="shared" si="360"/>
        <v>2.1714256042993889</v>
      </c>
      <c r="AD618" s="26">
        <f t="shared" si="361"/>
        <v>0.89765401292385649</v>
      </c>
      <c r="AE618" s="26">
        <f t="shared" si="362"/>
        <v>5.2373505352950669E-3</v>
      </c>
      <c r="AF618" s="26">
        <f t="shared" si="363"/>
        <v>-3.5146390195861645</v>
      </c>
      <c r="AG618" s="26">
        <f t="shared" si="364"/>
        <v>2.8898564096705256E-2</v>
      </c>
      <c r="AH618" s="26">
        <f t="shared" si="365"/>
        <v>-2.1287828158255064</v>
      </c>
      <c r="AI618" s="26">
        <f t="shared" si="366"/>
        <v>0.10633059846447319</v>
      </c>
      <c r="AJ618" s="26">
        <f t="shared" si="367"/>
        <v>-1.9131795309448061</v>
      </c>
      <c r="AK618" s="26">
        <f t="shared" si="368"/>
        <v>0.12862406958895117</v>
      </c>
      <c r="AL618" s="26">
        <f t="shared" si="369"/>
        <v>8.2720756388116774E-3</v>
      </c>
      <c r="AM618" s="27">
        <f t="shared" si="370"/>
        <v>3.7033365823821773E-2</v>
      </c>
    </row>
    <row r="619" spans="1:39" ht="15" customHeight="1" x14ac:dyDescent="0.2">
      <c r="A619" s="24">
        <v>608</v>
      </c>
      <c r="B619" s="29">
        <f t="shared" si="371"/>
        <v>5.4071468119490955</v>
      </c>
      <c r="C619" s="29">
        <f t="shared" si="372"/>
        <v>-5.4257209357362379</v>
      </c>
      <c r="D619" s="29">
        <f t="shared" si="373"/>
        <v>-3.4942126820337385</v>
      </c>
      <c r="E619" s="29">
        <f t="shared" si="374"/>
        <v>-3.7186276648245733</v>
      </c>
      <c r="F619" s="29">
        <f t="shared" si="375"/>
        <v>3.3672146512072323</v>
      </c>
      <c r="G619" s="29">
        <f t="shared" si="376"/>
        <v>-1.7818169492352018</v>
      </c>
      <c r="H619" s="29">
        <f t="shared" si="377"/>
        <v>5.4924000844799696</v>
      </c>
      <c r="I619" s="29">
        <f t="shared" si="378"/>
        <v>5.2356935838989331</v>
      </c>
      <c r="J619" s="29">
        <f t="shared" si="379"/>
        <v>-2.6320496091908807</v>
      </c>
      <c r="K619" s="26">
        <f t="shared" si="342"/>
        <v>-3.4942126820337385</v>
      </c>
      <c r="L619" s="26">
        <f t="shared" si="343"/>
        <v>2.9477346766087698E-2</v>
      </c>
      <c r="M619" s="26">
        <f t="shared" si="344"/>
        <v>-1.7818169492352018</v>
      </c>
      <c r="N619" s="26">
        <f t="shared" si="345"/>
        <v>0.14407892263788802</v>
      </c>
      <c r="O619" s="26">
        <f t="shared" si="346"/>
        <v>-1.7157951364923143</v>
      </c>
      <c r="P619" s="26">
        <f t="shared" si="347"/>
        <v>0.15241356981656451</v>
      </c>
      <c r="Q619" s="26">
        <f t="shared" si="348"/>
        <v>1.1614948132114392E-2</v>
      </c>
      <c r="R619" s="26">
        <f t="shared" si="349"/>
        <v>-8.919933617769976</v>
      </c>
      <c r="S619" s="26">
        <f t="shared" si="350"/>
        <v>1.336792470794932E-4</v>
      </c>
      <c r="T619" s="26">
        <f t="shared" si="351"/>
        <v>1.5853977019720304</v>
      </c>
      <c r="U619" s="26">
        <f t="shared" si="352"/>
        <v>0.82996760638063682</v>
      </c>
      <c r="V619" s="26">
        <f t="shared" si="353"/>
        <v>1.7141406822881273</v>
      </c>
      <c r="W619" s="26">
        <f t="shared" si="354"/>
        <v>0.84737257878176042</v>
      </c>
      <c r="X619" s="26">
        <f t="shared" si="355"/>
        <v>1.1647564853864964E-2</v>
      </c>
      <c r="Y619" s="26">
        <f t="shared" si="356"/>
        <v>1.9129341299153571</v>
      </c>
      <c r="Z619" s="26">
        <f t="shared" si="357"/>
        <v>0.8713484233769706</v>
      </c>
      <c r="AA619" s="26">
        <f t="shared" si="358"/>
        <v>-5.5004446140597754</v>
      </c>
      <c r="AB619" s="26">
        <f t="shared" si="359"/>
        <v>4.068335838267277E-3</v>
      </c>
      <c r="AC619" s="26">
        <f t="shared" si="360"/>
        <v>2.1750451048218431</v>
      </c>
      <c r="AD619" s="26">
        <f t="shared" si="361"/>
        <v>0.89798606280668869</v>
      </c>
      <c r="AE619" s="26">
        <f t="shared" si="362"/>
        <v>5.2034216908404323E-3</v>
      </c>
      <c r="AF619" s="26">
        <f t="shared" si="363"/>
        <v>-3.5127868058208809</v>
      </c>
      <c r="AG619" s="26">
        <f t="shared" si="364"/>
        <v>2.8950588962197293E-2</v>
      </c>
      <c r="AH619" s="26">
        <f t="shared" si="365"/>
        <v>-2.1332299628525426</v>
      </c>
      <c r="AI619" s="26">
        <f t="shared" si="366"/>
        <v>0.10590875020371587</v>
      </c>
      <c r="AJ619" s="26">
        <f t="shared" si="367"/>
        <v>-1.9185356280088133</v>
      </c>
      <c r="AK619" s="26">
        <f t="shared" si="368"/>
        <v>0.12802495182027818</v>
      </c>
      <c r="AL619" s="26">
        <f t="shared" si="369"/>
        <v>8.1951941442922737E-3</v>
      </c>
      <c r="AM619" s="27">
        <f t="shared" si="370"/>
        <v>3.6661128821112061E-2</v>
      </c>
    </row>
    <row r="620" spans="1:39" ht="15" customHeight="1" x14ac:dyDescent="0.2">
      <c r="A620" s="24">
        <v>609</v>
      </c>
      <c r="B620" s="29">
        <f t="shared" si="371"/>
        <v>5.410693896042905</v>
      </c>
      <c r="C620" s="29">
        <f t="shared" si="372"/>
        <v>-5.4279131998237924</v>
      </c>
      <c r="D620" s="29">
        <f t="shared" si="373"/>
        <v>-3.4937448728836697</v>
      </c>
      <c r="E620" s="29">
        <f t="shared" si="374"/>
        <v>-3.7255150913451986</v>
      </c>
      <c r="F620" s="29">
        <f t="shared" si="375"/>
        <v>3.3747139811600952</v>
      </c>
      <c r="G620" s="29">
        <f t="shared" si="376"/>
        <v>-1.7868321256329369</v>
      </c>
      <c r="H620" s="29">
        <f t="shared" si="377"/>
        <v>5.4995514970807378</v>
      </c>
      <c r="I620" s="29">
        <f t="shared" si="378"/>
        <v>5.2477644083345805</v>
      </c>
      <c r="J620" s="29">
        <f t="shared" si="379"/>
        <v>-2.6369461092085764</v>
      </c>
      <c r="K620" s="26">
        <f t="shared" si="342"/>
        <v>-3.4937448728836697</v>
      </c>
      <c r="L620" s="26">
        <f t="shared" si="343"/>
        <v>2.9490732998981611E-2</v>
      </c>
      <c r="M620" s="26">
        <f t="shared" si="344"/>
        <v>-1.7868321256329369</v>
      </c>
      <c r="N620" s="26">
        <f t="shared" si="345"/>
        <v>0.14346155345055681</v>
      </c>
      <c r="O620" s="26">
        <f t="shared" si="346"/>
        <v>-1.7219078702317978</v>
      </c>
      <c r="P620" s="26">
        <f t="shared" si="347"/>
        <v>0.15162558111248203</v>
      </c>
      <c r="Q620" s="26">
        <f t="shared" si="348"/>
        <v>1.1495158423848933E-2</v>
      </c>
      <c r="R620" s="26">
        <f t="shared" si="349"/>
        <v>-8.9216580727074621</v>
      </c>
      <c r="S620" s="26">
        <f t="shared" si="350"/>
        <v>1.3344895262826369E-4</v>
      </c>
      <c r="T620" s="26">
        <f t="shared" si="351"/>
        <v>1.5878818555271583</v>
      </c>
      <c r="U620" s="26">
        <f t="shared" si="352"/>
        <v>0.83031788625422442</v>
      </c>
      <c r="V620" s="26">
        <f t="shared" si="353"/>
        <v>1.7211004512671533</v>
      </c>
      <c r="W620" s="26">
        <f t="shared" si="354"/>
        <v>0.84827052711816853</v>
      </c>
      <c r="X620" s="26">
        <f t="shared" si="355"/>
        <v>1.1510916470499215E-2</v>
      </c>
      <c r="Y620" s="26">
        <f t="shared" si="356"/>
        <v>1.9169490231592352</v>
      </c>
      <c r="Z620" s="26">
        <f t="shared" si="357"/>
        <v>0.87179782368312408</v>
      </c>
      <c r="AA620" s="26">
        <f t="shared" si="358"/>
        <v>-5.5123472169781351</v>
      </c>
      <c r="AB620" s="26">
        <f t="shared" si="359"/>
        <v>4.0203926254067787E-3</v>
      </c>
      <c r="AC620" s="26">
        <f t="shared" si="360"/>
        <v>2.1786489905068178</v>
      </c>
      <c r="AD620" s="26">
        <f t="shared" si="361"/>
        <v>0.89831573110190022</v>
      </c>
      <c r="AE620" s="26">
        <f t="shared" si="362"/>
        <v>5.1698452706705313E-3</v>
      </c>
      <c r="AF620" s="26">
        <f t="shared" si="363"/>
        <v>-3.5109641766645572</v>
      </c>
      <c r="AG620" s="26">
        <f t="shared" si="364"/>
        <v>2.9001871551914339E-2</v>
      </c>
      <c r="AH620" s="26">
        <f t="shared" si="365"/>
        <v>-2.1376332358180403</v>
      </c>
      <c r="AI620" s="26">
        <f t="shared" si="366"/>
        <v>0.10549251805428045</v>
      </c>
      <c r="AJ620" s="26">
        <f t="shared" si="367"/>
        <v>-1.9238489415062565</v>
      </c>
      <c r="AK620" s="26">
        <f t="shared" si="368"/>
        <v>0.12743297377704624</v>
      </c>
      <c r="AL620" s="26">
        <f t="shared" si="369"/>
        <v>8.1195814028306775E-3</v>
      </c>
      <c r="AM620" s="27">
        <f t="shared" si="370"/>
        <v>3.6295501567849359E-2</v>
      </c>
    </row>
    <row r="621" spans="1:39" ht="15" customHeight="1" x14ac:dyDescent="0.2">
      <c r="A621" s="24">
        <v>610</v>
      </c>
      <c r="B621" s="29">
        <f t="shared" si="371"/>
        <v>5.4142086000103449</v>
      </c>
      <c r="C621" s="29">
        <f t="shared" si="372"/>
        <v>-5.4300933620243752</v>
      </c>
      <c r="D621" s="29">
        <f t="shared" si="373"/>
        <v>-3.4932858856715505</v>
      </c>
      <c r="E621" s="29">
        <f t="shared" si="374"/>
        <v>-3.732336767163777</v>
      </c>
      <c r="F621" s="29">
        <f t="shared" si="375"/>
        <v>3.3821358601288409</v>
      </c>
      <c r="G621" s="29">
        <f t="shared" si="376"/>
        <v>-1.7917924219045953</v>
      </c>
      <c r="H621" s="29">
        <f t="shared" si="377"/>
        <v>5.5066654802531971</v>
      </c>
      <c r="I621" s="29">
        <f t="shared" si="378"/>
        <v>5.2597238805546853</v>
      </c>
      <c r="J621" s="29">
        <f t="shared" si="379"/>
        <v>-2.6418032148698689</v>
      </c>
      <c r="K621" s="26">
        <f t="shared" si="342"/>
        <v>-3.4932858856715505</v>
      </c>
      <c r="L621" s="26">
        <f t="shared" si="343"/>
        <v>2.9503872522947252E-2</v>
      </c>
      <c r="M621" s="26">
        <f t="shared" si="344"/>
        <v>-1.7917924219045953</v>
      </c>
      <c r="N621" s="26">
        <f t="shared" si="345"/>
        <v>0.14285310788301289</v>
      </c>
      <c r="O621" s="26">
        <f t="shared" si="346"/>
        <v>-1.7279673555702268</v>
      </c>
      <c r="P621" s="26">
        <f t="shared" si="347"/>
        <v>0.15084776194729585</v>
      </c>
      <c r="Q621" s="26">
        <f t="shared" si="348"/>
        <v>1.137752364225402E-2</v>
      </c>
      <c r="R621" s="26">
        <f t="shared" si="349"/>
        <v>-8.9233792476959266</v>
      </c>
      <c r="S621" s="26">
        <f t="shared" si="350"/>
        <v>1.3321949175561942E-4</v>
      </c>
      <c r="T621" s="26">
        <f t="shared" si="351"/>
        <v>1.5903434382242456</v>
      </c>
      <c r="U621" s="26">
        <f t="shared" si="352"/>
        <v>0.8306644169311217</v>
      </c>
      <c r="V621" s="26">
        <f t="shared" si="353"/>
        <v>1.7279958507663329</v>
      </c>
      <c r="W621" s="26">
        <f t="shared" si="354"/>
        <v>0.84915588804341369</v>
      </c>
      <c r="X621" s="26">
        <f t="shared" si="355"/>
        <v>1.1376973055985572E-2</v>
      </c>
      <c r="Y621" s="26">
        <f t="shared" si="356"/>
        <v>1.9209227143387944</v>
      </c>
      <c r="Z621" s="26">
        <f t="shared" si="357"/>
        <v>0.87224129298536091</v>
      </c>
      <c r="AA621" s="26">
        <f t="shared" si="358"/>
        <v>-5.5241291890683719</v>
      </c>
      <c r="AB621" s="26">
        <f t="shared" si="359"/>
        <v>3.9734895365765707E-3</v>
      </c>
      <c r="AC621" s="26">
        <f t="shared" si="360"/>
        <v>2.1822372614686989</v>
      </c>
      <c r="AD621" s="26">
        <f t="shared" si="361"/>
        <v>0.89864303204904428</v>
      </c>
      <c r="AE621" s="26">
        <f t="shared" si="362"/>
        <v>5.136617476105533E-3</v>
      </c>
      <c r="AF621" s="26">
        <f t="shared" si="363"/>
        <v>-3.5091706476855808</v>
      </c>
      <c r="AG621" s="26">
        <f t="shared" si="364"/>
        <v>2.905242138478183E-2</v>
      </c>
      <c r="AH621" s="26">
        <f t="shared" si="365"/>
        <v>-2.1419933289395314</v>
      </c>
      <c r="AI621" s="26">
        <f t="shared" si="366"/>
        <v>0.10508179003498568</v>
      </c>
      <c r="AJ621" s="26">
        <f t="shared" si="367"/>
        <v>-1.9291200484540734</v>
      </c>
      <c r="AK621" s="26">
        <f t="shared" si="368"/>
        <v>0.12684800943863625</v>
      </c>
      <c r="AL621" s="26">
        <f t="shared" si="369"/>
        <v>8.0452087492721754E-3</v>
      </c>
      <c r="AM621" s="27">
        <f t="shared" si="370"/>
        <v>3.59363229236173E-2</v>
      </c>
    </row>
    <row r="622" spans="1:39" ht="15" customHeight="1" x14ac:dyDescent="0.2">
      <c r="A622" s="24">
        <v>611</v>
      </c>
      <c r="B622" s="29">
        <f t="shared" si="371"/>
        <v>5.4176913873467711</v>
      </c>
      <c r="C622" s="29">
        <f t="shared" si="372"/>
        <v>-5.4322615374884604</v>
      </c>
      <c r="D622" s="29">
        <f t="shared" si="373"/>
        <v>-3.4928355918109495</v>
      </c>
      <c r="E622" s="29">
        <f t="shared" si="374"/>
        <v>-3.7390937282845758</v>
      </c>
      <c r="F622" s="29">
        <f t="shared" si="375"/>
        <v>3.389481616194427</v>
      </c>
      <c r="G622" s="29">
        <f t="shared" si="376"/>
        <v>-1.7966988100036831</v>
      </c>
      <c r="H622" s="29">
        <f t="shared" si="377"/>
        <v>5.5137423035337223</v>
      </c>
      <c r="I622" s="29">
        <f t="shared" si="378"/>
        <v>5.2715737555102029</v>
      </c>
      <c r="J622" s="29">
        <f t="shared" si="379"/>
        <v>-2.6466214759427116</v>
      </c>
      <c r="K622" s="26">
        <f t="shared" si="342"/>
        <v>-3.4928355918109495</v>
      </c>
      <c r="L622" s="26">
        <f t="shared" si="343"/>
        <v>2.9516768696471709E-2</v>
      </c>
      <c r="M622" s="26">
        <f t="shared" si="344"/>
        <v>-1.7966988100036831</v>
      </c>
      <c r="N622" s="26">
        <f t="shared" si="345"/>
        <v>0.14225339189384481</v>
      </c>
      <c r="O622" s="26">
        <f t="shared" si="346"/>
        <v>-1.7339743723774554</v>
      </c>
      <c r="P622" s="26">
        <f t="shared" si="347"/>
        <v>0.15007991961073422</v>
      </c>
      <c r="Q622" s="26">
        <f t="shared" si="348"/>
        <v>1.1261991135182222E-2</v>
      </c>
      <c r="R622" s="26">
        <f t="shared" si="349"/>
        <v>-8.9250971292994095</v>
      </c>
      <c r="S622" s="26">
        <f t="shared" si="350"/>
        <v>1.3299086331169759E-4</v>
      </c>
      <c r="T622" s="26">
        <f t="shared" si="351"/>
        <v>1.5927828061907439</v>
      </c>
      <c r="U622" s="26">
        <f t="shared" si="352"/>
        <v>0.83100726425962335</v>
      </c>
      <c r="V622" s="26">
        <f t="shared" si="353"/>
        <v>1.7348278863156752</v>
      </c>
      <c r="W622" s="26">
        <f t="shared" si="354"/>
        <v>0.85002891864726571</v>
      </c>
      <c r="X622" s="26">
        <f t="shared" si="355"/>
        <v>1.1245662621054224E-2</v>
      </c>
      <c r="Y622" s="26">
        <f t="shared" si="356"/>
        <v>1.9248557955358216</v>
      </c>
      <c r="Z622" s="26">
        <f t="shared" si="357"/>
        <v>0.87267894016891068</v>
      </c>
      <c r="AA622" s="26">
        <f t="shared" si="358"/>
        <v>-5.5357925382882591</v>
      </c>
      <c r="AB622" s="26">
        <f t="shared" si="359"/>
        <v>3.927595520972371E-3</v>
      </c>
      <c r="AC622" s="26">
        <f t="shared" si="360"/>
        <v>2.1858099233402024</v>
      </c>
      <c r="AD622" s="26">
        <f t="shared" si="361"/>
        <v>0.89896798028668234</v>
      </c>
      <c r="AE622" s="26">
        <f t="shared" si="362"/>
        <v>5.1037345036761038E-3</v>
      </c>
      <c r="AF622" s="26">
        <f t="shared" si="363"/>
        <v>-3.5074057419526388</v>
      </c>
      <c r="AG622" s="26">
        <f t="shared" si="364"/>
        <v>2.9102247914963835E-2</v>
      </c>
      <c r="AH622" s="26">
        <f t="shared" si="365"/>
        <v>-2.1463109220938321</v>
      </c>
      <c r="AI622" s="26">
        <f t="shared" si="366"/>
        <v>0.10467645703109799</v>
      </c>
      <c r="AJ622" s="26">
        <f t="shared" si="367"/>
        <v>-1.934349516781122</v>
      </c>
      <c r="AK622" s="26">
        <f t="shared" si="368"/>
        <v>0.12626993548272616</v>
      </c>
      <c r="AL622" s="26">
        <f t="shared" si="369"/>
        <v>7.9720483034059139E-3</v>
      </c>
      <c r="AM622" s="27">
        <f t="shared" si="370"/>
        <v>3.5583436563318457E-2</v>
      </c>
    </row>
    <row r="623" spans="1:39" ht="15" customHeight="1" x14ac:dyDescent="0.2">
      <c r="A623" s="24">
        <v>612</v>
      </c>
      <c r="B623" s="29">
        <f t="shared" si="371"/>
        <v>5.4211427137966286</v>
      </c>
      <c r="C623" s="29">
        <f t="shared" si="372"/>
        <v>-5.4344178399563656</v>
      </c>
      <c r="D623" s="29">
        <f t="shared" si="373"/>
        <v>-3.4923938638391578</v>
      </c>
      <c r="E623" s="29">
        <f t="shared" si="374"/>
        <v>-3.7457869895920126</v>
      </c>
      <c r="F623" s="29">
        <f t="shared" si="375"/>
        <v>3.3967525478796214</v>
      </c>
      <c r="G623" s="29">
        <f t="shared" si="376"/>
        <v>-1.8015522394527308</v>
      </c>
      <c r="H623" s="29">
        <f t="shared" si="377"/>
        <v>5.5207822365073236</v>
      </c>
      <c r="I623" s="29">
        <f t="shared" si="378"/>
        <v>5.2833157523389414</v>
      </c>
      <c r="J623" s="29">
        <f t="shared" si="379"/>
        <v>-2.6514014326496937</v>
      </c>
      <c r="K623" s="26">
        <f t="shared" si="342"/>
        <v>-3.4923938638391578</v>
      </c>
      <c r="L623" s="26">
        <f t="shared" si="343"/>
        <v>2.9529424857993865E-2</v>
      </c>
      <c r="M623" s="26">
        <f t="shared" si="344"/>
        <v>-1.8015522394527308</v>
      </c>
      <c r="N623" s="26">
        <f t="shared" si="345"/>
        <v>0.14166221684070843</v>
      </c>
      <c r="O623" s="26">
        <f t="shared" si="346"/>
        <v>-1.7399296866936338</v>
      </c>
      <c r="P623" s="26">
        <f t="shared" si="347"/>
        <v>0.14932186584754648</v>
      </c>
      <c r="Q623" s="26">
        <f t="shared" si="348"/>
        <v>1.1148509810096333E-2</v>
      </c>
      <c r="R623" s="26">
        <f t="shared" si="349"/>
        <v>-8.9268117037955239</v>
      </c>
      <c r="S623" s="26">
        <f t="shared" si="350"/>
        <v>1.3276306618562273E-4</v>
      </c>
      <c r="T623" s="26">
        <f t="shared" si="351"/>
        <v>1.5952003084268906</v>
      </c>
      <c r="U623" s="26">
        <f t="shared" si="352"/>
        <v>0.83134649261101079</v>
      </c>
      <c r="V623" s="26">
        <f t="shared" si="353"/>
        <v>1.7415975433912507</v>
      </c>
      <c r="W623" s="26">
        <f t="shared" si="354"/>
        <v>0.85088986950395706</v>
      </c>
      <c r="X623" s="26">
        <f t="shared" si="355"/>
        <v>1.1116915508273477E-2</v>
      </c>
      <c r="Y623" s="26">
        <f t="shared" si="356"/>
        <v>1.9287488499574708</v>
      </c>
      <c r="Z623" s="26">
        <f t="shared" si="357"/>
        <v>0.87311087181472058</v>
      </c>
      <c r="AA623" s="26">
        <f t="shared" si="358"/>
        <v>-5.5473392290447432</v>
      </c>
      <c r="AB623" s="26">
        <f t="shared" si="359"/>
        <v>3.8826806803945913E-3</v>
      </c>
      <c r="AC623" s="26">
        <f t="shared" si="360"/>
        <v>2.18936698696647</v>
      </c>
      <c r="AD623" s="26">
        <f t="shared" si="361"/>
        <v>0.89929059081802842</v>
      </c>
      <c r="AE623" s="26">
        <f t="shared" si="362"/>
        <v>5.0711925488908906E-3</v>
      </c>
      <c r="AF623" s="26">
        <f t="shared" si="363"/>
        <v>-3.5056689899988949</v>
      </c>
      <c r="AG623" s="26">
        <f t="shared" si="364"/>
        <v>2.9151360528291759E-2</v>
      </c>
      <c r="AH623" s="26">
        <f t="shared" si="365"/>
        <v>-2.1505866811651222</v>
      </c>
      <c r="AI623" s="26">
        <f t="shared" si="366"/>
        <v>0.10427641270715203</v>
      </c>
      <c r="AJ623" s="26">
        <f t="shared" si="367"/>
        <v>-1.939537905421987</v>
      </c>
      <c r="AK623" s="26">
        <f t="shared" si="368"/>
        <v>0.12569863122651925</v>
      </c>
      <c r="AL623" s="26">
        <f t="shared" si="369"/>
        <v>7.9000729461102398E-3</v>
      </c>
      <c r="AM623" s="27">
        <f t="shared" si="370"/>
        <v>3.5236690813370941E-2</v>
      </c>
    </row>
    <row r="624" spans="1:39" ht="15" customHeight="1" x14ac:dyDescent="0.2">
      <c r="A624" s="24">
        <v>613</v>
      </c>
      <c r="B624" s="29">
        <f t="shared" si="371"/>
        <v>5.42456302746207</v>
      </c>
      <c r="C624" s="29">
        <f t="shared" si="372"/>
        <v>-5.4365623817753148</v>
      </c>
      <c r="D624" s="29">
        <f t="shared" si="373"/>
        <v>-3.4919605754661873</v>
      </c>
      <c r="E624" s="29">
        <f t="shared" si="374"/>
        <v>-3.7524175453325928</v>
      </c>
      <c r="F624" s="29">
        <f t="shared" si="375"/>
        <v>3.403949924891724</v>
      </c>
      <c r="G624" s="29">
        <f t="shared" si="376"/>
        <v>-1.8063536379430492</v>
      </c>
      <c r="H624" s="29">
        <f t="shared" si="377"/>
        <v>5.5277855486648777</v>
      </c>
      <c r="I624" s="29">
        <f t="shared" si="378"/>
        <v>5.2949515551686268</v>
      </c>
      <c r="J624" s="29">
        <f t="shared" si="379"/>
        <v>-2.656143615818618</v>
      </c>
      <c r="K624" s="26">
        <f t="shared" si="342"/>
        <v>-3.4919605754661873</v>
      </c>
      <c r="L624" s="26">
        <f t="shared" si="343"/>
        <v>2.9541844324152924E-2</v>
      </c>
      <c r="M624" s="26">
        <f t="shared" si="344"/>
        <v>-1.8063536379430492</v>
      </c>
      <c r="N624" s="26">
        <f t="shared" si="345"/>
        <v>0.14107939930380181</v>
      </c>
      <c r="O624" s="26">
        <f t="shared" si="346"/>
        <v>-1.7458340509367369</v>
      </c>
      <c r="P624" s="26">
        <f t="shared" si="347"/>
        <v>0.14857341674922042</v>
      </c>
      <c r="Q624" s="26">
        <f t="shared" si="348"/>
        <v>1.1037030082268766E-2</v>
      </c>
      <c r="R624" s="26">
        <f t="shared" si="349"/>
        <v>-8.9285229572415012</v>
      </c>
      <c r="S624" s="26">
        <f t="shared" si="350"/>
        <v>1.3253609929647959E-4</v>
      </c>
      <c r="T624" s="26">
        <f t="shared" si="351"/>
        <v>1.5975962869486748</v>
      </c>
      <c r="U624" s="26">
        <f t="shared" si="352"/>
        <v>0.83168216491543945</v>
      </c>
      <c r="V624" s="26">
        <f t="shared" si="353"/>
        <v>1.7483057878407657</v>
      </c>
      <c r="W624" s="26">
        <f t="shared" si="354"/>
        <v>0.85173898485706068</v>
      </c>
      <c r="X624" s="26">
        <f t="shared" si="355"/>
        <v>1.0990664305607441E-2</v>
      </c>
      <c r="Y624" s="26">
        <f t="shared" si="356"/>
        <v>1.9326024519958827</v>
      </c>
      <c r="Z624" s="26">
        <f t="shared" si="357"/>
        <v>0.87353719224611492</v>
      </c>
      <c r="AA624" s="26">
        <f t="shared" si="358"/>
        <v>-5.5587711832756419</v>
      </c>
      <c r="AB624" s="26">
        <f t="shared" si="359"/>
        <v>3.8387162188941457E-3</v>
      </c>
      <c r="AC624" s="26">
        <f t="shared" si="360"/>
        <v>2.1929084681138336</v>
      </c>
      <c r="AD624" s="26">
        <f t="shared" si="361"/>
        <v>0.89961087897852465</v>
      </c>
      <c r="AE624" s="26">
        <f t="shared" si="362"/>
        <v>5.0389878097322118E-3</v>
      </c>
      <c r="AF624" s="26">
        <f t="shared" si="363"/>
        <v>-3.5039599297794322</v>
      </c>
      <c r="AG624" s="26">
        <f t="shared" si="364"/>
        <v>2.9199768538991266E-2</v>
      </c>
      <c r="AH624" s="26">
        <f t="shared" si="365"/>
        <v>-2.1548212583839179</v>
      </c>
      <c r="AI624" s="26">
        <f t="shared" si="366"/>
        <v>0.1038815534227637</v>
      </c>
      <c r="AJ624" s="26">
        <f t="shared" si="367"/>
        <v>-1.9446857644152273</v>
      </c>
      <c r="AK624" s="26">
        <f t="shared" si="368"/>
        <v>0.12513397856876007</v>
      </c>
      <c r="AL624" s="26">
        <f t="shared" si="369"/>
        <v>7.8292562962234535E-3</v>
      </c>
      <c r="AM624" s="27">
        <f t="shared" si="370"/>
        <v>3.4895938493831873E-2</v>
      </c>
    </row>
    <row r="625" spans="1:39" ht="15" customHeight="1" x14ac:dyDescent="0.2">
      <c r="A625" s="24">
        <v>614</v>
      </c>
      <c r="B625" s="29">
        <f t="shared" si="371"/>
        <v>5.4279527689126672</v>
      </c>
      <c r="C625" s="29">
        <f t="shared" si="372"/>
        <v>-5.4386952739165011</v>
      </c>
      <c r="D625" s="29">
        <f t="shared" si="373"/>
        <v>-3.4915356016187507</v>
      </c>
      <c r="E625" s="29">
        <f t="shared" si="374"/>
        <v>-3.7589863695867609</v>
      </c>
      <c r="F625" s="29">
        <f t="shared" si="375"/>
        <v>3.4110749888475751</v>
      </c>
      <c r="G625" s="29">
        <f t="shared" si="376"/>
        <v>-1.8111039119179744</v>
      </c>
      <c r="H625" s="29">
        <f t="shared" si="377"/>
        <v>5.5347525092688556</v>
      </c>
      <c r="I625" s="29">
        <f t="shared" si="378"/>
        <v>5.3064828139048172</v>
      </c>
      <c r="J625" s="29">
        <f t="shared" si="379"/>
        <v>-2.6608485470337913</v>
      </c>
      <c r="K625" s="26">
        <f t="shared" si="342"/>
        <v>-3.4915356016187507</v>
      </c>
      <c r="L625" s="26">
        <f t="shared" si="343"/>
        <v>2.9554030388184809E-2</v>
      </c>
      <c r="M625" s="26">
        <f t="shared" si="344"/>
        <v>-1.8111039119179744</v>
      </c>
      <c r="N625" s="26">
        <f t="shared" si="345"/>
        <v>0.14050476091569483</v>
      </c>
      <c r="O625" s="26">
        <f t="shared" si="346"/>
        <v>-1.7516882041128374</v>
      </c>
      <c r="P625" s="26">
        <f t="shared" si="347"/>
        <v>0.14783439264770734</v>
      </c>
      <c r="Q625" s="26">
        <f t="shared" si="348"/>
        <v>1.0927503824758253E-2</v>
      </c>
      <c r="R625" s="26">
        <f t="shared" si="349"/>
        <v>-8.9302308755352513</v>
      </c>
      <c r="S625" s="26">
        <f t="shared" si="350"/>
        <v>1.3230996158503853E-4</v>
      </c>
      <c r="T625" s="26">
        <f t="shared" si="351"/>
        <v>1.5999710769296007</v>
      </c>
      <c r="U625" s="26">
        <f t="shared" si="352"/>
        <v>0.83201434269711194</v>
      </c>
      <c r="V625" s="26">
        <f t="shared" si="353"/>
        <v>1.7549535663026301</v>
      </c>
      <c r="W625" s="26">
        <f t="shared" si="354"/>
        <v>0.85257650279915476</v>
      </c>
      <c r="X625" s="26">
        <f t="shared" si="355"/>
        <v>1.0866843763463812E-2</v>
      </c>
      <c r="Y625" s="26">
        <f t="shared" si="356"/>
        <v>1.9364171672939166</v>
      </c>
      <c r="Z625" s="26">
        <f t="shared" si="357"/>
        <v>0.87395800357504572</v>
      </c>
      <c r="AA625" s="26">
        <f t="shared" si="358"/>
        <v>-5.5700902815047355</v>
      </c>
      <c r="AB625" s="26">
        <f t="shared" si="359"/>
        <v>3.795674394916597E-3</v>
      </c>
      <c r="AC625" s="26">
        <f t="shared" si="360"/>
        <v>2.1964343871925962</v>
      </c>
      <c r="AD625" s="26">
        <f t="shared" si="361"/>
        <v>0.89992886040525288</v>
      </c>
      <c r="AE625" s="26">
        <f t="shared" si="362"/>
        <v>5.007116489895682E-3</v>
      </c>
      <c r="AF625" s="26">
        <f t="shared" si="363"/>
        <v>-3.5022781066225845</v>
      </c>
      <c r="AG625" s="26">
        <f t="shared" si="364"/>
        <v>2.9247481186690332E-2</v>
      </c>
      <c r="AH625" s="26">
        <f t="shared" si="365"/>
        <v>-2.15901529265716</v>
      </c>
      <c r="AI625" s="26">
        <f t="shared" si="366"/>
        <v>0.10349177815132478</v>
      </c>
      <c r="AJ625" s="26">
        <f t="shared" si="367"/>
        <v>-1.9497936350055083</v>
      </c>
      <c r="AK625" s="26">
        <f t="shared" si="368"/>
        <v>0.12457586193258383</v>
      </c>
      <c r="AL625" s="26">
        <f t="shared" si="369"/>
        <v>7.7595726881230943E-3</v>
      </c>
      <c r="AM625" s="27">
        <f t="shared" si="370"/>
        <v>3.4561036766240845E-2</v>
      </c>
    </row>
    <row r="626" spans="1:39" ht="15" customHeight="1" x14ac:dyDescent="0.2">
      <c r="A626" s="24">
        <v>615</v>
      </c>
      <c r="B626" s="29">
        <f t="shared" si="371"/>
        <v>5.4313123712959683</v>
      </c>
      <c r="C626" s="29">
        <f t="shared" si="372"/>
        <v>-5.4408166259921238</v>
      </c>
      <c r="D626" s="29">
        <f t="shared" si="373"/>
        <v>-3.4911188184795523</v>
      </c>
      <c r="E626" s="29">
        <f t="shared" si="374"/>
        <v>-3.7654944167307236</v>
      </c>
      <c r="F626" s="29">
        <f t="shared" si="375"/>
        <v>3.4181289539810322</v>
      </c>
      <c r="G626" s="29">
        <f t="shared" si="376"/>
        <v>-1.8158039471399559</v>
      </c>
      <c r="H626" s="29">
        <f t="shared" si="377"/>
        <v>5.5416833872271081</v>
      </c>
      <c r="I626" s="29">
        <f t="shared" si="378"/>
        <v>5.3179111450035608</v>
      </c>
      <c r="J626" s="29">
        <f t="shared" si="379"/>
        <v>-2.6655167387876997</v>
      </c>
      <c r="K626" s="26">
        <f t="shared" si="342"/>
        <v>-3.4911188184795523</v>
      </c>
      <c r="L626" s="26">
        <f t="shared" si="343"/>
        <v>2.9565986318457412E-2</v>
      </c>
      <c r="M626" s="26">
        <f t="shared" si="344"/>
        <v>-1.8158039471399559</v>
      </c>
      <c r="N626" s="26">
        <f t="shared" si="345"/>
        <v>0.13993812819728069</v>
      </c>
      <c r="O626" s="26">
        <f t="shared" si="346"/>
        <v>-1.7574928720284642</v>
      </c>
      <c r="P626" s="26">
        <f t="shared" si="347"/>
        <v>0.14710461801119706</v>
      </c>
      <c r="Q626" s="26">
        <f t="shared" si="348"/>
        <v>1.0819884320110102E-2</v>
      </c>
      <c r="R626" s="26">
        <f t="shared" si="349"/>
        <v>-8.9319354444716765</v>
      </c>
      <c r="S626" s="26">
        <f t="shared" si="350"/>
        <v>1.3208465200619294E-4</v>
      </c>
      <c r="T626" s="26">
        <f t="shared" si="351"/>
        <v>1.6023250068410764</v>
      </c>
      <c r="U626" s="26">
        <f t="shared" si="352"/>
        <v>0.83234308610873564</v>
      </c>
      <c r="V626" s="26">
        <f t="shared" si="353"/>
        <v>1.761541806618335</v>
      </c>
      <c r="W626" s="26">
        <f t="shared" si="354"/>
        <v>0.85340265544637806</v>
      </c>
      <c r="X626" s="26">
        <f t="shared" si="355"/>
        <v>1.0745390715086674E-2</v>
      </c>
      <c r="Y626" s="26">
        <f t="shared" si="356"/>
        <v>1.940193552816416</v>
      </c>
      <c r="Z626" s="26">
        <f t="shared" si="357"/>
        <v>0.8743734057478878</v>
      </c>
      <c r="AA626" s="26">
        <f t="shared" si="358"/>
        <v>-5.5812983638706797</v>
      </c>
      <c r="AB626" s="26">
        <f t="shared" si="359"/>
        <v>3.7535284758073847E-3</v>
      </c>
      <c r="AC626" s="26">
        <f t="shared" si="360"/>
        <v>2.1999447689931424</v>
      </c>
      <c r="AD626" s="26">
        <f t="shared" si="361"/>
        <v>0.90024455100808332</v>
      </c>
      <c r="AE626" s="26">
        <f t="shared" si="362"/>
        <v>4.9755748017894456E-3</v>
      </c>
      <c r="AF626" s="26">
        <f t="shared" si="363"/>
        <v>-3.5006230731757078</v>
      </c>
      <c r="AG626" s="26">
        <f t="shared" si="364"/>
        <v>2.9294507633692981E-2</v>
      </c>
      <c r="AH626" s="26">
        <f t="shared" si="365"/>
        <v>-2.1631694098896475</v>
      </c>
      <c r="AI626" s="26">
        <f t="shared" si="366"/>
        <v>0.10310698840147199</v>
      </c>
      <c r="AJ626" s="26">
        <f t="shared" si="367"/>
        <v>-1.9548620497491249</v>
      </c>
      <c r="AK626" s="26">
        <f t="shared" si="368"/>
        <v>0.12402416820923493</v>
      </c>
      <c r="AL626" s="26">
        <f t="shared" si="369"/>
        <v>7.6909971499962999E-3</v>
      </c>
      <c r="AM626" s="27">
        <f t="shared" si="370"/>
        <v>3.423184698698252E-2</v>
      </c>
    </row>
    <row r="627" spans="1:39" ht="15" customHeight="1" x14ac:dyDescent="0.2">
      <c r="A627" s="24">
        <v>616</v>
      </c>
      <c r="B627" s="29">
        <f t="shared" si="371"/>
        <v>5.4346422604486575</v>
      </c>
      <c r="C627" s="29">
        <f t="shared" si="372"/>
        <v>-5.4429265462723899</v>
      </c>
      <c r="D627" s="29">
        <f t="shared" si="373"/>
        <v>-3.4907101035221979</v>
      </c>
      <c r="E627" s="29">
        <f t="shared" si="374"/>
        <v>-3.7719426218883019</v>
      </c>
      <c r="F627" s="29">
        <f t="shared" si="375"/>
        <v>3.4251130078331187</v>
      </c>
      <c r="G627" s="29">
        <f t="shared" si="376"/>
        <v>-1.820454609241849</v>
      </c>
      <c r="H627" s="29">
        <f t="shared" si="377"/>
        <v>5.548578450974329</v>
      </c>
      <c r="I627" s="29">
        <f t="shared" si="378"/>
        <v>5.3292381322287286</v>
      </c>
      <c r="J627" s="29">
        <f t="shared" si="379"/>
        <v>-2.6701486946327706</v>
      </c>
      <c r="K627" s="26">
        <f t="shared" si="342"/>
        <v>-3.4907101035221979</v>
      </c>
      <c r="L627" s="26">
        <f t="shared" si="343"/>
        <v>2.9577715357136398E-2</v>
      </c>
      <c r="M627" s="26">
        <f t="shared" si="344"/>
        <v>-1.820454609241849</v>
      </c>
      <c r="N627" s="26">
        <f t="shared" si="345"/>
        <v>0.13937933239962183</v>
      </c>
      <c r="O627" s="26">
        <f t="shared" si="346"/>
        <v>-1.7632487675044635</v>
      </c>
      <c r="P627" s="26">
        <f t="shared" si="347"/>
        <v>0.14638392134197423</v>
      </c>
      <c r="Q627" s="26">
        <f t="shared" si="348"/>
        <v>1.0714126213726648E-2</v>
      </c>
      <c r="R627" s="26">
        <f t="shared" si="349"/>
        <v>-8.9336366497945878</v>
      </c>
      <c r="S627" s="26">
        <f t="shared" si="350"/>
        <v>1.318601695220537E-4</v>
      </c>
      <c r="T627" s="26">
        <f t="shared" si="351"/>
        <v>1.6046583985912697</v>
      </c>
      <c r="U627" s="26">
        <f t="shared" si="352"/>
        <v>0.83266845396525357</v>
      </c>
      <c r="V627" s="26">
        <f t="shared" si="353"/>
        <v>1.7680714182379522</v>
      </c>
      <c r="W627" s="26">
        <f t="shared" si="354"/>
        <v>0.85421766910798458</v>
      </c>
      <c r="X627" s="26">
        <f t="shared" si="355"/>
        <v>1.0626244000154536E-2</v>
      </c>
      <c r="Y627" s="26">
        <f t="shared" si="356"/>
        <v>1.9439321569264596</v>
      </c>
      <c r="Z627" s="26">
        <f t="shared" si="357"/>
        <v>0.87478349659073018</v>
      </c>
      <c r="AA627" s="26">
        <f t="shared" si="358"/>
        <v>-5.5923972311301506</v>
      </c>
      <c r="AB627" s="26">
        <f t="shared" si="359"/>
        <v>3.7122526945492272E-3</v>
      </c>
      <c r="AC627" s="26">
        <f t="shared" si="360"/>
        <v>2.2034396424347906</v>
      </c>
      <c r="AD627" s="26">
        <f t="shared" si="361"/>
        <v>0.90055796694247381</v>
      </c>
      <c r="AE627" s="26">
        <f t="shared" si="362"/>
        <v>4.9443589693070663E-3</v>
      </c>
      <c r="AF627" s="26">
        <f t="shared" si="363"/>
        <v>-3.4989943893459303</v>
      </c>
      <c r="AG627" s="26">
        <f t="shared" si="364"/>
        <v>2.9340856962503378E-2</v>
      </c>
      <c r="AH627" s="26">
        <f t="shared" si="365"/>
        <v>-2.167284223297032</v>
      </c>
      <c r="AI627" s="26">
        <f t="shared" si="366"/>
        <v>0.10272708814122809</v>
      </c>
      <c r="AJ627" s="26">
        <f t="shared" si="367"/>
        <v>-1.95989153262245</v>
      </c>
      <c r="AK627" s="26">
        <f t="shared" si="368"/>
        <v>0.12347878670268646</v>
      </c>
      <c r="AL627" s="26">
        <f t="shared" si="369"/>
        <v>7.6235053827837691E-3</v>
      </c>
      <c r="AM627" s="27">
        <f t="shared" si="370"/>
        <v>3.3908234565972015E-2</v>
      </c>
    </row>
    <row r="628" spans="1:39" ht="15" customHeight="1" x14ac:dyDescent="0.2">
      <c r="A628" s="24">
        <v>617</v>
      </c>
      <c r="B628" s="29">
        <f t="shared" si="371"/>
        <v>5.4379428550081119</v>
      </c>
      <c r="C628" s="29">
        <f t="shared" si="372"/>
        <v>-5.4450251417024589</v>
      </c>
      <c r="D628" s="29">
        <f t="shared" si="373"/>
        <v>-3.4903093355420176</v>
      </c>
      <c r="E628" s="29">
        <f t="shared" si="374"/>
        <v>-3.7783319013729004</v>
      </c>
      <c r="F628" s="29">
        <f t="shared" si="375"/>
        <v>3.4320283119250776</v>
      </c>
      <c r="G628" s="29">
        <f t="shared" si="376"/>
        <v>-1.825056744262779</v>
      </c>
      <c r="H628" s="29">
        <f t="shared" si="377"/>
        <v>5.5554379683607991</v>
      </c>
      <c r="I628" s="29">
        <f t="shared" si="378"/>
        <v>5.3404653273940044</v>
      </c>
      <c r="J628" s="29">
        <f t="shared" si="379"/>
        <v>-2.6747449093329445</v>
      </c>
      <c r="K628" s="26">
        <f t="shared" si="342"/>
        <v>-3.4903093355420176</v>
      </c>
      <c r="L628" s="26">
        <f t="shared" si="343"/>
        <v>2.9589220718973436E-2</v>
      </c>
      <c r="M628" s="26">
        <f t="shared" si="344"/>
        <v>-1.825056744262779</v>
      </c>
      <c r="N628" s="26">
        <f t="shared" si="345"/>
        <v>0.1388282093514728</v>
      </c>
      <c r="O628" s="26">
        <f t="shared" si="346"/>
        <v>-1.7689565905908149</v>
      </c>
      <c r="P628" s="26">
        <f t="shared" si="347"/>
        <v>0.14567213507637888</v>
      </c>
      <c r="Q628" s="26">
        <f t="shared" si="348"/>
        <v>1.0610185468855388E-2</v>
      </c>
      <c r="R628" s="26">
        <f t="shared" si="349"/>
        <v>-8.935334477244476</v>
      </c>
      <c r="S628" s="26">
        <f t="shared" si="350"/>
        <v>1.316365130956603E-4</v>
      </c>
      <c r="T628" s="26">
        <f t="shared" si="351"/>
        <v>1.6069715676622986</v>
      </c>
      <c r="U628" s="26">
        <f t="shared" si="352"/>
        <v>0.83299050377684802</v>
      </c>
      <c r="V628" s="26">
        <f t="shared" si="353"/>
        <v>1.7745432926186506</v>
      </c>
      <c r="W628" s="26">
        <f t="shared" si="354"/>
        <v>0.85502176445100664</v>
      </c>
      <c r="X628" s="26">
        <f t="shared" si="355"/>
        <v>1.0509344391449701E-2</v>
      </c>
      <c r="Y628" s="26">
        <f t="shared" si="356"/>
        <v>1.9476335194660943</v>
      </c>
      <c r="Z628" s="26">
        <f t="shared" si="357"/>
        <v>0.87518837185412712</v>
      </c>
      <c r="AA628" s="26">
        <f t="shared" si="358"/>
        <v>-5.603388645635679</v>
      </c>
      <c r="AB628" s="26">
        <f t="shared" si="359"/>
        <v>3.6718222086102891E-3</v>
      </c>
      <c r="AC628" s="26">
        <f t="shared" si="360"/>
        <v>2.2069190403267811</v>
      </c>
      <c r="AD628" s="26">
        <f t="shared" si="361"/>
        <v>0.90086912458383317</v>
      </c>
      <c r="AE628" s="26">
        <f t="shared" si="362"/>
        <v>4.9134652303877945E-3</v>
      </c>
      <c r="AF628" s="26">
        <f t="shared" si="363"/>
        <v>-3.4973916222363646</v>
      </c>
      <c r="AG628" s="26">
        <f t="shared" si="364"/>
        <v>2.9386538173586132E-2</v>
      </c>
      <c r="AH628" s="26">
        <f t="shared" si="365"/>
        <v>-2.1713603337106018</v>
      </c>
      <c r="AI628" s="26">
        <f t="shared" si="366"/>
        <v>0.10235198372471524</v>
      </c>
      <c r="AJ628" s="26">
        <f t="shared" si="367"/>
        <v>-1.9648825991328829</v>
      </c>
      <c r="AK628" s="26">
        <f t="shared" si="368"/>
        <v>0.12293960907518643</v>
      </c>
      <c r="AL628" s="26">
        <f t="shared" si="369"/>
        <v>7.5570737397798312E-3</v>
      </c>
      <c r="AM628" s="27">
        <f t="shared" si="370"/>
        <v>3.3590068830472712E-2</v>
      </c>
    </row>
    <row r="629" spans="1:39" ht="15" customHeight="1" x14ac:dyDescent="0.2">
      <c r="A629" s="24">
        <v>618</v>
      </c>
      <c r="B629" s="29">
        <f t="shared" si="371"/>
        <v>5.4412145665241525</v>
      </c>
      <c r="C629" s="29">
        <f t="shared" si="372"/>
        <v>-5.4471125179193223</v>
      </c>
      <c r="D629" s="29">
        <f t="shared" si="373"/>
        <v>-3.4899163946830742</v>
      </c>
      <c r="E629" s="29">
        <f t="shared" si="374"/>
        <v>-3.7846631531196842</v>
      </c>
      <c r="F629" s="29">
        <f t="shared" si="375"/>
        <v>3.4388760024145766</v>
      </c>
      <c r="G629" s="29">
        <f t="shared" si="376"/>
        <v>-1.8296111791689418</v>
      </c>
      <c r="H629" s="29">
        <f t="shared" si="377"/>
        <v>5.5622622065480574</v>
      </c>
      <c r="I629" s="29">
        <f t="shared" si="378"/>
        <v>5.3515942510895513</v>
      </c>
      <c r="J629" s="29">
        <f t="shared" si="379"/>
        <v>-2.6793058690148177</v>
      </c>
      <c r="K629" s="26">
        <f t="shared" si="342"/>
        <v>-3.4899163946830742</v>
      </c>
      <c r="L629" s="26">
        <f t="shared" si="343"/>
        <v>2.9600505590209481E-2</v>
      </c>
      <c r="M629" s="26">
        <f t="shared" si="344"/>
        <v>-1.8296111791689418</v>
      </c>
      <c r="N629" s="26">
        <f t="shared" si="345"/>
        <v>0.13828459931226739</v>
      </c>
      <c r="O629" s="26">
        <f t="shared" si="346"/>
        <v>-1.7746170287819287</v>
      </c>
      <c r="P629" s="26">
        <f t="shared" si="347"/>
        <v>0.14496909548688522</v>
      </c>
      <c r="Q629" s="26">
        <f t="shared" si="348"/>
        <v>1.0508019323142822E-2</v>
      </c>
      <c r="R629" s="26">
        <f t="shared" si="349"/>
        <v>-8.937028912602397</v>
      </c>
      <c r="S629" s="26">
        <f t="shared" si="350"/>
        <v>1.3141368168526657E-4</v>
      </c>
      <c r="T629" s="26">
        <f t="shared" si="351"/>
        <v>1.6092648232456348</v>
      </c>
      <c r="U629" s="26">
        <f t="shared" si="352"/>
        <v>0.83330929178121771</v>
      </c>
      <c r="V629" s="26">
        <f t="shared" si="353"/>
        <v>1.7809583036161136</v>
      </c>
      <c r="W629" s="26">
        <f t="shared" si="354"/>
        <v>0.85581515666014008</v>
      </c>
      <c r="X629" s="26">
        <f t="shared" si="355"/>
        <v>1.0394634524469974E-2</v>
      </c>
      <c r="Y629" s="26">
        <f t="shared" si="356"/>
        <v>1.9512981718410782</v>
      </c>
      <c r="Z629" s="26">
        <f t="shared" si="357"/>
        <v>0.87558812525727436</v>
      </c>
      <c r="AA629" s="26">
        <f t="shared" si="358"/>
        <v>-5.6142743322886259</v>
      </c>
      <c r="AB629" s="26">
        <f t="shared" si="359"/>
        <v>3.6322130607889741E-3</v>
      </c>
      <c r="AC629" s="26">
        <f t="shared" si="360"/>
        <v>2.2103829991408368</v>
      </c>
      <c r="AD629" s="26">
        <f t="shared" si="361"/>
        <v>0.90117804050336603</v>
      </c>
      <c r="AE629" s="26">
        <f t="shared" si="362"/>
        <v>4.8828898393771828E-3</v>
      </c>
      <c r="AF629" s="26">
        <f t="shared" si="363"/>
        <v>-3.495814346078244</v>
      </c>
      <c r="AG629" s="26">
        <f t="shared" si="364"/>
        <v>2.9431560183349057E-2</v>
      </c>
      <c r="AH629" s="26">
        <f t="shared" si="365"/>
        <v>-2.1753983298740494</v>
      </c>
      <c r="AI629" s="26">
        <f t="shared" si="366"/>
        <v>0.10198158382134692</v>
      </c>
      <c r="AJ629" s="26">
        <f t="shared" si="367"/>
        <v>-1.9698357564319031</v>
      </c>
      <c r="AK629" s="26">
        <f t="shared" si="368"/>
        <v>0.12240652929375243</v>
      </c>
      <c r="AL629" s="26">
        <f t="shared" si="369"/>
        <v>7.491679206871135E-3</v>
      </c>
      <c r="AM629" s="27">
        <f t="shared" si="370"/>
        <v>3.3277222893861112E-2</v>
      </c>
    </row>
    <row r="630" spans="1:39" ht="15" customHeight="1" x14ac:dyDescent="0.2">
      <c r="A630" s="24">
        <v>619</v>
      </c>
      <c r="B630" s="29">
        <f t="shared" si="371"/>
        <v>5.4444577995708103</v>
      </c>
      <c r="C630" s="29">
        <f t="shared" si="372"/>
        <v>-5.4491887792685993</v>
      </c>
      <c r="D630" s="29">
        <f t="shared" si="373"/>
        <v>-3.4895311624616165</v>
      </c>
      <c r="E630" s="29">
        <f t="shared" si="374"/>
        <v>-3.7909372571080739</v>
      </c>
      <c r="F630" s="29">
        <f t="shared" si="375"/>
        <v>3.4456571907353344</v>
      </c>
      <c r="G630" s="29">
        <f t="shared" si="376"/>
        <v>-1.8341187223597097</v>
      </c>
      <c r="H630" s="29">
        <f t="shared" si="377"/>
        <v>5.5690514319111433</v>
      </c>
      <c r="I630" s="29">
        <f t="shared" si="378"/>
        <v>5.3626263933934029</v>
      </c>
      <c r="J630" s="29">
        <f t="shared" si="379"/>
        <v>-2.68383205131813</v>
      </c>
      <c r="K630" s="26">
        <f t="shared" si="342"/>
        <v>-3.4895311624616165</v>
      </c>
      <c r="L630" s="26">
        <f t="shared" si="343"/>
        <v>2.9611573127585906E-2</v>
      </c>
      <c r="M630" s="26">
        <f t="shared" si="344"/>
        <v>-1.8341187223597097</v>
      </c>
      <c r="N630" s="26">
        <f t="shared" si="345"/>
        <v>0.13774834683036657</v>
      </c>
      <c r="O630" s="26">
        <f t="shared" si="346"/>
        <v>-1.780230757231974</v>
      </c>
      <c r="P630" s="26">
        <f t="shared" si="347"/>
        <v>0.14427464258630626</v>
      </c>
      <c r="Q630" s="26">
        <f t="shared" si="348"/>
        <v>1.0407586246703208E-2</v>
      </c>
      <c r="R630" s="26">
        <f t="shared" si="349"/>
        <v>-8.9387199417302163</v>
      </c>
      <c r="S630" s="26">
        <f t="shared" si="350"/>
        <v>1.3119167423916207E-4</v>
      </c>
      <c r="T630" s="26">
        <f t="shared" si="351"/>
        <v>1.6115384683756246</v>
      </c>
      <c r="U630" s="26">
        <f t="shared" si="352"/>
        <v>0.83362487297512744</v>
      </c>
      <c r="V630" s="26">
        <f t="shared" si="353"/>
        <v>1.7873173078687872</v>
      </c>
      <c r="W630" s="26">
        <f t="shared" si="354"/>
        <v>0.85659805559296331</v>
      </c>
      <c r="X630" s="26">
        <f t="shared" si="355"/>
        <v>1.0282058829859421E-2</v>
      </c>
      <c r="Y630" s="26">
        <f t="shared" si="356"/>
        <v>1.9549266371091938</v>
      </c>
      <c r="Z630" s="26">
        <f t="shared" si="357"/>
        <v>0.87598284853157804</v>
      </c>
      <c r="AA630" s="26">
        <f t="shared" si="358"/>
        <v>-5.6250559794677839</v>
      </c>
      <c r="AB630" s="26">
        <f t="shared" si="359"/>
        <v>3.5934021419478336E-3</v>
      </c>
      <c r="AC630" s="26">
        <f t="shared" si="360"/>
        <v>2.2138315587947428</v>
      </c>
      <c r="AD630" s="26">
        <f t="shared" si="361"/>
        <v>0.90148473144532337</v>
      </c>
      <c r="AE630" s="26">
        <f t="shared" si="362"/>
        <v>4.8526290692000283E-3</v>
      </c>
      <c r="AF630" s="26">
        <f t="shared" si="363"/>
        <v>-3.4942621421594056</v>
      </c>
      <c r="AG630" s="26">
        <f t="shared" si="364"/>
        <v>2.9475931822335596E-2</v>
      </c>
      <c r="AH630" s="26">
        <f t="shared" si="365"/>
        <v>-2.1793987887324491</v>
      </c>
      <c r="AI630" s="26">
        <f t="shared" si="366"/>
        <v>0.10161579934740614</v>
      </c>
      <c r="AJ630" s="26">
        <f t="shared" si="367"/>
        <v>-1.9747515034298684</v>
      </c>
      <c r="AK630" s="26">
        <f t="shared" si="368"/>
        <v>0.12187944357763114</v>
      </c>
      <c r="AL630" s="26">
        <f t="shared" si="369"/>
        <v>7.4272993833964865E-3</v>
      </c>
      <c r="AM630" s="27">
        <f t="shared" si="370"/>
        <v>3.2969573529159149E-2</v>
      </c>
    </row>
    <row r="631" spans="1:39" ht="15" customHeight="1" x14ac:dyDescent="0.2">
      <c r="A631" s="24">
        <v>620</v>
      </c>
      <c r="B631" s="29">
        <f t="shared" si="371"/>
        <v>5.4476729518579443</v>
      </c>
      <c r="C631" s="29">
        <f t="shared" si="372"/>
        <v>-5.4512540288212437</v>
      </c>
      <c r="D631" s="29">
        <f t="shared" si="373"/>
        <v>-3.4891535217862244</v>
      </c>
      <c r="E631" s="29">
        <f t="shared" si="374"/>
        <v>-3.7971550757746795</v>
      </c>
      <c r="F631" s="29">
        <f t="shared" si="375"/>
        <v>3.4523729642204479</v>
      </c>
      <c r="G631" s="29">
        <f t="shared" si="376"/>
        <v>-1.8385801641594084</v>
      </c>
      <c r="H631" s="29">
        <f t="shared" si="377"/>
        <v>5.5758059099470909</v>
      </c>
      <c r="I631" s="29">
        <f t="shared" si="378"/>
        <v>5.3735632145676577</v>
      </c>
      <c r="J631" s="29">
        <f t="shared" si="379"/>
        <v>-2.6883239255454021</v>
      </c>
      <c r="K631" s="26">
        <f t="shared" si="342"/>
        <v>-3.4891535217862244</v>
      </c>
      <c r="L631" s="26">
        <f t="shared" si="343"/>
        <v>2.9622426457456552E-2</v>
      </c>
      <c r="M631" s="26">
        <f t="shared" si="344"/>
        <v>-1.8385801641594084</v>
      </c>
      <c r="N631" s="26">
        <f t="shared" si="345"/>
        <v>0.13721930060637011</v>
      </c>
      <c r="O631" s="26">
        <f t="shared" si="346"/>
        <v>-1.7857984389698509</v>
      </c>
      <c r="P631" s="26">
        <f t="shared" si="347"/>
        <v>0.14358862003412481</v>
      </c>
      <c r="Q631" s="26">
        <f t="shared" si="348"/>
        <v>1.0308845901652135E-2</v>
      </c>
      <c r="R631" s="26">
        <f t="shared" si="349"/>
        <v>-8.9404075506074676</v>
      </c>
      <c r="S631" s="26">
        <f t="shared" si="350"/>
        <v>1.309704896909901E-4</v>
      </c>
      <c r="T631" s="26">
        <f t="shared" si="351"/>
        <v>1.6137928000610395</v>
      </c>
      <c r="U631" s="26">
        <f t="shared" si="352"/>
        <v>0.83393730114523501</v>
      </c>
      <c r="V631" s="26">
        <f t="shared" si="353"/>
        <v>1.7936211451749107</v>
      </c>
      <c r="W631" s="26">
        <f t="shared" si="354"/>
        <v>0.85737066593060585</v>
      </c>
      <c r="X631" s="26">
        <f t="shared" si="355"/>
        <v>1.0171563468539421E-2</v>
      </c>
      <c r="Y631" s="26">
        <f t="shared" si="356"/>
        <v>1.9585194300717199</v>
      </c>
      <c r="Z631" s="26">
        <f t="shared" si="357"/>
        <v>0.87637263146359456</v>
      </c>
      <c r="AA631" s="26">
        <f t="shared" si="358"/>
        <v>-5.6357352399340881</v>
      </c>
      <c r="AB631" s="26">
        <f t="shared" si="359"/>
        <v>3.5553671555353886E-3</v>
      </c>
      <c r="AC631" s="26">
        <f t="shared" si="360"/>
        <v>2.2172647624464594</v>
      </c>
      <c r="AD631" s="26">
        <f t="shared" si="361"/>
        <v>0.90178921430558456</v>
      </c>
      <c r="AE631" s="26">
        <f t="shared" si="362"/>
        <v>4.8226792133571981E-3</v>
      </c>
      <c r="AF631" s="26">
        <f t="shared" si="363"/>
        <v>-3.4927345987495237</v>
      </c>
      <c r="AG631" s="26">
        <f t="shared" si="364"/>
        <v>2.9519661833614382E-2</v>
      </c>
      <c r="AH631" s="26">
        <f t="shared" si="365"/>
        <v>-2.1833622757136402</v>
      </c>
      <c r="AI631" s="26">
        <f t="shared" si="366"/>
        <v>0.10125454339992204</v>
      </c>
      <c r="AJ631" s="26">
        <f t="shared" si="367"/>
        <v>-1.9796303309122298</v>
      </c>
      <c r="AK631" s="26">
        <f t="shared" si="368"/>
        <v>0.12135825034673535</v>
      </c>
      <c r="AL631" s="26">
        <f t="shared" si="369"/>
        <v>7.3639124636104454E-3</v>
      </c>
      <c r="AM631" s="27">
        <f t="shared" si="370"/>
        <v>3.2667001047159194E-2</v>
      </c>
    </row>
    <row r="632" spans="1:39" ht="15" customHeight="1" x14ac:dyDescent="0.2">
      <c r="A632" s="24">
        <v>621</v>
      </c>
      <c r="B632" s="29">
        <f t="shared" si="371"/>
        <v>5.4508604143425581</v>
      </c>
      <c r="C632" s="29">
        <f t="shared" si="372"/>
        <v>-5.4533083683901475</v>
      </c>
      <c r="D632" s="29">
        <f t="shared" si="373"/>
        <v>-3.4887833569748667</v>
      </c>
      <c r="E632" s="29">
        <f t="shared" si="374"/>
        <v>-3.8033174544167929</v>
      </c>
      <c r="F632" s="29">
        <f t="shared" si="375"/>
        <v>3.4590243867097117</v>
      </c>
      <c r="G632" s="29">
        <f t="shared" si="376"/>
        <v>-1.8429962772951312</v>
      </c>
      <c r="H632" s="29">
        <f t="shared" si="377"/>
        <v>5.5825259051893426</v>
      </c>
      <c r="I632" s="29">
        <f t="shared" si="378"/>
        <v>5.3844061457395878</v>
      </c>
      <c r="J632" s="29">
        <f t="shared" si="379"/>
        <v>-2.6927819528105448</v>
      </c>
      <c r="K632" s="26">
        <f t="shared" si="342"/>
        <v>-3.4887833569748667</v>
      </c>
      <c r="L632" s="26">
        <f t="shared" si="343"/>
        <v>2.9633068674994781E-2</v>
      </c>
      <c r="M632" s="26">
        <f t="shared" si="344"/>
        <v>-1.8429962772951312</v>
      </c>
      <c r="N632" s="26">
        <f t="shared" si="345"/>
        <v>0.13669731336130153</v>
      </c>
      <c r="O632" s="26">
        <f t="shared" si="346"/>
        <v>-1.7913207251134493</v>
      </c>
      <c r="P632" s="26">
        <f t="shared" si="347"/>
        <v>0.14291087504494529</v>
      </c>
      <c r="Q632" s="26">
        <f t="shared" si="348"/>
        <v>1.0211759103055983E-2</v>
      </c>
      <c r="R632" s="26">
        <f t="shared" si="349"/>
        <v>-8.9420917253650138</v>
      </c>
      <c r="S632" s="26">
        <f t="shared" si="350"/>
        <v>1.3075012695553051E-4</v>
      </c>
      <c r="T632" s="26">
        <f t="shared" si="351"/>
        <v>1.6160281094145805</v>
      </c>
      <c r="U632" s="26">
        <f t="shared" si="352"/>
        <v>0.83424662889820045</v>
      </c>
      <c r="V632" s="26">
        <f t="shared" si="353"/>
        <v>1.7998706388622945</v>
      </c>
      <c r="W632" s="26">
        <f t="shared" si="354"/>
        <v>0.85813318732397936</v>
      </c>
      <c r="X632" s="26">
        <f t="shared" si="355"/>
        <v>1.0063096269426565E-2</v>
      </c>
      <c r="Y632" s="26">
        <f t="shared" si="356"/>
        <v>1.9620770573676913</v>
      </c>
      <c r="Z632" s="26">
        <f t="shared" si="357"/>
        <v>0.87675756193731669</v>
      </c>
      <c r="AA632" s="26">
        <f t="shared" si="358"/>
        <v>-5.6463137317119241</v>
      </c>
      <c r="AB632" s="26">
        <f t="shared" si="359"/>
        <v>3.5180865838006108E-3</v>
      </c>
      <c r="AC632" s="26">
        <f t="shared" si="360"/>
        <v>2.2206826562982349</v>
      </c>
      <c r="AD632" s="26">
        <f t="shared" si="361"/>
        <v>0.90209150611150113</v>
      </c>
      <c r="AE632" s="26">
        <f t="shared" si="362"/>
        <v>4.79303658775711E-3</v>
      </c>
      <c r="AF632" s="26">
        <f t="shared" si="363"/>
        <v>-3.4912313110224562</v>
      </c>
      <c r="AG632" s="26">
        <f t="shared" si="364"/>
        <v>2.9562758871354355E-2</v>
      </c>
      <c r="AH632" s="26">
        <f t="shared" si="365"/>
        <v>-2.1872893450022124</v>
      </c>
      <c r="AI632" s="26">
        <f t="shared" si="366"/>
        <v>0.1008977311927617</v>
      </c>
      <c r="AJ632" s="26">
        <f t="shared" si="367"/>
        <v>-1.9844727216568561</v>
      </c>
      <c r="AK632" s="26">
        <f t="shared" si="368"/>
        <v>0.12084285017106822</v>
      </c>
      <c r="AL632" s="26">
        <f t="shared" si="369"/>
        <v>7.3014972187336212E-3</v>
      </c>
      <c r="AM632" s="27">
        <f t="shared" si="370"/>
        <v>3.2369389178973279E-2</v>
      </c>
    </row>
    <row r="633" spans="1:39" ht="15" customHeight="1" x14ac:dyDescent="0.2">
      <c r="A633" s="24">
        <v>622</v>
      </c>
      <c r="B633" s="29">
        <f t="shared" si="371"/>
        <v>5.454020571339683</v>
      </c>
      <c r="C633" s="29">
        <f t="shared" si="372"/>
        <v>-5.4553518985466294</v>
      </c>
      <c r="D633" s="29">
        <f t="shared" si="373"/>
        <v>-3.4884205537690964</v>
      </c>
      <c r="E633" s="29">
        <f t="shared" si="374"/>
        <v>-3.8094252215865843</v>
      </c>
      <c r="F633" s="29">
        <f t="shared" si="375"/>
        <v>3.4656124991412347</v>
      </c>
      <c r="G633" s="29">
        <f t="shared" si="376"/>
        <v>-1.8473678173609522</v>
      </c>
      <c r="H633" s="29">
        <f t="shared" si="377"/>
        <v>5.589211681127801</v>
      </c>
      <c r="I633" s="29">
        <f t="shared" si="378"/>
        <v>5.395156589567792</v>
      </c>
      <c r="J633" s="29">
        <f t="shared" si="379"/>
        <v>-2.6972065861862795</v>
      </c>
      <c r="K633" s="26">
        <f t="shared" si="342"/>
        <v>-3.4884205537690964</v>
      </c>
      <c r="L633" s="26">
        <f t="shared" si="343"/>
        <v>2.9643502843489017E-2</v>
      </c>
      <c r="M633" s="26">
        <f t="shared" si="344"/>
        <v>-1.8473678173609522</v>
      </c>
      <c r="N633" s="26">
        <f t="shared" si="345"/>
        <v>0.1361822417094832</v>
      </c>
      <c r="O633" s="26">
        <f t="shared" si="346"/>
        <v>-1.7967982550828734</v>
      </c>
      <c r="P633" s="26">
        <f t="shared" si="347"/>
        <v>0.14224125829905707</v>
      </c>
      <c r="Q633" s="26">
        <f t="shared" si="348"/>
        <v>1.0116287781249535E-2</v>
      </c>
      <c r="R633" s="26">
        <f t="shared" si="349"/>
        <v>-8.9437724523157254</v>
      </c>
      <c r="S633" s="26">
        <f t="shared" si="350"/>
        <v>1.3053058492491513E-4</v>
      </c>
      <c r="T633" s="26">
        <f t="shared" si="351"/>
        <v>1.6182446817802825</v>
      </c>
      <c r="U633" s="26">
        <f t="shared" si="352"/>
        <v>0.8345529076900825</v>
      </c>
      <c r="V633" s="26">
        <f t="shared" si="353"/>
        <v>1.8060665961508366</v>
      </c>
      <c r="W633" s="26">
        <f t="shared" si="354"/>
        <v>0.85888581453568469</v>
      </c>
      <c r="X633" s="26">
        <f t="shared" si="355"/>
        <v>9.9566066696285902E-3</v>
      </c>
      <c r="Y633" s="26">
        <f t="shared" si="356"/>
        <v>1.9656000175705866</v>
      </c>
      <c r="Z633" s="26">
        <f t="shared" si="357"/>
        <v>0.87713772597578865</v>
      </c>
      <c r="AA633" s="26">
        <f t="shared" si="358"/>
        <v>-5.6567930389475363</v>
      </c>
      <c r="AB633" s="26">
        <f t="shared" si="359"/>
        <v>3.4815396556102615E-3</v>
      </c>
      <c r="AC633" s="26">
        <f t="shared" si="360"/>
        <v>2.2240852894102812</v>
      </c>
      <c r="AD633" s="26">
        <f t="shared" si="361"/>
        <v>0.90239162400293649</v>
      </c>
      <c r="AE633" s="26">
        <f t="shared" si="362"/>
        <v>4.7636975323920626E-3</v>
      </c>
      <c r="AF633" s="26">
        <f t="shared" si="363"/>
        <v>-3.4897518809760428</v>
      </c>
      <c r="AG633" s="26">
        <f t="shared" si="364"/>
        <v>2.9605231499574555E-2</v>
      </c>
      <c r="AH633" s="26">
        <f t="shared" si="365"/>
        <v>-2.191180539806302</v>
      </c>
      <c r="AI633" s="26">
        <f t="shared" si="366"/>
        <v>0.10054527999485396</v>
      </c>
      <c r="AJ633" s="26">
        <f t="shared" si="367"/>
        <v>-1.9892791505521896</v>
      </c>
      <c r="AK633" s="26">
        <f t="shared" si="368"/>
        <v>0.12033314572114071</v>
      </c>
      <c r="AL633" s="26">
        <f t="shared" si="369"/>
        <v>7.2400329795726422E-3</v>
      </c>
      <c r="AM633" s="27">
        <f t="shared" si="370"/>
        <v>3.2076624962842831E-2</v>
      </c>
    </row>
    <row r="634" spans="1:39" ht="15" customHeight="1" x14ac:dyDescent="0.2">
      <c r="A634" s="24">
        <v>623</v>
      </c>
      <c r="B634" s="29">
        <f t="shared" si="371"/>
        <v>5.4571538006326987</v>
      </c>
      <c r="C634" s="29">
        <f t="shared" si="372"/>
        <v>-5.4573847186368072</v>
      </c>
      <c r="D634" s="29">
        <f t="shared" si="373"/>
        <v>-3.4880649993455792</v>
      </c>
      <c r="E634" s="29">
        <f t="shared" si="374"/>
        <v>-3.8154791894761351</v>
      </c>
      <c r="F634" s="29">
        <f t="shared" si="375"/>
        <v>3.472138320127661</v>
      </c>
      <c r="G634" s="29">
        <f t="shared" si="376"/>
        <v>-1.8516955232688967</v>
      </c>
      <c r="H634" s="29">
        <f t="shared" si="377"/>
        <v>5.5958635001342154</v>
      </c>
      <c r="I634" s="29">
        <f t="shared" si="378"/>
        <v>5.4058159208935423</v>
      </c>
      <c r="J634" s="29">
        <f t="shared" si="379"/>
        <v>-2.7015982708502309</v>
      </c>
      <c r="K634" s="26">
        <f t="shared" si="342"/>
        <v>-3.4880649993455792</v>
      </c>
      <c r="L634" s="26">
        <f t="shared" si="343"/>
        <v>2.9653731993721403E-2</v>
      </c>
      <c r="M634" s="26">
        <f t="shared" si="344"/>
        <v>-1.8516955232688967</v>
      </c>
      <c r="N634" s="26">
        <f t="shared" si="345"/>
        <v>0.13567394603592528</v>
      </c>
      <c r="O634" s="26">
        <f t="shared" si="346"/>
        <v>-1.8022316568123469</v>
      </c>
      <c r="P634" s="26">
        <f t="shared" si="347"/>
        <v>0.14157962385509407</v>
      </c>
      <c r="Q634" s="26">
        <f t="shared" si="348"/>
        <v>1.0022394945474961E-2</v>
      </c>
      <c r="R634" s="26">
        <f t="shared" si="349"/>
        <v>-8.9454497179823864</v>
      </c>
      <c r="S634" s="26">
        <f t="shared" si="350"/>
        <v>1.30311862465242E-4</v>
      </c>
      <c r="T634" s="26">
        <f t="shared" si="351"/>
        <v>1.6204427968587642</v>
      </c>
      <c r="U634" s="26">
        <f t="shared" si="352"/>
        <v>0.83485618785503135</v>
      </c>
      <c r="V634" s="26">
        <f t="shared" si="353"/>
        <v>1.8122098085077916</v>
      </c>
      <c r="W634" s="26">
        <f t="shared" si="354"/>
        <v>0.85962873757770963</v>
      </c>
      <c r="X634" s="26">
        <f t="shared" si="355"/>
        <v>9.8520456570137544E-3</v>
      </c>
      <c r="Y634" s="26">
        <f t="shared" si="356"/>
        <v>1.9690888012871195</v>
      </c>
      <c r="Z634" s="26">
        <f t="shared" si="357"/>
        <v>0.87751320778203423</v>
      </c>
      <c r="AA634" s="26">
        <f t="shared" si="358"/>
        <v>-5.667174712745032</v>
      </c>
      <c r="AB634" s="26">
        <f t="shared" si="359"/>
        <v>3.4457063157845333E-3</v>
      </c>
      <c r="AC634" s="26">
        <f t="shared" si="360"/>
        <v>2.2274727135235377</v>
      </c>
      <c r="AD634" s="26">
        <f t="shared" si="361"/>
        <v>0.90268958521443587</v>
      </c>
      <c r="AE634" s="26">
        <f t="shared" si="362"/>
        <v>4.7346584128692684E-3</v>
      </c>
      <c r="AF634" s="26">
        <f t="shared" si="363"/>
        <v>-3.4882959173496877</v>
      </c>
      <c r="AG634" s="26">
        <f t="shared" si="364"/>
        <v>2.9647088191057529E-2</v>
      </c>
      <c r="AH634" s="26">
        <f t="shared" si="365"/>
        <v>-2.1950363926173706</v>
      </c>
      <c r="AI634" s="26">
        <f t="shared" si="366"/>
        <v>0.10019710907046975</v>
      </c>
      <c r="AJ634" s="26">
        <f t="shared" si="367"/>
        <v>-1.9940500847159797</v>
      </c>
      <c r="AK634" s="26">
        <f t="shared" si="368"/>
        <v>0.11982904171938528</v>
      </c>
      <c r="AL634" s="26">
        <f t="shared" si="369"/>
        <v>7.1794996196930892E-3</v>
      </c>
      <c r="AM634" s="27">
        <f t="shared" si="370"/>
        <v>3.1788598635051075E-2</v>
      </c>
    </row>
    <row r="635" spans="1:39" ht="15" customHeight="1" x14ac:dyDescent="0.2">
      <c r="A635" s="24">
        <v>624</v>
      </c>
      <c r="B635" s="29">
        <f t="shared" si="371"/>
        <v>5.4602604735829816</v>
      </c>
      <c r="C635" s="29">
        <f t="shared" si="372"/>
        <v>-5.459406926797838</v>
      </c>
      <c r="D635" s="29">
        <f t="shared" si="373"/>
        <v>-3.4877165823251479</v>
      </c>
      <c r="E635" s="29">
        <f t="shared" si="374"/>
        <v>-3.8214801542934644</v>
      </c>
      <c r="F635" s="29">
        <f t="shared" si="375"/>
        <v>3.4786028465173122</v>
      </c>
      <c r="G635" s="29">
        <f t="shared" si="376"/>
        <v>-1.855980117687025</v>
      </c>
      <c r="H635" s="29">
        <f t="shared" si="377"/>
        <v>5.6024816233926433</v>
      </c>
      <c r="I635" s="29">
        <f t="shared" si="378"/>
        <v>5.4163854873774948</v>
      </c>
      <c r="J635" s="29">
        <f t="shared" si="379"/>
        <v>-2.7059574442295635</v>
      </c>
      <c r="K635" s="26">
        <f t="shared" si="342"/>
        <v>-3.4877165823251479</v>
      </c>
      <c r="L635" s="26">
        <f t="shared" si="343"/>
        <v>2.9663759123424168E-2</v>
      </c>
      <c r="M635" s="26">
        <f t="shared" si="344"/>
        <v>-1.855980117687025</v>
      </c>
      <c r="N635" s="26">
        <f t="shared" si="345"/>
        <v>0.13517229037805761</v>
      </c>
      <c r="O635" s="26">
        <f t="shared" si="346"/>
        <v>-1.8076215469605459</v>
      </c>
      <c r="P635" s="26">
        <f t="shared" si="347"/>
        <v>0.14092582906477261</v>
      </c>
      <c r="Q635" s="26">
        <f t="shared" si="348"/>
        <v>9.9300446487967532E-3</v>
      </c>
      <c r="R635" s="26">
        <f t="shared" si="349"/>
        <v>-8.947123509122985</v>
      </c>
      <c r="S635" s="26">
        <f t="shared" si="350"/>
        <v>1.3009395841356432E-4</v>
      </c>
      <c r="T635" s="26">
        <f t="shared" si="351"/>
        <v>1.6226227288302872</v>
      </c>
      <c r="U635" s="26">
        <f t="shared" si="352"/>
        <v>0.83515651863328422</v>
      </c>
      <c r="V635" s="26">
        <f t="shared" si="353"/>
        <v>1.8183010519957965</v>
      </c>
      <c r="W635" s="26">
        <f t="shared" si="354"/>
        <v>0.8603621418450289</v>
      </c>
      <c r="X635" s="26">
        <f t="shared" si="355"/>
        <v>9.7493657150539131E-3</v>
      </c>
      <c r="Y635" s="26">
        <f t="shared" si="356"/>
        <v>1.9725438912578337</v>
      </c>
      <c r="Z635" s="26">
        <f t="shared" si="357"/>
        <v>0.87788408977928689</v>
      </c>
      <c r="AA635" s="26">
        <f t="shared" si="358"/>
        <v>-5.6774602719804896</v>
      </c>
      <c r="AB635" s="26">
        <f t="shared" si="359"/>
        <v>3.4105671958712721E-3</v>
      </c>
      <c r="AC635" s="26">
        <f t="shared" si="360"/>
        <v>2.2308449828911114</v>
      </c>
      <c r="AD635" s="26">
        <f t="shared" si="361"/>
        <v>0.90298540705847152</v>
      </c>
      <c r="AE635" s="26">
        <f t="shared" si="362"/>
        <v>4.7059156218052338E-3</v>
      </c>
      <c r="AF635" s="26">
        <f t="shared" si="363"/>
        <v>-3.4868630355400043</v>
      </c>
      <c r="AG635" s="26">
        <f t="shared" si="364"/>
        <v>2.9688337326416913E-2</v>
      </c>
      <c r="AH635" s="26">
        <f t="shared" si="365"/>
        <v>-2.198857425463177</v>
      </c>
      <c r="AI635" s="26">
        <f t="shared" si="366"/>
        <v>9.9853139621481249E-2</v>
      </c>
      <c r="AJ635" s="26">
        <f t="shared" si="367"/>
        <v>-1.9987859836143613</v>
      </c>
      <c r="AK635" s="26">
        <f t="shared" si="368"/>
        <v>0.1193304448925662</v>
      </c>
      <c r="AL635" s="26">
        <f t="shared" si="369"/>
        <v>7.1198775391288884E-3</v>
      </c>
      <c r="AM635" s="27">
        <f t="shared" si="370"/>
        <v>3.1505203524784788E-2</v>
      </c>
    </row>
    <row r="636" spans="1:39" ht="15" customHeight="1" x14ac:dyDescent="0.2">
      <c r="A636" s="24">
        <v>625</v>
      </c>
      <c r="B636" s="29">
        <f t="shared" si="371"/>
        <v>5.4633409552387766</v>
      </c>
      <c r="C636" s="29">
        <f t="shared" si="372"/>
        <v>-5.461418619974026</v>
      </c>
      <c r="D636" s="29">
        <f t="shared" si="373"/>
        <v>-3.4873751927795618</v>
      </c>
      <c r="E636" s="29">
        <f t="shared" si="374"/>
        <v>-3.8274288966296943</v>
      </c>
      <c r="F636" s="29">
        <f t="shared" si="375"/>
        <v>3.4850070539405715</v>
      </c>
      <c r="G636" s="29">
        <f t="shared" si="376"/>
        <v>-1.8602223074649784</v>
      </c>
      <c r="H636" s="29">
        <f t="shared" si="377"/>
        <v>5.6090663108347165</v>
      </c>
      <c r="I636" s="29">
        <f t="shared" si="378"/>
        <v>5.4268666101219463</v>
      </c>
      <c r="J636" s="29">
        <f t="shared" si="379"/>
        <v>-2.7102845361440555</v>
      </c>
      <c r="K636" s="26">
        <f t="shared" si="342"/>
        <v>-3.4873751927795618</v>
      </c>
      <c r="L636" s="26">
        <f t="shared" si="343"/>
        <v>2.9673587196808481E-2</v>
      </c>
      <c r="M636" s="26">
        <f t="shared" si="344"/>
        <v>-1.8602223074649784</v>
      </c>
      <c r="N636" s="26">
        <f t="shared" si="345"/>
        <v>0.13467714231164135</v>
      </c>
      <c r="O636" s="26">
        <f t="shared" si="346"/>
        <v>-1.8129685311191326</v>
      </c>
      <c r="P636" s="26">
        <f t="shared" si="347"/>
        <v>0.14027973448968498</v>
      </c>
      <c r="Q636" s="26">
        <f t="shared" si="348"/>
        <v>9.8392019542482556E-3</v>
      </c>
      <c r="R636" s="26">
        <f t="shared" si="349"/>
        <v>-8.9487938127535873</v>
      </c>
      <c r="S636" s="26">
        <f t="shared" si="350"/>
        <v>1.2987687157522306E-4</v>
      </c>
      <c r="T636" s="26">
        <f t="shared" si="351"/>
        <v>1.6247847464755931</v>
      </c>
      <c r="U636" s="26">
        <f t="shared" si="352"/>
        <v>0.83545394819847441</v>
      </c>
      <c r="V636" s="26">
        <f t="shared" si="353"/>
        <v>1.8243410876137047</v>
      </c>
      <c r="W636" s="26">
        <f t="shared" si="354"/>
        <v>0.86108620824521731</v>
      </c>
      <c r="X636" s="26">
        <f t="shared" si="355"/>
        <v>9.6485207698455647E-3</v>
      </c>
      <c r="Y636" s="26">
        <f t="shared" si="356"/>
        <v>1.9759657624592148</v>
      </c>
      <c r="Z636" s="26">
        <f t="shared" si="357"/>
        <v>0.87825045265051116</v>
      </c>
      <c r="AA636" s="26">
        <f t="shared" si="358"/>
        <v>-5.6876512040946725</v>
      </c>
      <c r="AB636" s="26">
        <f t="shared" si="359"/>
        <v>3.3761035862836133E-3</v>
      </c>
      <c r="AC636" s="26">
        <f t="shared" si="360"/>
        <v>2.2342021541179826</v>
      </c>
      <c r="AD636" s="26">
        <f t="shared" si="361"/>
        <v>0.90327910690970104</v>
      </c>
      <c r="AE636" s="26">
        <f t="shared" si="362"/>
        <v>4.6774655800925213E-3</v>
      </c>
      <c r="AF636" s="26">
        <f t="shared" si="363"/>
        <v>-3.4854528575148112</v>
      </c>
      <c r="AG636" s="26">
        <f t="shared" si="364"/>
        <v>2.972898719330927E-2</v>
      </c>
      <c r="AH636" s="26">
        <f t="shared" si="365"/>
        <v>-2.202644150154101</v>
      </c>
      <c r="AI636" s="26">
        <f t="shared" si="366"/>
        <v>9.9513294731530311E-2</v>
      </c>
      <c r="AJ636" s="26">
        <f t="shared" si="367"/>
        <v>-2.0034872991810619</v>
      </c>
      <c r="AK636" s="26">
        <f t="shared" si="368"/>
        <v>0.11883726392518533</v>
      </c>
      <c r="AL636" s="26">
        <f t="shared" si="369"/>
        <v>7.0611476486120775E-3</v>
      </c>
      <c r="AM636" s="27">
        <f t="shared" si="370"/>
        <v>3.1226335952798417E-2</v>
      </c>
    </row>
    <row r="637" spans="1:39" ht="15" customHeight="1" x14ac:dyDescent="0.2">
      <c r="A637" s="24">
        <v>626</v>
      </c>
      <c r="B637" s="29">
        <f t="shared" si="371"/>
        <v>5.4663956044432034</v>
      </c>
      <c r="C637" s="29">
        <f t="shared" si="372"/>
        <v>-5.4634198939327847</v>
      </c>
      <c r="D637" s="29">
        <f t="shared" si="373"/>
        <v>-3.4870407222361361</v>
      </c>
      <c r="E637" s="29">
        <f t="shared" si="374"/>
        <v>-3.8333261818175153</v>
      </c>
      <c r="F637" s="29">
        <f t="shared" si="375"/>
        <v>3.4913518973418296</v>
      </c>
      <c r="G637" s="29">
        <f t="shared" si="376"/>
        <v>-1.8644227840473322</v>
      </c>
      <c r="H637" s="29">
        <f t="shared" si="377"/>
        <v>5.6156178210794705</v>
      </c>
      <c r="I637" s="29">
        <f t="shared" si="378"/>
        <v>5.4372605842788397</v>
      </c>
      <c r="J637" s="29">
        <f t="shared" si="379"/>
        <v>-2.714579968947509</v>
      </c>
      <c r="K637" s="26">
        <f t="shared" si="342"/>
        <v>-3.4870407222361361</v>
      </c>
      <c r="L637" s="26">
        <f t="shared" si="343"/>
        <v>2.9683219144161322E-2</v>
      </c>
      <c r="M637" s="26">
        <f t="shared" si="344"/>
        <v>-1.8644227840473322</v>
      </c>
      <c r="N637" s="26">
        <f t="shared" si="345"/>
        <v>0.13418837284070212</v>
      </c>
      <c r="O637" s="26">
        <f t="shared" si="346"/>
        <v>-1.8182732040192866</v>
      </c>
      <c r="P637" s="26">
        <f t="shared" si="347"/>
        <v>0.13964120382012477</v>
      </c>
      <c r="Q637" s="26">
        <f t="shared" si="348"/>
        <v>9.7498329021668134E-3</v>
      </c>
      <c r="R637" s="26">
        <f t="shared" si="349"/>
        <v>-8.9504606161689217</v>
      </c>
      <c r="S637" s="26">
        <f t="shared" si="350"/>
        <v>1.2966060072150306E-4</v>
      </c>
      <c r="T637" s="26">
        <f t="shared" si="351"/>
        <v>1.6269291132944974</v>
      </c>
      <c r="U637" s="26">
        <f t="shared" si="352"/>
        <v>0.83574852368426333</v>
      </c>
      <c r="V637" s="26">
        <f t="shared" si="353"/>
        <v>1.8303306616302693</v>
      </c>
      <c r="W637" s="26">
        <f t="shared" si="354"/>
        <v>0.86180111332418718</v>
      </c>
      <c r="X637" s="26">
        <f t="shared" si="355"/>
        <v>9.5494661392170766E-3</v>
      </c>
      <c r="Y637" s="26">
        <f t="shared" si="356"/>
        <v>1.9793548822070672</v>
      </c>
      <c r="Z637" s="26">
        <f t="shared" si="357"/>
        <v>0.87861237537720693</v>
      </c>
      <c r="AA637" s="26">
        <f t="shared" si="358"/>
        <v>-5.6977489658648475</v>
      </c>
      <c r="AB637" s="26">
        <f t="shared" si="359"/>
        <v>3.3422974097301991E-3</v>
      </c>
      <c r="AC637" s="26">
        <f t="shared" si="360"/>
        <v>2.2375442860085628</v>
      </c>
      <c r="AD637" s="26">
        <f t="shared" si="361"/>
        <v>0.90357070219018853</v>
      </c>
      <c r="AE637" s="26">
        <f t="shared" si="362"/>
        <v>4.649304738046655E-3</v>
      </c>
      <c r="AF637" s="26">
        <f t="shared" si="363"/>
        <v>-3.4840650117257175</v>
      </c>
      <c r="AG637" s="26">
        <f t="shared" si="364"/>
        <v>2.9769045985781558E-2</v>
      </c>
      <c r="AH637" s="26">
        <f t="shared" si="365"/>
        <v>-2.2063970685230179</v>
      </c>
      <c r="AI637" s="26">
        <f t="shared" si="366"/>
        <v>9.9177499312034803E-2</v>
      </c>
      <c r="AJ637" s="26">
        <f t="shared" si="367"/>
        <v>-2.0081544759365513</v>
      </c>
      <c r="AK637" s="26">
        <f t="shared" si="368"/>
        <v>0.11834940941387888</v>
      </c>
      <c r="AL637" s="26">
        <f t="shared" si="369"/>
        <v>7.0032913543069614E-3</v>
      </c>
      <c r="AM637" s="27">
        <f t="shared" si="370"/>
        <v>3.0951895133737504E-2</v>
      </c>
    </row>
    <row r="638" spans="1:39" ht="15" customHeight="1" x14ac:dyDescent="0.2">
      <c r="A638" s="24">
        <v>627</v>
      </c>
      <c r="B638" s="29">
        <f t="shared" si="371"/>
        <v>5.4694247739413138</v>
      </c>
      <c r="C638" s="29">
        <f t="shared" si="372"/>
        <v>-5.4654108432804573</v>
      </c>
      <c r="D638" s="29">
        <f t="shared" si="373"/>
        <v>-3.4867130636804045</v>
      </c>
      <c r="E638" s="29">
        <f t="shared" si="374"/>
        <v>-3.8391727602811083</v>
      </c>
      <c r="F638" s="29">
        <f t="shared" si="375"/>
        <v>3.4976383114973193</v>
      </c>
      <c r="G638" s="29">
        <f t="shared" si="376"/>
        <v>-1.868582223875094</v>
      </c>
      <c r="H638" s="29">
        <f t="shared" si="377"/>
        <v>5.6221364113775003</v>
      </c>
      <c r="I638" s="29">
        <f t="shared" si="378"/>
        <v>5.4475686796437275</v>
      </c>
      <c r="J638" s="29">
        <f t="shared" si="379"/>
        <v>-2.7188441576674145</v>
      </c>
      <c r="K638" s="26">
        <f t="shared" si="342"/>
        <v>-3.4867130636804045</v>
      </c>
      <c r="L638" s="26">
        <f t="shared" si="343"/>
        <v>2.9692657861505503E-2</v>
      </c>
      <c r="M638" s="26">
        <f t="shared" si="344"/>
        <v>-1.868582223875094</v>
      </c>
      <c r="N638" s="26">
        <f t="shared" si="345"/>
        <v>0.13370585629133311</v>
      </c>
      <c r="O638" s="26">
        <f t="shared" si="346"/>
        <v>-1.8235361497360585</v>
      </c>
      <c r="P638" s="26">
        <f t="shared" si="347"/>
        <v>0.13901010379591575</v>
      </c>
      <c r="Q638" s="26">
        <f t="shared" si="348"/>
        <v>9.6619044786756345E-3</v>
      </c>
      <c r="R638" s="26">
        <f t="shared" si="349"/>
        <v>-8.9521239069608622</v>
      </c>
      <c r="S638" s="26">
        <f t="shared" si="350"/>
        <v>1.2944514458758448E-4</v>
      </c>
      <c r="T638" s="26">
        <f t="shared" si="351"/>
        <v>1.6290560876222253</v>
      </c>
      <c r="U638" s="26">
        <f t="shared" si="352"/>
        <v>0.83604029121030643</v>
      </c>
      <c r="V638" s="26">
        <f t="shared" si="353"/>
        <v>1.836270505910734</v>
      </c>
      <c r="W638" s="26">
        <f t="shared" si="354"/>
        <v>0.86250702938816004</v>
      </c>
      <c r="X638" s="26">
        <f t="shared" si="355"/>
        <v>9.4521584838341433E-3</v>
      </c>
      <c r="Y638" s="26">
        <f t="shared" si="356"/>
        <v>1.9827117102609093</v>
      </c>
      <c r="Z638" s="26">
        <f t="shared" si="357"/>
        <v>0.87896993527749556</v>
      </c>
      <c r="AA638" s="26">
        <f t="shared" si="358"/>
        <v>-5.7077549841562023</v>
      </c>
      <c r="AB638" s="26">
        <f t="shared" si="359"/>
        <v>3.3091311958711347E-3</v>
      </c>
      <c r="AC638" s="26">
        <f t="shared" si="360"/>
        <v>2.2408714394217779</v>
      </c>
      <c r="AD638" s="26">
        <f t="shared" si="361"/>
        <v>0.90386021035553521</v>
      </c>
      <c r="AE638" s="26">
        <f t="shared" si="362"/>
        <v>4.6214295764409694E-3</v>
      </c>
      <c r="AF638" s="26">
        <f t="shared" si="363"/>
        <v>-3.482699133019548</v>
      </c>
      <c r="AG638" s="26">
        <f t="shared" si="364"/>
        <v>2.9808521803745335E-2</v>
      </c>
      <c r="AH638" s="26">
        <f t="shared" si="365"/>
        <v>-2.210116672658883</v>
      </c>
      <c r="AI638" s="26">
        <f t="shared" si="366"/>
        <v>9.8845680049967646E-2</v>
      </c>
      <c r="AJ638" s="26">
        <f t="shared" si="367"/>
        <v>-2.0127879511069491</v>
      </c>
      <c r="AK638" s="26">
        <f t="shared" si="368"/>
        <v>0.11786679382279967</v>
      </c>
      <c r="AL638" s="26">
        <f t="shared" si="369"/>
        <v>6.9462905430331835E-3</v>
      </c>
      <c r="AM638" s="27">
        <f t="shared" si="370"/>
        <v>3.0681783081983931E-2</v>
      </c>
    </row>
    <row r="639" spans="1:39" ht="15" customHeight="1" x14ac:dyDescent="0.2">
      <c r="A639" s="24">
        <v>628</v>
      </c>
      <c r="B639" s="29">
        <f t="shared" si="371"/>
        <v>5.4724288104861234</v>
      </c>
      <c r="C639" s="29">
        <f t="shared" si="372"/>
        <v>-5.467391561477978</v>
      </c>
      <c r="D639" s="29">
        <f t="shared" si="373"/>
        <v>-3.4863921115569552</v>
      </c>
      <c r="E639" s="29">
        <f t="shared" si="374"/>
        <v>-3.8449693678776886</v>
      </c>
      <c r="F639" s="29">
        <f t="shared" si="375"/>
        <v>3.5038672115191631</v>
      </c>
      <c r="G639" s="29">
        <f t="shared" si="376"/>
        <v>-1.8727012887756815</v>
      </c>
      <c r="H639" s="29">
        <f t="shared" si="377"/>
        <v>5.6286223375592161</v>
      </c>
      <c r="I639" s="29">
        <f t="shared" si="378"/>
        <v>5.4577921412359078</v>
      </c>
      <c r="J639" s="29">
        <f t="shared" si="379"/>
        <v>-2.7230775101427942</v>
      </c>
      <c r="K639" s="26">
        <f t="shared" si="342"/>
        <v>-3.4863921115569552</v>
      </c>
      <c r="L639" s="26">
        <f t="shared" si="343"/>
        <v>2.9701906210318915E-2</v>
      </c>
      <c r="M639" s="26">
        <f t="shared" si="344"/>
        <v>-1.8727012887756815</v>
      </c>
      <c r="N639" s="26">
        <f t="shared" si="345"/>
        <v>0.13322947020922152</v>
      </c>
      <c r="O639" s="26">
        <f t="shared" si="346"/>
        <v>-1.8287579418903916</v>
      </c>
      <c r="P639" s="26">
        <f t="shared" si="347"/>
        <v>0.1383863041292151</v>
      </c>
      <c r="Q639" s="26">
        <f t="shared" si="348"/>
        <v>9.5753845852718077E-3</v>
      </c>
      <c r="R639" s="26">
        <f t="shared" si="349"/>
        <v>-8.9537836730349341</v>
      </c>
      <c r="S639" s="26">
        <f t="shared" si="350"/>
        <v>1.292305018707697E-4</v>
      </c>
      <c r="T639" s="26">
        <f t="shared" si="351"/>
        <v>1.6311659227434816</v>
      </c>
      <c r="U639" s="26">
        <f t="shared" si="352"/>
        <v>0.83632929590756389</v>
      </c>
      <c r="V639" s="26">
        <f t="shared" si="353"/>
        <v>1.8421613382363922</v>
      </c>
      <c r="W639" s="26">
        <f t="shared" si="354"/>
        <v>0.8632041246219736</v>
      </c>
      <c r="X639" s="26">
        <f t="shared" si="355"/>
        <v>9.3565557602202643E-3</v>
      </c>
      <c r="Y639" s="26">
        <f t="shared" si="356"/>
        <v>1.9860366989291682</v>
      </c>
      <c r="Z639" s="26">
        <f t="shared" si="357"/>
        <v>0.87932320804347819</v>
      </c>
      <c r="AA639" s="26">
        <f t="shared" si="358"/>
        <v>-5.7176706566533699</v>
      </c>
      <c r="AB639" s="26">
        <f t="shared" si="359"/>
        <v>3.2765880571365823E-3</v>
      </c>
      <c r="AC639" s="26">
        <f t="shared" si="360"/>
        <v>2.2441836771332642</v>
      </c>
      <c r="AD639" s="26">
        <f t="shared" si="361"/>
        <v>0.90414764888187238</v>
      </c>
      <c r="AE639" s="26">
        <f t="shared" si="362"/>
        <v>4.5938366074364106E-3</v>
      </c>
      <c r="AF639" s="26">
        <f t="shared" si="363"/>
        <v>-3.4813548625488098</v>
      </c>
      <c r="AG639" s="26">
        <f t="shared" si="364"/>
        <v>2.9847422652570017E-2</v>
      </c>
      <c r="AH639" s="26">
        <f t="shared" si="365"/>
        <v>-2.2138034451342072</v>
      </c>
      <c r="AI639" s="26">
        <f t="shared" si="366"/>
        <v>9.8517765357343412E-2</v>
      </c>
      <c r="AJ639" s="26">
        <f t="shared" si="367"/>
        <v>-2.0173881547425356</v>
      </c>
      <c r="AK639" s="26">
        <f t="shared" si="368"/>
        <v>0.1173893314399781</v>
      </c>
      <c r="AL639" s="26">
        <f t="shared" si="369"/>
        <v>6.8901275679625149E-3</v>
      </c>
      <c r="AM639" s="27">
        <f t="shared" si="370"/>
        <v>3.0415904520890998E-2</v>
      </c>
    </row>
    <row r="640" spans="1:39" ht="15" customHeight="1" x14ac:dyDescent="0.2">
      <c r="A640" s="24">
        <v>629</v>
      </c>
      <c r="B640" s="29">
        <f t="shared" si="371"/>
        <v>5.4754080549435562</v>
      </c>
      <c r="C640" s="29">
        <f t="shared" si="372"/>
        <v>-5.4693621408563837</v>
      </c>
      <c r="D640" s="29">
        <f t="shared" si="373"/>
        <v>-3.4860777617685863</v>
      </c>
      <c r="E640" s="29">
        <f t="shared" si="374"/>
        <v>-3.8507167262308331</v>
      </c>
      <c r="F640" s="29">
        <f t="shared" si="375"/>
        <v>3.5100394933459582</v>
      </c>
      <c r="G640" s="29">
        <f t="shared" si="376"/>
        <v>-1.8767806263417051</v>
      </c>
      <c r="H640" s="29">
        <f t="shared" si="377"/>
        <v>5.6350758539869892</v>
      </c>
      <c r="I640" s="29">
        <f t="shared" si="378"/>
        <v>5.4679321898649667</v>
      </c>
      <c r="J640" s="29">
        <f t="shared" si="379"/>
        <v>-2.7272804271601636</v>
      </c>
      <c r="K640" s="26">
        <f t="shared" si="342"/>
        <v>-3.4860777617685863</v>
      </c>
      <c r="L640" s="26">
        <f t="shared" si="343"/>
        <v>2.971096701730877E-2</v>
      </c>
      <c r="M640" s="26">
        <f t="shared" si="344"/>
        <v>-1.8767806263417051</v>
      </c>
      <c r="N640" s="26">
        <f t="shared" si="345"/>
        <v>0.13275909526075819</v>
      </c>
      <c r="O640" s="26">
        <f t="shared" si="346"/>
        <v>-1.8339391438486738</v>
      </c>
      <c r="P640" s="26">
        <f t="shared" si="347"/>
        <v>0.13776967742925952</v>
      </c>
      <c r="Q640" s="26">
        <f t="shared" si="348"/>
        <v>9.4902420094811098E-3</v>
      </c>
      <c r="R640" s="26">
        <f t="shared" si="349"/>
        <v>-8.9554399026249705</v>
      </c>
      <c r="S640" s="26">
        <f t="shared" si="350"/>
        <v>1.290166712289664E-4</v>
      </c>
      <c r="T640" s="26">
        <f t="shared" si="351"/>
        <v>1.6332588670042532</v>
      </c>
      <c r="U640" s="26">
        <f t="shared" si="352"/>
        <v>0.83661558194296792</v>
      </c>
      <c r="V640" s="26">
        <f t="shared" si="353"/>
        <v>1.8480038626172064</v>
      </c>
      <c r="W640" s="26">
        <f t="shared" si="354"/>
        <v>0.86389256320383723</v>
      </c>
      <c r="X640" s="26">
        <f t="shared" si="355"/>
        <v>9.2626171756107212E-3</v>
      </c>
      <c r="Y640" s="26">
        <f t="shared" si="356"/>
        <v>1.9893302931749699</v>
      </c>
      <c r="Z640" s="26">
        <f t="shared" si="357"/>
        <v>0.87967226777787177</v>
      </c>
      <c r="AA640" s="26">
        <f t="shared" si="358"/>
        <v>-5.7274973525725379</v>
      </c>
      <c r="AB640" s="26">
        <f t="shared" si="359"/>
        <v>3.2446516656485188E-3</v>
      </c>
      <c r="AC640" s="26">
        <f t="shared" si="360"/>
        <v>2.2474810637043978</v>
      </c>
      <c r="AD640" s="26">
        <f t="shared" si="361"/>
        <v>0.90443303525366958</v>
      </c>
      <c r="AE640" s="26">
        <f t="shared" si="362"/>
        <v>4.5665223754131805E-3</v>
      </c>
      <c r="AF640" s="26">
        <f t="shared" si="363"/>
        <v>-3.4800318476814138</v>
      </c>
      <c r="AG640" s="26">
        <f t="shared" si="364"/>
        <v>2.9885756442787098E-2</v>
      </c>
      <c r="AH640" s="26">
        <f t="shared" si="365"/>
        <v>-2.2174578592265801</v>
      </c>
      <c r="AI640" s="26">
        <f t="shared" si="366"/>
        <v>9.819368532235194E-2</v>
      </c>
      <c r="AJ640" s="26">
        <f t="shared" si="367"/>
        <v>-2.0219555098357187</v>
      </c>
      <c r="AK640" s="26">
        <f t="shared" si="368"/>
        <v>0.11691693833465183</v>
      </c>
      <c r="AL640" s="26">
        <f t="shared" si="369"/>
        <v>6.8347852347743895E-3</v>
      </c>
      <c r="AM640" s="27">
        <f t="shared" si="370"/>
        <v>3.0154166795279401E-2</v>
      </c>
    </row>
    <row r="641" spans="1:39" ht="15" customHeight="1" x14ac:dyDescent="0.2">
      <c r="A641" s="24">
        <v>630</v>
      </c>
      <c r="B641" s="29">
        <f t="shared" si="371"/>
        <v>5.4783628423962378</v>
      </c>
      <c r="C641" s="29">
        <f t="shared" si="372"/>
        <v>-5.4713226726321604</v>
      </c>
      <c r="D641" s="29">
        <f t="shared" si="373"/>
        <v>-3.4857699116739052</v>
      </c>
      <c r="E641" s="29">
        <f t="shared" si="374"/>
        <v>-3.856415543055757</v>
      </c>
      <c r="F641" s="29">
        <f t="shared" si="375"/>
        <v>3.5161560342202196</v>
      </c>
      <c r="G641" s="29">
        <f t="shared" si="376"/>
        <v>-1.8808208702988747</v>
      </c>
      <c r="H641" s="29">
        <f t="shared" si="377"/>
        <v>5.6414972135109789</v>
      </c>
      <c r="I641" s="29">
        <f t="shared" si="378"/>
        <v>5.477990022683958</v>
      </c>
      <c r="J641" s="29">
        <f t="shared" si="379"/>
        <v>-2.7314533025875556</v>
      </c>
      <c r="K641" s="26">
        <f t="shared" si="342"/>
        <v>-3.4857699116739052</v>
      </c>
      <c r="L641" s="26">
        <f t="shared" si="343"/>
        <v>2.9719843074237265E-2</v>
      </c>
      <c r="M641" s="26">
        <f t="shared" si="344"/>
        <v>-1.8808208702988747</v>
      </c>
      <c r="N641" s="26">
        <f t="shared" si="345"/>
        <v>0.13229461513759497</v>
      </c>
      <c r="O641" s="26">
        <f t="shared" si="346"/>
        <v>-1.8390803089197032</v>
      </c>
      <c r="P641" s="26">
        <f t="shared" si="347"/>
        <v>0.13716009912902111</v>
      </c>
      <c r="Q641" s="26">
        <f t="shared" si="348"/>
        <v>9.4064463965414478E-3</v>
      </c>
      <c r="R641" s="26">
        <f t="shared" si="349"/>
        <v>-8.957092584306066</v>
      </c>
      <c r="S641" s="26">
        <f t="shared" si="350"/>
        <v>1.288036512794046E-4</v>
      </c>
      <c r="T641" s="26">
        <f t="shared" si="351"/>
        <v>1.6353351639213449</v>
      </c>
      <c r="U641" s="26">
        <f t="shared" si="352"/>
        <v>0.83689919254345935</v>
      </c>
      <c r="V641" s="26">
        <f t="shared" si="353"/>
        <v>1.853798769597558</v>
      </c>
      <c r="W641" s="26">
        <f t="shared" si="354"/>
        <v>0.86457250541663289</v>
      </c>
      <c r="X641" s="26">
        <f t="shared" si="355"/>
        <v>9.1703031445639644E-3</v>
      </c>
      <c r="Y641" s="26">
        <f t="shared" si="356"/>
        <v>1.9925929307223327</v>
      </c>
      <c r="Z641" s="26">
        <f t="shared" si="357"/>
        <v>0.88001718702991816</v>
      </c>
      <c r="AA641" s="26">
        <f t="shared" si="358"/>
        <v>-5.7372364133546316</v>
      </c>
      <c r="AB641" s="26">
        <f t="shared" si="359"/>
        <v>3.213306231189459E-3</v>
      </c>
      <c r="AC641" s="26">
        <f t="shared" si="360"/>
        <v>2.2507636653577809</v>
      </c>
      <c r="AD641" s="26">
        <f t="shared" si="361"/>
        <v>0.9047163869523136</v>
      </c>
      <c r="AE641" s="26">
        <f t="shared" si="362"/>
        <v>4.5394834577106172E-3</v>
      </c>
      <c r="AF641" s="26">
        <f t="shared" si="363"/>
        <v>-3.4787297419098278</v>
      </c>
      <c r="AG641" s="26">
        <f t="shared" si="364"/>
        <v>2.9923530989898507E-2</v>
      </c>
      <c r="AH641" s="26">
        <f t="shared" si="365"/>
        <v>-2.221080379134412</v>
      </c>
      <c r="AI641" s="26">
        <f t="shared" si="366"/>
        <v>9.7873371662078448E-2</v>
      </c>
      <c r="AJ641" s="26">
        <f t="shared" si="367"/>
        <v>-2.026490432438329</v>
      </c>
      <c r="AK641" s="26">
        <f t="shared" si="368"/>
        <v>0.11644953231555537</v>
      </c>
      <c r="AL641" s="26">
        <f t="shared" si="369"/>
        <v>6.7802467882557872E-3</v>
      </c>
      <c r="AM641" s="27">
        <f t="shared" si="370"/>
        <v>2.9896479787071818E-2</v>
      </c>
    </row>
    <row r="642" spans="1:39" ht="15" customHeight="1" x14ac:dyDescent="0.2">
      <c r="A642" s="24">
        <v>631</v>
      </c>
      <c r="B642" s="29">
        <f t="shared" si="371"/>
        <v>5.4812935022460954</v>
      </c>
      <c r="C642" s="29">
        <f t="shared" si="372"/>
        <v>-5.4732732469224255</v>
      </c>
      <c r="D642" s="29">
        <f t="shared" si="373"/>
        <v>-3.485468460083498</v>
      </c>
      <c r="E642" s="29">
        <f t="shared" si="374"/>
        <v>-3.8620665124767046</v>
      </c>
      <c r="F642" s="29">
        <f t="shared" si="375"/>
        <v>3.5222176931530056</v>
      </c>
      <c r="G642" s="29">
        <f t="shared" si="376"/>
        <v>-1.8848226408633448</v>
      </c>
      <c r="H642" s="29">
        <f t="shared" si="377"/>
        <v>5.6478866674284536</v>
      </c>
      <c r="I642" s="29">
        <f t="shared" si="378"/>
        <v>5.4879668137294626</v>
      </c>
      <c r="J642" s="29">
        <f t="shared" si="379"/>
        <v>-2.7355965235065636</v>
      </c>
      <c r="K642" s="26">
        <f t="shared" si="342"/>
        <v>-3.485468460083498</v>
      </c>
      <c r="L642" s="26">
        <f t="shared" si="343"/>
        <v>2.97285371377949E-2</v>
      </c>
      <c r="M642" s="26">
        <f t="shared" si="344"/>
        <v>-1.8848226408633448</v>
      </c>
      <c r="N642" s="26">
        <f t="shared" si="345"/>
        <v>0.13183591646451981</v>
      </c>
      <c r="O642" s="26">
        <f t="shared" si="346"/>
        <v>-1.8441819805489659</v>
      </c>
      <c r="P642" s="26">
        <f t="shared" si="347"/>
        <v>0.13655744741373868</v>
      </c>
      <c r="Q642" s="26">
        <f t="shared" si="348"/>
        <v>9.323968222078002E-3</v>
      </c>
      <c r="R642" s="26">
        <f t="shared" si="349"/>
        <v>-8.9587417070059239</v>
      </c>
      <c r="S642" s="26">
        <f t="shared" si="350"/>
        <v>1.2859144059757245E-4</v>
      </c>
      <c r="T642" s="26">
        <f t="shared" si="351"/>
        <v>1.6373950522896608</v>
      </c>
      <c r="U642" s="26">
        <f t="shared" si="352"/>
        <v>0.83718017001940481</v>
      </c>
      <c r="V642" s="26">
        <f t="shared" si="353"/>
        <v>1.8595467365552159</v>
      </c>
      <c r="W642" s="26">
        <f t="shared" si="354"/>
        <v>0.86524410775586613</v>
      </c>
      <c r="X642" s="26">
        <f t="shared" si="355"/>
        <v>9.0795752472563086E-3</v>
      </c>
      <c r="Y642" s="26">
        <f t="shared" si="356"/>
        <v>1.9958250421625974</v>
      </c>
      <c r="Z642" s="26">
        <f t="shared" si="357"/>
        <v>0.88035803683056957</v>
      </c>
      <c r="AA642" s="26">
        <f t="shared" si="358"/>
        <v>-5.7468891533400495</v>
      </c>
      <c r="AB642" s="26">
        <f t="shared" si="359"/>
        <v>3.1825364801650984E-3</v>
      </c>
      <c r="AC642" s="26">
        <f t="shared" si="360"/>
        <v>2.2540315498589276</v>
      </c>
      <c r="AD642" s="26">
        <f t="shared" si="361"/>
        <v>0.90499772144542023</v>
      </c>
      <c r="AE642" s="26">
        <f t="shared" si="362"/>
        <v>4.512716465280983E-3</v>
      </c>
      <c r="AF642" s="26">
        <f t="shared" si="363"/>
        <v>-3.4774482047598281</v>
      </c>
      <c r="AG642" s="26">
        <f t="shared" si="364"/>
        <v>2.9960754014282075E-2</v>
      </c>
      <c r="AH642" s="26">
        <f t="shared" si="365"/>
        <v>-2.2246714601870439</v>
      </c>
      <c r="AI642" s="26">
        <f t="shared" si="366"/>
        <v>9.7556757676754535E-2</v>
      </c>
      <c r="AJ642" s="26">
        <f t="shared" si="367"/>
        <v>-2.0309933317781206</v>
      </c>
      <c r="AK642" s="26">
        <f t="shared" si="368"/>
        <v>0.11598703289015751</v>
      </c>
      <c r="AL642" s="26">
        <f t="shared" si="369"/>
        <v>6.7264958993312396E-3</v>
      </c>
      <c r="AM642" s="27">
        <f t="shared" si="370"/>
        <v>2.9642755833946533E-2</v>
      </c>
    </row>
    <row r="643" spans="1:39" ht="15" customHeight="1" x14ac:dyDescent="0.2">
      <c r="A643" s="24">
        <v>632</v>
      </c>
      <c r="B643" s="29">
        <f t="shared" si="371"/>
        <v>5.4842003583157073</v>
      </c>
      <c r="C643" s="29">
        <f t="shared" si="372"/>
        <v>-5.4752139527599475</v>
      </c>
      <c r="D643" s="29">
        <f t="shared" si="373"/>
        <v>-3.4851733072547804</v>
      </c>
      <c r="E643" s="29">
        <f t="shared" si="374"/>
        <v>-3.8676703153366239</v>
      </c>
      <c r="F643" s="29">
        <f t="shared" si="375"/>
        <v>3.5282253113760422</v>
      </c>
      <c r="G643" s="29">
        <f t="shared" si="376"/>
        <v>-1.8887865450888033</v>
      </c>
      <c r="H643" s="29">
        <f t="shared" si="377"/>
        <v>5.6542444654464168</v>
      </c>
      <c r="I643" s="29">
        <f t="shared" si="378"/>
        <v>5.4978637144487745</v>
      </c>
      <c r="J643" s="29">
        <f t="shared" si="379"/>
        <v>-2.739710470342366</v>
      </c>
      <c r="K643" s="26">
        <f t="shared" si="342"/>
        <v>-3.4851733072547804</v>
      </c>
      <c r="L643" s="26">
        <f t="shared" si="343"/>
        <v>2.9737051929518286E-2</v>
      </c>
      <c r="M643" s="26">
        <f t="shared" si="344"/>
        <v>-1.8887865450888033</v>
      </c>
      <c r="N643" s="26">
        <f t="shared" si="345"/>
        <v>0.13138288871052439</v>
      </c>
      <c r="O643" s="26">
        <f t="shared" si="346"/>
        <v>-1.8492446925101409</v>
      </c>
      <c r="P643" s="26">
        <f t="shared" si="347"/>
        <v>0.13596160315128963</v>
      </c>
      <c r="Q643" s="26">
        <f t="shared" si="348"/>
        <v>9.2427787657343857E-3</v>
      </c>
      <c r="R643" s="26">
        <f t="shared" si="349"/>
        <v>-8.960387260014727</v>
      </c>
      <c r="S643" s="26">
        <f t="shared" si="350"/>
        <v>1.2838003771635187E-4</v>
      </c>
      <c r="T643" s="26">
        <f t="shared" si="351"/>
        <v>1.6394387662872389</v>
      </c>
      <c r="U643" s="26">
        <f t="shared" si="352"/>
        <v>0.83745855578740691</v>
      </c>
      <c r="V643" s="26">
        <f t="shared" si="353"/>
        <v>1.8652484279936252</v>
      </c>
      <c r="W643" s="26">
        <f t="shared" si="354"/>
        <v>0.86590752303436203</v>
      </c>
      <c r="X643" s="26">
        <f t="shared" si="355"/>
        <v>8.990396189390076E-3</v>
      </c>
      <c r="Y643" s="26">
        <f t="shared" si="356"/>
        <v>1.9990270510609269</v>
      </c>
      <c r="Z643" s="26">
        <f t="shared" si="357"/>
        <v>0.88069488672695473</v>
      </c>
      <c r="AA643" s="26">
        <f t="shared" si="358"/>
        <v>-5.7564568604254269</v>
      </c>
      <c r="AB643" s="26">
        <f t="shared" si="359"/>
        <v>3.1523276355107542E-3</v>
      </c>
      <c r="AC643" s="26">
        <f t="shared" si="360"/>
        <v>2.257284786403805</v>
      </c>
      <c r="AD643" s="26">
        <f t="shared" si="361"/>
        <v>0.90527705617683296</v>
      </c>
      <c r="AE643" s="26">
        <f t="shared" si="362"/>
        <v>4.4862180432634294E-3</v>
      </c>
      <c r="AF643" s="26">
        <f t="shared" si="363"/>
        <v>-3.4761869016990206</v>
      </c>
      <c r="AG643" s="26">
        <f t="shared" si="364"/>
        <v>2.9997433141187496E-2</v>
      </c>
      <c r="AH643" s="26">
        <f t="shared" si="365"/>
        <v>-2.2282315490493847</v>
      </c>
      <c r="AI643" s="26">
        <f t="shared" si="366"/>
        <v>9.7243778205484216E-2</v>
      </c>
      <c r="AJ643" s="26">
        <f t="shared" si="367"/>
        <v>-2.0354646103743717</v>
      </c>
      <c r="AK643" s="26">
        <f t="shared" si="368"/>
        <v>0.11552936122483519</v>
      </c>
      <c r="AL643" s="26">
        <f t="shared" si="369"/>
        <v>6.6735166525092263E-3</v>
      </c>
      <c r="AM643" s="27">
        <f t="shared" si="370"/>
        <v>2.9392909650897116E-2</v>
      </c>
    </row>
    <row r="644" spans="1:39" ht="15" customHeight="1" x14ac:dyDescent="0.2">
      <c r="A644" s="24">
        <v>633</v>
      </c>
      <c r="B644" s="29">
        <f t="shared" si="371"/>
        <v>5.4870837289483712</v>
      </c>
      <c r="C644" s="29">
        <f t="shared" si="372"/>
        <v>-5.4771448781079926</v>
      </c>
      <c r="D644" s="29">
        <f t="shared" si="373"/>
        <v>-3.4848843548856379</v>
      </c>
      <c r="E644" s="29">
        <f t="shared" si="374"/>
        <v>-3.8732276194992838</v>
      </c>
      <c r="F644" s="29">
        <f t="shared" si="375"/>
        <v>3.5341797127816621</v>
      </c>
      <c r="G644" s="29">
        <f t="shared" si="376"/>
        <v>-1.8927131772036023</v>
      </c>
      <c r="H644" s="29">
        <f t="shared" si="377"/>
        <v>5.6605708556473662</v>
      </c>
      <c r="I644" s="29">
        <f t="shared" si="378"/>
        <v>5.5076818542144519</v>
      </c>
      <c r="J644" s="29">
        <f t="shared" si="379"/>
        <v>-2.7437955169917037</v>
      </c>
      <c r="K644" s="26">
        <f t="shared" si="342"/>
        <v>-3.4848843548856379</v>
      </c>
      <c r="L644" s="26">
        <f t="shared" si="343"/>
        <v>2.9745390135749235E-2</v>
      </c>
      <c r="M644" s="26">
        <f t="shared" si="344"/>
        <v>-1.8927131772036023</v>
      </c>
      <c r="N644" s="26">
        <f t="shared" si="345"/>
        <v>0.13093542410294443</v>
      </c>
      <c r="O644" s="26">
        <f t="shared" si="346"/>
        <v>-1.8542689690937602</v>
      </c>
      <c r="P644" s="26">
        <f t="shared" si="347"/>
        <v>0.13537244982436547</v>
      </c>
      <c r="Q644" s="26">
        <f t="shared" si="348"/>
        <v>9.1628500857251736E-3</v>
      </c>
      <c r="R644" s="26">
        <f t="shared" si="349"/>
        <v>-8.9620292329936309</v>
      </c>
      <c r="S644" s="26">
        <f t="shared" si="350"/>
        <v>1.2816944112533865E-4</v>
      </c>
      <c r="T644" s="26">
        <f t="shared" si="351"/>
        <v>1.6414665355780598</v>
      </c>
      <c r="U644" s="26">
        <f t="shared" si="352"/>
        <v>0.83773439039252251</v>
      </c>
      <c r="V644" s="26">
        <f t="shared" si="353"/>
        <v>1.8709044958276171</v>
      </c>
      <c r="W644" s="26">
        <f t="shared" si="354"/>
        <v>0.86656290048380935</v>
      </c>
      <c r="X644" s="26">
        <f t="shared" si="355"/>
        <v>8.9027297636468834E-3</v>
      </c>
      <c r="Y644" s="26">
        <f t="shared" si="356"/>
        <v>2.0021993740627333</v>
      </c>
      <c r="Z644" s="26">
        <f t="shared" si="357"/>
        <v>0.88102780481612752</v>
      </c>
      <c r="AA644" s="26">
        <f t="shared" si="358"/>
        <v>-5.7659407967028864</v>
      </c>
      <c r="AB644" s="26">
        <f t="shared" si="359"/>
        <v>3.1226653974942911E-3</v>
      </c>
      <c r="AC644" s="26">
        <f t="shared" si="360"/>
        <v>2.2605234455120065</v>
      </c>
      <c r="AD644" s="26">
        <f t="shared" si="361"/>
        <v>0.9055544085572802</v>
      </c>
      <c r="AE644" s="26">
        <f t="shared" si="362"/>
        <v>4.4599848714825738E-3</v>
      </c>
      <c r="AF644" s="26">
        <f t="shared" si="363"/>
        <v>-3.4749455040452593</v>
      </c>
      <c r="AG644" s="26">
        <f t="shared" si="364"/>
        <v>3.0033575900816834E-2</v>
      </c>
      <c r="AH644" s="26">
        <f t="shared" si="365"/>
        <v>-2.2317610839212243</v>
      </c>
      <c r="AI644" s="26">
        <f t="shared" si="366"/>
        <v>9.6934369583392951E-2</v>
      </c>
      <c r="AJ644" s="26">
        <f t="shared" si="367"/>
        <v>-2.039904664152496</v>
      </c>
      <c r="AK644" s="26">
        <f t="shared" si="368"/>
        <v>0.11507644010596965</v>
      </c>
      <c r="AL644" s="26">
        <f t="shared" si="369"/>
        <v>6.6212935337314101E-3</v>
      </c>
      <c r="AM644" s="27">
        <f t="shared" si="370"/>
        <v>2.9146858254586041E-2</v>
      </c>
    </row>
    <row r="645" spans="1:39" ht="15" customHeight="1" x14ac:dyDescent="0.2">
      <c r="A645" s="24">
        <v>634</v>
      </c>
      <c r="B645" s="29">
        <f t="shared" si="371"/>
        <v>5.4899439271068529</v>
      </c>
      <c r="C645" s="29">
        <f t="shared" si="372"/>
        <v>-5.479066109875002</v>
      </c>
      <c r="D645" s="29">
        <f t="shared" si="373"/>
        <v>-3.4846015061069577</v>
      </c>
      <c r="E645" s="29">
        <f t="shared" si="374"/>
        <v>-3.8787390801440069</v>
      </c>
      <c r="F645" s="29">
        <f t="shared" si="375"/>
        <v>3.5400817043508654</v>
      </c>
      <c r="G645" s="29">
        <f t="shared" si="376"/>
        <v>-1.8966031189382244</v>
      </c>
      <c r="H645" s="29">
        <f t="shared" si="377"/>
        <v>5.6668660844580163</v>
      </c>
      <c r="I645" s="29">
        <f t="shared" si="378"/>
        <v>5.5174223408264975</v>
      </c>
      <c r="J645" s="29">
        <f t="shared" si="379"/>
        <v>-2.7478520309487853</v>
      </c>
      <c r="K645" s="26">
        <f t="shared" si="342"/>
        <v>-3.4846015061069577</v>
      </c>
      <c r="L645" s="26">
        <f t="shared" si="343"/>
        <v>2.9753554407632089E-2</v>
      </c>
      <c r="M645" s="26">
        <f t="shared" si="344"/>
        <v>-1.8966031189382244</v>
      </c>
      <c r="N645" s="26">
        <f t="shared" si="345"/>
        <v>0.13049341754455654</v>
      </c>
      <c r="O645" s="26">
        <f t="shared" si="346"/>
        <v>-1.859255325292962</v>
      </c>
      <c r="P645" s="26">
        <f t="shared" si="347"/>
        <v>0.1347898734644149</v>
      </c>
      <c r="Q645" s="26">
        <f t="shared" si="348"/>
        <v>9.0841549942764898E-3</v>
      </c>
      <c r="R645" s="26">
        <f t="shared" si="349"/>
        <v>-8.9636676159819597</v>
      </c>
      <c r="S645" s="26">
        <f t="shared" si="350"/>
        <v>1.2795964927033473E-4</v>
      </c>
      <c r="T645" s="26">
        <f t="shared" si="351"/>
        <v>1.643478585412641</v>
      </c>
      <c r="U645" s="26">
        <f t="shared" si="352"/>
        <v>0.83800771352989822</v>
      </c>
      <c r="V645" s="26">
        <f t="shared" si="353"/>
        <v>1.876515579662636</v>
      </c>
      <c r="W645" s="26">
        <f t="shared" si="354"/>
        <v>0.86721038585324139</v>
      </c>
      <c r="X645" s="26">
        <f t="shared" si="355"/>
        <v>8.8165408126225173E-3</v>
      </c>
      <c r="Y645" s="26">
        <f t="shared" si="356"/>
        <v>2.0053424209998951</v>
      </c>
      <c r="Z645" s="26">
        <f t="shared" si="357"/>
        <v>0.88135685777810413</v>
      </c>
      <c r="AA645" s="26">
        <f t="shared" si="358"/>
        <v>-5.7753421990822318</v>
      </c>
      <c r="AB645" s="26">
        <f t="shared" si="359"/>
        <v>3.0935359253707949E-3</v>
      </c>
      <c r="AC645" s="26">
        <f t="shared" si="360"/>
        <v>2.2637475989252311</v>
      </c>
      <c r="AD645" s="26">
        <f t="shared" si="361"/>
        <v>0.90582979595564472</v>
      </c>
      <c r="AE645" s="26">
        <f t="shared" si="362"/>
        <v>4.4340136648777532E-3</v>
      </c>
      <c r="AF645" s="26">
        <f t="shared" si="363"/>
        <v>-3.4737236888751069</v>
      </c>
      <c r="AG645" s="26">
        <f t="shared" si="364"/>
        <v>3.0069189728483683E-2</v>
      </c>
      <c r="AH645" s="26">
        <f t="shared" si="365"/>
        <v>-2.2352604947313659</v>
      </c>
      <c r="AI645" s="26">
        <f t="shared" si="366"/>
        <v>9.6628469600148731E-2</v>
      </c>
      <c r="AJ645" s="26">
        <f t="shared" si="367"/>
        <v>-2.0443138825575731</v>
      </c>
      <c r="AK645" s="26">
        <f t="shared" si="368"/>
        <v>0.11462819390195257</v>
      </c>
      <c r="AL645" s="26">
        <f t="shared" si="369"/>
        <v>6.569811418611818E-3</v>
      </c>
      <c r="AM645" s="27">
        <f t="shared" si="370"/>
        <v>2.8904520890388578E-2</v>
      </c>
    </row>
    <row r="646" spans="1:39" ht="15" customHeight="1" x14ac:dyDescent="0.2">
      <c r="A646" s="24">
        <v>635</v>
      </c>
      <c r="B646" s="29">
        <f t="shared" si="371"/>
        <v>5.492781260470788</v>
      </c>
      <c r="C646" s="29">
        <f t="shared" si="372"/>
        <v>-5.4809777339290937</v>
      </c>
      <c r="D646" s="29">
        <f t="shared" si="373"/>
        <v>-3.484324665474142</v>
      </c>
      <c r="E646" s="29">
        <f t="shared" si="374"/>
        <v>-3.8842053400531764</v>
      </c>
      <c r="F646" s="29">
        <f t="shared" si="375"/>
        <v>3.5459320765698163</v>
      </c>
      <c r="G646" s="29">
        <f t="shared" si="376"/>
        <v>-1.9004569398433675</v>
      </c>
      <c r="H646" s="29">
        <f t="shared" si="377"/>
        <v>5.67313039662083</v>
      </c>
      <c r="I646" s="29">
        <f t="shared" si="378"/>
        <v>5.5270862610024061</v>
      </c>
      <c r="J646" s="29">
        <f t="shared" si="379"/>
        <v>-2.7518803734291066</v>
      </c>
      <c r="K646" s="26">
        <f t="shared" si="342"/>
        <v>-3.484324665474142</v>
      </c>
      <c r="L646" s="26">
        <f t="shared" si="343"/>
        <v>2.9761547361146674E-2</v>
      </c>
      <c r="M646" s="26">
        <f t="shared" si="344"/>
        <v>-1.9004569398433675</v>
      </c>
      <c r="N646" s="26">
        <f t="shared" si="345"/>
        <v>0.13005676653352111</v>
      </c>
      <c r="O646" s="26">
        <f t="shared" si="346"/>
        <v>-1.864204266986293</v>
      </c>
      <c r="P646" s="26">
        <f t="shared" si="347"/>
        <v>0.13421376258731668</v>
      </c>
      <c r="Q646" s="26">
        <f t="shared" si="348"/>
        <v>9.0066670339223037E-3</v>
      </c>
      <c r="R646" s="26">
        <f t="shared" si="349"/>
        <v>-8.9653023994032353</v>
      </c>
      <c r="S646" s="26">
        <f t="shared" si="350"/>
        <v>1.2775066055299405E-4</v>
      </c>
      <c r="T646" s="26">
        <f t="shared" si="351"/>
        <v>1.6454751367264489</v>
      </c>
      <c r="U646" s="26">
        <f t="shared" si="352"/>
        <v>0.83827856406583956</v>
      </c>
      <c r="V646" s="26">
        <f t="shared" si="353"/>
        <v>1.8820823070675927</v>
      </c>
      <c r="W646" s="26">
        <f t="shared" si="354"/>
        <v>0.86785012150454999</v>
      </c>
      <c r="X646" s="26">
        <f t="shared" si="355"/>
        <v>8.7317951931811001E-3</v>
      </c>
      <c r="Y646" s="26">
        <f t="shared" si="356"/>
        <v>2.008456594996646</v>
      </c>
      <c r="Z646" s="26">
        <f t="shared" si="357"/>
        <v>0.88168211090819659</v>
      </c>
      <c r="AA646" s="26">
        <f t="shared" si="358"/>
        <v>-5.7846622798965441</v>
      </c>
      <c r="AB646" s="26">
        <f t="shared" si="359"/>
        <v>3.0649258198466806E-3</v>
      </c>
      <c r="AC646" s="26">
        <f t="shared" si="360"/>
        <v>2.2669573195108677</v>
      </c>
      <c r="AD646" s="26">
        <f t="shared" si="361"/>
        <v>0.90610323569082274</v>
      </c>
      <c r="AE646" s="26">
        <f t="shared" si="362"/>
        <v>4.408301173866592E-3</v>
      </c>
      <c r="AF646" s="26">
        <f t="shared" si="363"/>
        <v>-3.4725211389324477</v>
      </c>
      <c r="AG646" s="26">
        <f t="shared" si="364"/>
        <v>3.0104281964845579E-2</v>
      </c>
      <c r="AH646" s="26">
        <f t="shared" si="365"/>
        <v>-2.2387302033267273</v>
      </c>
      <c r="AI646" s="26">
        <f t="shared" si="366"/>
        <v>9.6326017459806318E-2</v>
      </c>
      <c r="AJ646" s="26">
        <f t="shared" si="367"/>
        <v>-2.0486926486667238</v>
      </c>
      <c r="AK646" s="26">
        <f t="shared" si="368"/>
        <v>0.11418454852608649</v>
      </c>
      <c r="AL646" s="26">
        <f t="shared" si="369"/>
        <v>6.5190555610531E-3</v>
      </c>
      <c r="AM646" s="27">
        <f t="shared" si="370"/>
        <v>2.8665818962023092E-2</v>
      </c>
    </row>
    <row r="647" spans="1:39" ht="15" customHeight="1" x14ac:dyDescent="0.2">
      <c r="A647" s="24">
        <v>636</v>
      </c>
      <c r="B647" s="29">
        <f t="shared" si="371"/>
        <v>5.4955960315327141</v>
      </c>
      <c r="C647" s="29">
        <f t="shared" si="372"/>
        <v>-5.482879835112394</v>
      </c>
      <c r="D647" s="29">
        <f t="shared" si="373"/>
        <v>-3.4840537389576962</v>
      </c>
      <c r="E647" s="29">
        <f t="shared" si="374"/>
        <v>-3.8896270298926829</v>
      </c>
      <c r="F647" s="29">
        <f t="shared" si="375"/>
        <v>3.5517316038350715</v>
      </c>
      <c r="G647" s="29">
        <f t="shared" si="376"/>
        <v>-1.9042751975989265</v>
      </c>
      <c r="H647" s="29">
        <f t="shared" si="377"/>
        <v>5.6793640351682031</v>
      </c>
      <c r="I647" s="29">
        <f t="shared" si="378"/>
        <v>5.5366746808553415</v>
      </c>
      <c r="J647" s="29">
        <f t="shared" si="379"/>
        <v>-2.7558808994911685</v>
      </c>
      <c r="K647" s="26">
        <f t="shared" si="342"/>
        <v>-3.4840537389576962</v>
      </c>
      <c r="L647" s="26">
        <f t="shared" si="343"/>
        <v>2.976937157717402E-2</v>
      </c>
      <c r="M647" s="26">
        <f t="shared" si="344"/>
        <v>-1.9042751975989265</v>
      </c>
      <c r="N647" s="26">
        <f t="shared" si="345"/>
        <v>0.12962537108606428</v>
      </c>
      <c r="O647" s="26">
        <f t="shared" si="346"/>
        <v>-1.8691162911175176</v>
      </c>
      <c r="P647" s="26">
        <f t="shared" si="347"/>
        <v>0.13364400813074523</v>
      </c>
      <c r="Q647" s="26">
        <f t="shared" si="348"/>
        <v>8.9303604546253478E-3</v>
      </c>
      <c r="R647" s="26">
        <f t="shared" si="349"/>
        <v>-8.9669335740700902</v>
      </c>
      <c r="S647" s="26">
        <f t="shared" si="350"/>
        <v>1.2754247333061341E-4</v>
      </c>
      <c r="T647" s="26">
        <f t="shared" si="351"/>
        <v>1.647456406236145</v>
      </c>
      <c r="U647" s="26">
        <f t="shared" si="352"/>
        <v>0.83854698005832395</v>
      </c>
      <c r="V647" s="26">
        <f t="shared" si="353"/>
        <v>1.8876052938414527</v>
      </c>
      <c r="W647" s="26">
        <f t="shared" si="354"/>
        <v>0.86848224650511918</v>
      </c>
      <c r="X647" s="26">
        <f t="shared" si="355"/>
        <v>8.6484597421701177E-3</v>
      </c>
      <c r="Y647" s="26">
        <f t="shared" si="356"/>
        <v>2.0115422925750179</v>
      </c>
      <c r="Z647" s="26">
        <f t="shared" si="357"/>
        <v>0.88200362814864708</v>
      </c>
      <c r="AA647" s="26">
        <f t="shared" si="358"/>
        <v>-5.7939022274916097</v>
      </c>
      <c r="AB647" s="26">
        <f t="shared" si="359"/>
        <v>3.0368221063132861E-3</v>
      </c>
      <c r="AC647" s="26">
        <f t="shared" si="360"/>
        <v>2.2701526811704142</v>
      </c>
      <c r="AD647" s="26">
        <f t="shared" si="361"/>
        <v>0.90637474502413273</v>
      </c>
      <c r="AE647" s="26">
        <f t="shared" si="362"/>
        <v>4.3828441846480793E-3</v>
      </c>
      <c r="AF647" s="26">
        <f t="shared" si="363"/>
        <v>-3.471337542537376</v>
      </c>
      <c r="AG647" s="26">
        <f t="shared" si="364"/>
        <v>3.0138859856204278E-2</v>
      </c>
      <c r="AH647" s="26">
        <f t="shared" si="365"/>
        <v>-2.2421706236565377</v>
      </c>
      <c r="AI647" s="26">
        <f t="shared" si="366"/>
        <v>9.60269537419286E-2</v>
      </c>
      <c r="AJ647" s="26">
        <f t="shared" si="367"/>
        <v>-2.0530413393002638</v>
      </c>
      <c r="AK647" s="26">
        <f t="shared" si="368"/>
        <v>0.11374543140036586</v>
      </c>
      <c r="AL647" s="26">
        <f t="shared" si="369"/>
        <v>6.4690115822276682E-3</v>
      </c>
      <c r="AM647" s="27">
        <f t="shared" si="370"/>
        <v>2.8430675963671211E-2</v>
      </c>
    </row>
    <row r="648" spans="1:39" ht="15" customHeight="1" x14ac:dyDescent="0.2">
      <c r="A648" s="24">
        <v>637</v>
      </c>
      <c r="B648" s="29">
        <f t="shared" si="371"/>
        <v>5.4983885376927066</v>
      </c>
      <c r="C648" s="29">
        <f t="shared" si="372"/>
        <v>-5.4847724972551886</v>
      </c>
      <c r="D648" s="29">
        <f t="shared" si="373"/>
        <v>-3.4837886339329684</v>
      </c>
      <c r="E648" s="29">
        <f t="shared" si="374"/>
        <v>-3.8950047684854718</v>
      </c>
      <c r="F648" s="29">
        <f t="shared" si="375"/>
        <v>3.557481044847838</v>
      </c>
      <c r="G648" s="29">
        <f t="shared" si="376"/>
        <v>-1.9080584383141423</v>
      </c>
      <c r="H648" s="29">
        <f t="shared" si="377"/>
        <v>5.6855672413991645</v>
      </c>
      <c r="I648" s="29">
        <f t="shared" si="378"/>
        <v>5.5461886463606938</v>
      </c>
      <c r="J648" s="29">
        <f t="shared" si="379"/>
        <v>-2.7598539581560888</v>
      </c>
      <c r="K648" s="26">
        <f t="shared" si="342"/>
        <v>-3.4837886339329684</v>
      </c>
      <c r="L648" s="26">
        <f t="shared" si="343"/>
        <v>2.9777029601592609E-2</v>
      </c>
      <c r="M648" s="26">
        <f t="shared" si="344"/>
        <v>-1.9080584383141423</v>
      </c>
      <c r="N648" s="26">
        <f t="shared" si="345"/>
        <v>0.12919913366179611</v>
      </c>
      <c r="O648" s="26">
        <f t="shared" si="346"/>
        <v>-1.8739918858724094</v>
      </c>
      <c r="P648" s="26">
        <f t="shared" si="347"/>
        <v>0.13308050339319069</v>
      </c>
      <c r="Q648" s="26">
        <f t="shared" si="348"/>
        <v>8.85521019169252E-3</v>
      </c>
      <c r="R648" s="26">
        <f t="shared" si="349"/>
        <v>-8.9685611311881566</v>
      </c>
      <c r="S648" s="26">
        <f t="shared" si="350"/>
        <v>1.273350859160554E-4</v>
      </c>
      <c r="T648" s="26">
        <f t="shared" si="351"/>
        <v>1.6494226065336957</v>
      </c>
      <c r="U648" s="26">
        <f t="shared" si="352"/>
        <v>0.83881299877697224</v>
      </c>
      <c r="V648" s="26">
        <f t="shared" si="353"/>
        <v>1.893085144273686</v>
      </c>
      <c r="W648" s="26">
        <f t="shared" si="354"/>
        <v>0.86910689671767183</v>
      </c>
      <c r="X648" s="26">
        <f t="shared" si="355"/>
        <v>8.5665022434391145E-3</v>
      </c>
      <c r="Y648" s="26">
        <f t="shared" si="356"/>
        <v>2.0145999037597382</v>
      </c>
      <c r="Z648" s="26">
        <f t="shared" si="357"/>
        <v>0.88232147211957279</v>
      </c>
      <c r="AA648" s="26">
        <f t="shared" si="358"/>
        <v>-5.8030632067996137</v>
      </c>
      <c r="AB648" s="26">
        <f t="shared" si="359"/>
        <v>3.009212218812131E-3</v>
      </c>
      <c r="AC648" s="26">
        <f t="shared" si="360"/>
        <v>2.2733337587525058</v>
      </c>
      <c r="AD648" s="26">
        <f t="shared" si="361"/>
        <v>0.90664434115224779</v>
      </c>
      <c r="AE648" s="26">
        <f t="shared" si="362"/>
        <v>4.3576395194489474E-3</v>
      </c>
      <c r="AF648" s="26">
        <f t="shared" si="363"/>
        <v>-3.4701725934954504</v>
      </c>
      <c r="AG648" s="26">
        <f t="shared" si="364"/>
        <v>3.0172930554869248E-2</v>
      </c>
      <c r="AH648" s="26">
        <f t="shared" si="365"/>
        <v>-2.2455821619517762</v>
      </c>
      <c r="AI648" s="26">
        <f t="shared" si="366"/>
        <v>9.5731220363938635E-2</v>
      </c>
      <c r="AJ648" s="26">
        <f t="shared" si="367"/>
        <v>-2.0573603251315822</v>
      </c>
      <c r="AK648" s="26">
        <f t="shared" si="368"/>
        <v>0.11331077142012216</v>
      </c>
      <c r="AL648" s="26">
        <f t="shared" si="369"/>
        <v>6.4196654599115869E-3</v>
      </c>
      <c r="AM648" s="27">
        <f t="shared" si="370"/>
        <v>2.819901741449217E-2</v>
      </c>
    </row>
    <row r="649" spans="1:39" ht="15" customHeight="1" x14ac:dyDescent="0.2">
      <c r="A649" s="24">
        <v>638</v>
      </c>
      <c r="B649" s="29">
        <f t="shared" si="371"/>
        <v>5.5011590713516112</v>
      </c>
      <c r="C649" s="29">
        <f t="shared" si="372"/>
        <v>-5.486655803189902</v>
      </c>
      <c r="D649" s="29">
        <f t="shared" si="373"/>
        <v>-3.4835292591691225</v>
      </c>
      <c r="E649" s="29">
        <f t="shared" si="374"/>
        <v>-3.9003391630783519</v>
      </c>
      <c r="F649" s="29">
        <f t="shared" si="375"/>
        <v>3.5631811429975566</v>
      </c>
      <c r="G649" s="29">
        <f t="shared" si="376"/>
        <v>-1.9118071968191808</v>
      </c>
      <c r="H649" s="29">
        <f t="shared" si="377"/>
        <v>5.691740254858451</v>
      </c>
      <c r="I649" s="29">
        <f t="shared" si="378"/>
        <v>5.555629183811261</v>
      </c>
      <c r="J649" s="29">
        <f t="shared" si="379"/>
        <v>-2.7637998925251073</v>
      </c>
      <c r="K649" s="26">
        <f t="shared" si="342"/>
        <v>-3.4835292591691225</v>
      </c>
      <c r="L649" s="26">
        <f t="shared" si="343"/>
        <v>2.9784523945402663E-2</v>
      </c>
      <c r="M649" s="26">
        <f t="shared" si="344"/>
        <v>-1.9118071968191808</v>
      </c>
      <c r="N649" s="26">
        <f t="shared" si="345"/>
        <v>0.12877795909156708</v>
      </c>
      <c r="O649" s="26">
        <f t="shared" si="346"/>
        <v>-1.8788315308525008</v>
      </c>
      <c r="P649" s="26">
        <f t="shared" si="347"/>
        <v>0.13252314397459625</v>
      </c>
      <c r="Q649" s="26">
        <f t="shared" si="348"/>
        <v>8.781191844455782E-3</v>
      </c>
      <c r="R649" s="26">
        <f t="shared" si="349"/>
        <v>-8.9701850623590254</v>
      </c>
      <c r="S649" s="26">
        <f t="shared" si="350"/>
        <v>1.2712849657778937E-4</v>
      </c>
      <c r="T649" s="26">
        <f t="shared" si="351"/>
        <v>1.6513739461783759</v>
      </c>
      <c r="U649" s="26">
        <f t="shared" si="352"/>
        <v>0.83907665672249065</v>
      </c>
      <c r="V649" s="26">
        <f t="shared" si="353"/>
        <v>1.8985224513986565</v>
      </c>
      <c r="W649" s="26">
        <f t="shared" si="354"/>
        <v>0.86972420488740831</v>
      </c>
      <c r="X649" s="26">
        <f t="shared" si="355"/>
        <v>8.485891396108983E-3</v>
      </c>
      <c r="Y649" s="26">
        <f t="shared" si="356"/>
        <v>2.0176298121824887</v>
      </c>
      <c r="Z649" s="26">
        <f t="shared" si="357"/>
        <v>0.88263570414922721</v>
      </c>
      <c r="AA649" s="26">
        <f t="shared" si="358"/>
        <v>-5.8121463598975325</v>
      </c>
      <c r="AB649" s="26">
        <f t="shared" si="359"/>
        <v>2.9820839846960521E-3</v>
      </c>
      <c r="AC649" s="26">
        <f t="shared" si="360"/>
        <v>2.276500627970337</v>
      </c>
      <c r="AD649" s="26">
        <f t="shared" si="361"/>
        <v>0.9069120412006213</v>
      </c>
      <c r="AE649" s="26">
        <f t="shared" si="362"/>
        <v>4.3326840367174128E-3</v>
      </c>
      <c r="AF649" s="26">
        <f t="shared" si="363"/>
        <v>-3.4690259910074133</v>
      </c>
      <c r="AG649" s="26">
        <f t="shared" si="364"/>
        <v>3.0206501119579537E-2</v>
      </c>
      <c r="AH649" s="26">
        <f t="shared" si="365"/>
        <v>-2.2489652168999763</v>
      </c>
      <c r="AI649" s="26">
        <f t="shared" si="366"/>
        <v>9.5438760544660439E-2</v>
      </c>
      <c r="AJ649" s="26">
        <f t="shared" si="367"/>
        <v>-2.0616499707956795</v>
      </c>
      <c r="AK649" s="26">
        <f t="shared" si="368"/>
        <v>0.11288049891951871</v>
      </c>
      <c r="AL649" s="26">
        <f t="shared" si="369"/>
        <v>6.3710035181597322E-3</v>
      </c>
      <c r="AM649" s="27">
        <f t="shared" si="370"/>
        <v>2.7970770795441913E-2</v>
      </c>
    </row>
    <row r="650" spans="1:39" ht="15" customHeight="1" x14ac:dyDescent="0.2">
      <c r="A650" s="24">
        <v>639</v>
      </c>
      <c r="B650" s="29">
        <f t="shared" si="371"/>
        <v>5.5039079200028524</v>
      </c>
      <c r="C650" s="29">
        <f t="shared" si="372"/>
        <v>-5.4885298347648961</v>
      </c>
      <c r="D650" s="29">
        <f t="shared" si="373"/>
        <v>-3.4832755248174108</v>
      </c>
      <c r="E650" s="29">
        <f t="shared" si="374"/>
        <v>-3.9056308096022234</v>
      </c>
      <c r="F650" s="29">
        <f t="shared" si="375"/>
        <v>3.5688326267350936</v>
      </c>
      <c r="G650" s="29">
        <f t="shared" si="376"/>
        <v>-1.9155219969483988</v>
      </c>
      <c r="H650" s="29">
        <f t="shared" si="377"/>
        <v>5.6978833133178286</v>
      </c>
      <c r="I650" s="29">
        <f t="shared" si="378"/>
        <v>5.564997300261318</v>
      </c>
      <c r="J650" s="29">
        <f t="shared" si="379"/>
        <v>-2.7677190398949829</v>
      </c>
      <c r="K650" s="26">
        <f t="shared" si="342"/>
        <v>-3.4832755248174108</v>
      </c>
      <c r="L650" s="26">
        <f t="shared" si="343"/>
        <v>2.9791857084876402E-2</v>
      </c>
      <c r="M650" s="26">
        <f t="shared" si="344"/>
        <v>-1.9155219969483988</v>
      </c>
      <c r="N650" s="26">
        <f t="shared" si="345"/>
        <v>0.12836175450776732</v>
      </c>
      <c r="O650" s="26">
        <f t="shared" si="346"/>
        <v>-1.8836356972457851</v>
      </c>
      <c r="P650" s="26">
        <f t="shared" si="347"/>
        <v>0.13197182771857432</v>
      </c>
      <c r="Q650" s="26">
        <f t="shared" si="348"/>
        <v>8.7082816556905314E-3</v>
      </c>
      <c r="R650" s="26">
        <f t="shared" si="349"/>
        <v>-8.9718053595823068</v>
      </c>
      <c r="S650" s="26">
        <f t="shared" si="350"/>
        <v>1.2692270354004536E-4</v>
      </c>
      <c r="T650" s="26">
        <f t="shared" si="351"/>
        <v>1.6533106297866949</v>
      </c>
      <c r="U650" s="26">
        <f t="shared" si="352"/>
        <v>0.8393379896455968</v>
      </c>
      <c r="V650" s="26">
        <f t="shared" si="353"/>
        <v>1.903917797244107</v>
      </c>
      <c r="W650" s="26">
        <f t="shared" si="354"/>
        <v>0.87033430072652607</v>
      </c>
      <c r="X650" s="26">
        <f t="shared" si="355"/>
        <v>8.4065967840394884E-3</v>
      </c>
      <c r="Y650" s="26">
        <f t="shared" si="356"/>
        <v>2.0206323951854417</v>
      </c>
      <c r="Z650" s="26">
        <f t="shared" si="357"/>
        <v>0.88294638430359096</v>
      </c>
      <c r="AA650" s="26">
        <f t="shared" si="358"/>
        <v>-5.8211528065506224</v>
      </c>
      <c r="AB650" s="26">
        <f t="shared" si="359"/>
        <v>2.9554256099523892E-3</v>
      </c>
      <c r="AC650" s="26">
        <f t="shared" si="360"/>
        <v>2.2796533653232673</v>
      </c>
      <c r="AD650" s="26">
        <f t="shared" si="361"/>
        <v>0.90717786221737973</v>
      </c>
      <c r="AE650" s="26">
        <f t="shared" si="362"/>
        <v>4.3079746312678713E-3</v>
      </c>
      <c r="AF650" s="26">
        <f t="shared" si="363"/>
        <v>-3.4678974395794544</v>
      </c>
      <c r="AG650" s="26">
        <f t="shared" si="364"/>
        <v>3.0239578515979918E-2</v>
      </c>
      <c r="AH650" s="26">
        <f t="shared" si="365"/>
        <v>-2.2523201798155288</v>
      </c>
      <c r="AI650" s="26">
        <f t="shared" si="366"/>
        <v>9.5149518769005625E-2</v>
      </c>
      <c r="AJ650" s="26">
        <f t="shared" si="367"/>
        <v>-2.065910634996337</v>
      </c>
      <c r="AK650" s="26">
        <f t="shared" si="368"/>
        <v>0.11245454563787839</v>
      </c>
      <c r="AL650" s="26">
        <f t="shared" si="369"/>
        <v>6.3230124173108372E-3</v>
      </c>
      <c r="AM650" s="27">
        <f t="shared" si="370"/>
        <v>2.7745865488308728E-2</v>
      </c>
    </row>
    <row r="651" spans="1:39" ht="15" customHeight="1" x14ac:dyDescent="0.2">
      <c r="A651" s="24">
        <v>640</v>
      </c>
      <c r="B651" s="29">
        <f t="shared" si="371"/>
        <v>5.5066353663228114</v>
      </c>
      <c r="C651" s="29">
        <f t="shared" si="372"/>
        <v>-5.4903946728580948</v>
      </c>
      <c r="D651" s="29">
        <f t="shared" si="373"/>
        <v>-3.4830273423988207</v>
      </c>
      <c r="E651" s="29">
        <f t="shared" si="374"/>
        <v>-3.9108802929258797</v>
      </c>
      <c r="F651" s="29">
        <f t="shared" si="375"/>
        <v>3.5744362099358229</v>
      </c>
      <c r="G651" s="29">
        <f t="shared" si="376"/>
        <v>-1.9192033518155454</v>
      </c>
      <c r="H651" s="29">
        <f t="shared" si="377"/>
        <v>5.7039966527595389</v>
      </c>
      <c r="I651" s="29">
        <f t="shared" si="378"/>
        <v>5.5742939839598113</v>
      </c>
      <c r="J651" s="29">
        <f t="shared" si="379"/>
        <v>-2.7716117318712894</v>
      </c>
      <c r="K651" s="26">
        <f t="shared" si="342"/>
        <v>-3.4830273423988207</v>
      </c>
      <c r="L651" s="26">
        <f t="shared" si="343"/>
        <v>2.9799031461732142E-2</v>
      </c>
      <c r="M651" s="26">
        <f t="shared" si="344"/>
        <v>-1.9192033518155454</v>
      </c>
      <c r="N651" s="26">
        <f t="shared" si="345"/>
        <v>0.12795042927697833</v>
      </c>
      <c r="O651" s="26">
        <f t="shared" si="346"/>
        <v>-1.8884048479943574</v>
      </c>
      <c r="P651" s="26">
        <f t="shared" si="347"/>
        <v>0.13142645465616504</v>
      </c>
      <c r="Q651" s="26">
        <f t="shared" si="348"/>
        <v>8.6364564917445017E-3</v>
      </c>
      <c r="R651" s="26">
        <f t="shared" si="349"/>
        <v>-8.9734220152569151</v>
      </c>
      <c r="S651" s="26">
        <f t="shared" si="350"/>
        <v>1.2671770498306426E-4</v>
      </c>
      <c r="T651" s="26">
        <f t="shared" si="351"/>
        <v>1.6552328581202775</v>
      </c>
      <c r="U651" s="26">
        <f t="shared" si="352"/>
        <v>0.83959703256544072</v>
      </c>
      <c r="V651" s="26">
        <f t="shared" si="353"/>
        <v>1.9092717530738255</v>
      </c>
      <c r="W651" s="26">
        <f t="shared" si="354"/>
        <v>0.87093731099619809</v>
      </c>
      <c r="X651" s="26">
        <f t="shared" si="355"/>
        <v>8.3285888464460448E-3</v>
      </c>
      <c r="Y651" s="26">
        <f t="shared" si="356"/>
        <v>2.0236080239239906</v>
      </c>
      <c r="Z651" s="26">
        <f t="shared" si="357"/>
        <v>0.88325357141529603</v>
      </c>
      <c r="AA651" s="26">
        <f t="shared" si="358"/>
        <v>-5.8300836447414248</v>
      </c>
      <c r="AB651" s="26">
        <f t="shared" si="359"/>
        <v>2.9292256651561725E-3</v>
      </c>
      <c r="AC651" s="26">
        <f t="shared" si="360"/>
        <v>2.2827920480224084</v>
      </c>
      <c r="AD651" s="26">
        <f t="shared" si="361"/>
        <v>0.90744182116765704</v>
      </c>
      <c r="AE651" s="26">
        <f t="shared" si="362"/>
        <v>4.2835082343799903E-3</v>
      </c>
      <c r="AF651" s="26">
        <f t="shared" si="363"/>
        <v>-3.4667866489341042</v>
      </c>
      <c r="AG651" s="26">
        <f t="shared" si="364"/>
        <v>3.02721696171467E-2</v>
      </c>
      <c r="AH651" s="26">
        <f t="shared" si="365"/>
        <v>-2.2556474348056019</v>
      </c>
      <c r="AI651" s="26">
        <f t="shared" si="366"/>
        <v>9.486344075376657E-2</v>
      </c>
      <c r="AJ651" s="26">
        <f t="shared" si="367"/>
        <v>-2.0701426706118666</v>
      </c>
      <c r="AK651" s="26">
        <f t="shared" si="368"/>
        <v>0.11203284468682839</v>
      </c>
      <c r="AL651" s="26">
        <f t="shared" si="369"/>
        <v>6.2756791443115065E-3</v>
      </c>
      <c r="AM651" s="27">
        <f t="shared" si="370"/>
        <v>2.7524232716882042E-2</v>
      </c>
    </row>
    <row r="652" spans="1:39" ht="15" customHeight="1" x14ac:dyDescent="0.2">
      <c r="A652" s="24">
        <v>641</v>
      </c>
      <c r="B652" s="29">
        <f t="shared" si="371"/>
        <v>5.5093416882597692</v>
      </c>
      <c r="C652" s="29">
        <f t="shared" si="372"/>
        <v>-5.4922503973904302</v>
      </c>
      <c r="D652" s="29">
        <f t="shared" si="373"/>
        <v>-3.4827846247911527</v>
      </c>
      <c r="E652" s="29">
        <f t="shared" si="374"/>
        <v>-3.9160881871035382</v>
      </c>
      <c r="F652" s="29">
        <f t="shared" si="375"/>
        <v>3.5799925922528746</v>
      </c>
      <c r="G652" s="29">
        <f t="shared" si="376"/>
        <v>-1.9228517640811422</v>
      </c>
      <c r="H652" s="29">
        <f t="shared" si="377"/>
        <v>5.7100805073617504</v>
      </c>
      <c r="I652" s="29">
        <f t="shared" si="378"/>
        <v>5.5835202047729355</v>
      </c>
      <c r="J652" s="29">
        <f t="shared" si="379"/>
        <v>-2.7754782944796208</v>
      </c>
      <c r="K652" s="26">
        <f t="shared" ref="K652:K715" si="380">0*B652+0*C652+D652</f>
        <v>-3.4827846247911527</v>
      </c>
      <c r="L652" s="26">
        <f t="shared" ref="L652:L715" si="381">1/(1+EXP(-K652))</f>
        <v>2.9806049483330325E-2</v>
      </c>
      <c r="M652" s="26">
        <f t="shared" ref="M652:M715" si="382">0*E652+0*F652+G652</f>
        <v>-1.9228517640811422</v>
      </c>
      <c r="N652" s="26">
        <f t="shared" ref="N652:N715" si="383">1/(1+EXP(-M652))</f>
        <v>0.12754389493488943</v>
      </c>
      <c r="O652" s="26">
        <f t="shared" ref="O652:O715" si="384">L652*H652+N652*I652+J652</f>
        <v>-1.893139437959005</v>
      </c>
      <c r="P652" s="26">
        <f t="shared" ref="P652:P715" si="385">1/(1+EXP(-O652))</f>
        <v>0.13088692695109852</v>
      </c>
      <c r="Q652" s="26">
        <f t="shared" ref="Q652:Q715" si="386">0.5*(0-P652)^2</f>
        <v>8.5656938233511001E-3</v>
      </c>
      <c r="R652" s="26">
        <f t="shared" ref="R652:R715" si="387">0*B652+1*C652+D652</f>
        <v>-8.9750350221815829</v>
      </c>
      <c r="S652" s="26">
        <f t="shared" ref="S652:S715" si="388">1/(1+EXP(-R652))</f>
        <v>1.2651349904344191E-4</v>
      </c>
      <c r="T652" s="26">
        <f t="shared" ref="T652:T715" si="389">0*E652+1*F652+G652</f>
        <v>1.6571408281717324</v>
      </c>
      <c r="U652" s="26">
        <f t="shared" ref="U652:U715" si="390">1/(1+EXP(-T652))</f>
        <v>0.83985381978753582</v>
      </c>
      <c r="V652" s="26">
        <f t="shared" ref="V652:V715" si="391">S652*H652+U652*I652+J652</f>
        <v>1.914584879624619</v>
      </c>
      <c r="W652" s="26">
        <f t="shared" ref="W652:W715" si="392">1/(1+EXP(-V652))</f>
        <v>0.87153335958608935</v>
      </c>
      <c r="X652" s="26">
        <f t="shared" ref="X652:X715" si="393">0.5*(1-W652)^2</f>
        <v>8.2518388496185101E-3</v>
      </c>
      <c r="Y652" s="26">
        <f t="shared" ref="Y652:Y715" si="394">1*B652+0*C652+D652</f>
        <v>2.0265570634686165</v>
      </c>
      <c r="Z652" s="26">
        <f t="shared" ref="Z652:Z715" si="395">1/(1+EXP(-Y652))</f>
        <v>0.88355732311189883</v>
      </c>
      <c r="AA652" s="26">
        <f t="shared" ref="AA652:AA715" si="396">1*E652+0*F652+G652</f>
        <v>-5.8389399511846802</v>
      </c>
      <c r="AB652" s="26">
        <f t="shared" ref="AB652:AB715" si="397">1/(1+EXP(-AA652))</f>
        <v>2.9034730720229559E-3</v>
      </c>
      <c r="AC652" s="26">
        <f t="shared" ref="AC652:AC715" si="398">Z652*H652+AB652*I652+J652</f>
        <v>2.2859167539200147</v>
      </c>
      <c r="AD652" s="26">
        <f t="shared" ref="AD652:AD715" si="399">1/(1+EXP(-AC652))</f>
        <v>0.90770393492834411</v>
      </c>
      <c r="AE652" s="26">
        <f t="shared" ref="AE652:AE715" si="400">0.5*(1-AD652)^2</f>
        <v>4.2592818138556688E-3</v>
      </c>
      <c r="AF652" s="26">
        <f t="shared" ref="AF652:AF715" si="401">1*B652+1*C652+D652</f>
        <v>-3.4656933339218137</v>
      </c>
      <c r="AG652" s="26">
        <f t="shared" ref="AG652:AG715" si="402">1/(1+EXP(-AF652))</f>
        <v>3.0304281204159872E-2</v>
      </c>
      <c r="AH652" s="26">
        <f t="shared" ref="AH652:AH715" si="403">1*E652+1*F652+G652</f>
        <v>-2.2589473589318061</v>
      </c>
      <c r="AI652" s="26">
        <f t="shared" ref="AI652:AI715" si="404">1/(1+EXP(-AH652))</f>
        <v>9.458047341447684E-2</v>
      </c>
      <c r="AJ652" s="26">
        <f t="shared" ref="AJ652:AJ715" si="405">AG652*H652+AI652*I652+J652</f>
        <v>-2.0743464247994177</v>
      </c>
      <c r="AK652" s="26">
        <f t="shared" ref="AK652:AK715" si="406">1/(1+EXP(-AJ652))</f>
        <v>0.11161533051824546</v>
      </c>
      <c r="AL652" s="26">
        <f t="shared" ref="AL652:AL715" si="407">0.5*(0-AK652)^2</f>
        <v>6.2289910033485885E-3</v>
      </c>
      <c r="AM652" s="27">
        <f t="shared" ref="AM652:AM715" si="408">Q652+X652+AE652+AL652</f>
        <v>2.7305805490173869E-2</v>
      </c>
    </row>
    <row r="653" spans="1:39" ht="15" customHeight="1" x14ac:dyDescent="0.2">
      <c r="A653" s="24">
        <v>642</v>
      </c>
      <c r="B653" s="29">
        <f t="shared" ref="B653:B716" si="409">B652-$C$6*(((((P652)-0)*(P652)*(1-(P652)))*H652*(L652)*(1-(L652))*0)+((((W652)-1)*(W652)*(1-(W652)))*H652*(S652)*(1-(S652))*0)+((((AD652)-1)*(AD652)*(1-(AD652)))*H652*(Z652)*(1-(Z652))*1)+((((AK652)-0)*(AK652)*(1-(AK652)))*H652*(AG652)*(1-(AG652))*1))</f>
        <v>5.5120271591214092</v>
      </c>
      <c r="C653" s="29">
        <f t="shared" ref="C653:C716" si="410">C652-$C$6*(((((P652)-0)*(P652)*(1-(P652)))*H652*(L652)*(1-(L652))*0)+((((W652)-1)*(W652)*(1-(W652)))*H652*(S652)*(1-(S652))*1)+((((AD652)-1)*(AD652)*(1-(AD652)))*H652*(Z652)*(1-(Z652))*0)+((((AK652)-0)*(AK652)*(1-(AK652)))*H652*(AG652)*(1-(AG652))*1))</f>
        <v>-5.4940970873391093</v>
      </c>
      <c r="D653" s="29">
        <f t="shared" ref="D653:D716" si="411">D652-$C$6*(((((P652)-0)*(P652)*(1-(P652)))*H652*(L652)*(1-(L652)))+((((W652)-1)*(W652)*(1-(W652)))*H652*(S652)*(1-(S652)))+((((AD652)-1)*(AD652)*(1-(AD652)))*H652*(Z652)*(1-(Z652)))+((((AK652)-0)*(AK652)*(1-(AK652)))*H652*(AG652)*(1-(AG652))))</f>
        <v>-3.482547286215588</v>
      </c>
      <c r="E653" s="29">
        <f t="shared" ref="E653:E716" si="412">E652-$C$6*(((((P652)-0)*(P652)*(1-(P652)))*I652*(N652)*(1-(N652))*0)+((((W652)-1)*(W652)*(1-(W652)))*I652*(U652)*(1-(U652))*0)+((((AD652)-1)*(AD652)*(1-(AD652)))*I652*(AB652)*(1-(AB652))*1)+((((AK652)-0)*(AK652)*(1-(AK652)))*I652*(AI652)*(1-(AI652))*1))</f>
        <v>-3.9212550556162529</v>
      </c>
      <c r="F653" s="29">
        <f t="shared" ref="F653:F716" si="413">F652-$C$6*(((((P652)-0)*(P652)*(1-(P652)))*I652*(N652)*(1-(N652))*0)+((((W652)-1)*(W652)*(1-(W652)))*I652*(U652)*(1-(U652))*1)+((((AD652)-1)*(AD652)*(1-(AD652)))*I652*(AB652)*(1-(AB652))*0)+((((AK652)-0)*(AK652)*(1-(AK652)))*I652*(AI652)*(1-(AI652))*1))</f>
        <v>3.5855024594608182</v>
      </c>
      <c r="G653" s="29">
        <f t="shared" ref="G653:G716" si="414">G652-$C$6*(((((P652)-0)*(P652)*(1-(P652)))*I652*(N652)*(1-(N652)))+((((W652)-1)*(W652)*(1-(W652)))*I652*(U652)*(1-(U652)))+((((AD652)-1)*(AD652)*(1-(AD652)))*I652*(AB652)*(1-(AB652)))+((((AK652)-0)*(AK652)*(1-(AK652)))*I652*(AI652)*(1-(AI652))))</f>
        <v>-1.926467726212276</v>
      </c>
      <c r="H653" s="29">
        <f t="shared" ref="H653:H716" si="415">H652-$C$6*((((P652)-0)*(P652)*(1-(P652))*L652)+(((W652)-1)*(W652)*(1-(W652))*S652)+(((AD652)-1)*(AD652)*(1-(AD652))*Z652)+(((AK652)-0)*(AK652)*(1-(AK652))*AG652))</f>
        <v>5.7161351094859052</v>
      </c>
      <c r="I653" s="29">
        <f t="shared" ref="I653:I716" si="416">I652-$C$6*((((P652)-0)*(P652)*(1-(P652))*N652)+(((W652)-1)*(W652)*(1-(W652))*U652)+(((AD652)-1)*(AD652)*(1-(AD652))*AB652)+(((AK652)-0)*(AK652)*(1-(AK652))*AI652))</f>
        <v>5.5926769145963275</v>
      </c>
      <c r="J653" s="29">
        <f t="shared" ref="J653:J716" si="417">J652-$C$6*((((P652)-0)*(P652)*(1-(P652)))+(((W652)-1)*(W652)*(1-(W652)))+(((AD652)-1)*(AD652)*(1-(AD652)))+(((AK652)-0)*(AK652)*(1-(AK652))))</f>
        <v>-2.7793190482747145</v>
      </c>
      <c r="K653" s="26">
        <f t="shared" si="380"/>
        <v>-3.482547286215588</v>
      </c>
      <c r="L653" s="26">
        <f t="shared" si="381"/>
        <v>2.9812913522889731E-2</v>
      </c>
      <c r="M653" s="26">
        <f t="shared" si="382"/>
        <v>-1.926467726212276</v>
      </c>
      <c r="N653" s="26">
        <f t="shared" si="383"/>
        <v>0.1271420651233949</v>
      </c>
      <c r="O653" s="26">
        <f t="shared" si="384"/>
        <v>-1.8978399140807438</v>
      </c>
      <c r="P653" s="26">
        <f t="shared" si="385"/>
        <v>0.13035314884652513</v>
      </c>
      <c r="Q653" s="26">
        <f t="shared" si="386"/>
        <v>8.4959717071021682E-3</v>
      </c>
      <c r="R653" s="26">
        <f t="shared" si="387"/>
        <v>-8.9766443735546968</v>
      </c>
      <c r="S653" s="26">
        <f t="shared" si="388"/>
        <v>1.2631008381455521E-4</v>
      </c>
      <c r="T653" s="26">
        <f t="shared" si="389"/>
        <v>1.6590347332485422</v>
      </c>
      <c r="U653" s="26">
        <f t="shared" si="390"/>
        <v>0.84010838492121043</v>
      </c>
      <c r="V653" s="26">
        <f t="shared" si="391"/>
        <v>1.9198577273377189</v>
      </c>
      <c r="W653" s="26">
        <f t="shared" si="392"/>
        <v>0.87212256759149087</v>
      </c>
      <c r="X653" s="26">
        <f t="shared" si="393"/>
        <v>8.1763188596964097E-3</v>
      </c>
      <c r="Y653" s="26">
        <f t="shared" si="394"/>
        <v>2.0294798729058212</v>
      </c>
      <c r="Z653" s="26">
        <f t="shared" si="395"/>
        <v>0.88385769584350737</v>
      </c>
      <c r="AA653" s="26">
        <f t="shared" si="396"/>
        <v>-5.8477227818285291</v>
      </c>
      <c r="AB653" s="26">
        <f t="shared" si="397"/>
        <v>2.8781570905326236E-3</v>
      </c>
      <c r="AC653" s="26">
        <f t="shared" si="398"/>
        <v>2.289027561442476</v>
      </c>
      <c r="AD653" s="26">
        <f t="shared" si="399"/>
        <v>0.90796422028323409</v>
      </c>
      <c r="AE653" s="26">
        <f t="shared" si="400"/>
        <v>4.2352923740365299E-3</v>
      </c>
      <c r="AF653" s="26">
        <f t="shared" si="401"/>
        <v>-3.4646172144332881</v>
      </c>
      <c r="AG653" s="26">
        <f t="shared" si="402"/>
        <v>3.0335919966717709E-2</v>
      </c>
      <c r="AH653" s="26">
        <f t="shared" si="403"/>
        <v>-2.2622203223677104</v>
      </c>
      <c r="AI653" s="26">
        <f t="shared" si="404"/>
        <v>9.4300564833302764E-2</v>
      </c>
      <c r="AJ653" s="26">
        <f t="shared" si="405"/>
        <v>-2.0785222390977984</v>
      </c>
      <c r="AK653" s="26">
        <f t="shared" si="406"/>
        <v>0.1112019388929867</v>
      </c>
      <c r="AL653" s="26">
        <f t="shared" si="407"/>
        <v>6.1829356067797736E-3</v>
      </c>
      <c r="AM653" s="27">
        <f t="shared" si="408"/>
        <v>2.7090518547614881E-2</v>
      </c>
    </row>
    <row r="654" spans="1:39" ht="15" customHeight="1" x14ac:dyDescent="0.2">
      <c r="A654" s="24">
        <v>643</v>
      </c>
      <c r="B654" s="29">
        <f t="shared" si="409"/>
        <v>5.5146920476608754</v>
      </c>
      <c r="C654" s="29">
        <f t="shared" si="410"/>
        <v>-5.4959348207507102</v>
      </c>
      <c r="D654" s="29">
        <f t="shared" si="411"/>
        <v>-3.4823152422228056</v>
      </c>
      <c r="E654" s="29">
        <f t="shared" si="412"/>
        <v>-3.9263814516073534</v>
      </c>
      <c r="F654" s="29">
        <f t="shared" si="413"/>
        <v>3.5909664837900448</v>
      </c>
      <c r="G654" s="29">
        <f t="shared" si="414"/>
        <v>-1.9300517207350354</v>
      </c>
      <c r="H654" s="29">
        <f t="shared" si="415"/>
        <v>5.7221606896658566</v>
      </c>
      <c r="I654" s="29">
        <f t="shared" si="416"/>
        <v>5.601765047757131</v>
      </c>
      <c r="J654" s="29">
        <f t="shared" si="417"/>
        <v>-2.7831343084475084</v>
      </c>
      <c r="K654" s="26">
        <f t="shared" si="380"/>
        <v>-3.4823152422228056</v>
      </c>
      <c r="L654" s="26">
        <f t="shared" si="381"/>
        <v>2.981962591972211E-2</v>
      </c>
      <c r="M654" s="26">
        <f t="shared" si="382"/>
        <v>-1.9300517207350354</v>
      </c>
      <c r="N654" s="26">
        <f t="shared" si="383"/>
        <v>0.12674485552979109</v>
      </c>
      <c r="O654" s="26">
        <f t="shared" si="384"/>
        <v>-1.9025067155393227</v>
      </c>
      <c r="P654" s="26">
        <f t="shared" si="385"/>
        <v>0.12982502661317635</v>
      </c>
      <c r="Q654" s="26">
        <f t="shared" si="386"/>
        <v>8.4272687675559736E-3</v>
      </c>
      <c r="R654" s="26">
        <f t="shared" si="387"/>
        <v>-8.9782500629735154</v>
      </c>
      <c r="S654" s="26">
        <f t="shared" si="388"/>
        <v>1.2610745734706078E-4</v>
      </c>
      <c r="T654" s="26">
        <f t="shared" si="389"/>
        <v>1.6609147630550094</v>
      </c>
      <c r="U654" s="26">
        <f t="shared" si="390"/>
        <v>0.84036076089659173</v>
      </c>
      <c r="V654" s="26">
        <f t="shared" si="391"/>
        <v>1.9250908365847121</v>
      </c>
      <c r="W654" s="26">
        <f t="shared" si="392"/>
        <v>0.87270505338814131</v>
      </c>
      <c r="X654" s="26">
        <f t="shared" si="393"/>
        <v>8.1020017164579773E-3</v>
      </c>
      <c r="Y654" s="26">
        <f t="shared" si="394"/>
        <v>2.0323768054380698</v>
      </c>
      <c r="Z654" s="26">
        <f t="shared" si="395"/>
        <v>0.88415474490977664</v>
      </c>
      <c r="AA654" s="26">
        <f t="shared" si="396"/>
        <v>-5.8564331723423884</v>
      </c>
      <c r="AB654" s="26">
        <f t="shared" si="397"/>
        <v>2.8532673065969098E-3</v>
      </c>
      <c r="AC654" s="26">
        <f t="shared" si="398"/>
        <v>2.2921245495267617</v>
      </c>
      <c r="AD654" s="26">
        <f t="shared" si="399"/>
        <v>0.90822269391853661</v>
      </c>
      <c r="AE654" s="26">
        <f t="shared" si="400"/>
        <v>4.2115369557853086E-3</v>
      </c>
      <c r="AF654" s="26">
        <f t="shared" si="401"/>
        <v>-3.4635580153126404</v>
      </c>
      <c r="AG654" s="26">
        <f t="shared" si="402"/>
        <v>3.0367092503789977E-2</v>
      </c>
      <c r="AH654" s="26">
        <f t="shared" si="403"/>
        <v>-2.265466688552344</v>
      </c>
      <c r="AI654" s="26">
        <f t="shared" si="404"/>
        <v>9.4023664227928558E-2</v>
      </c>
      <c r="AJ654" s="26">
        <f t="shared" si="405"/>
        <v>-2.0826704495288118</v>
      </c>
      <c r="AK654" s="26">
        <f t="shared" si="406"/>
        <v>0.11079260685038689</v>
      </c>
      <c r="AL654" s="26">
        <f t="shared" si="407"/>
        <v>6.137500866352198E-3</v>
      </c>
      <c r="AM654" s="27">
        <f t="shared" si="408"/>
        <v>2.6878308306151458E-2</v>
      </c>
    </row>
    <row r="655" spans="1:39" ht="15" customHeight="1" x14ac:dyDescent="0.2">
      <c r="A655" s="24">
        <v>644</v>
      </c>
      <c r="B655" s="29">
        <f t="shared" si="409"/>
        <v>5.5173366181613952</v>
      </c>
      <c r="C655" s="29">
        <f t="shared" si="410"/>
        <v>-5.4977636747540961</v>
      </c>
      <c r="D655" s="29">
        <f t="shared" si="411"/>
        <v>-3.4820884096786942</v>
      </c>
      <c r="E655" s="29">
        <f t="shared" si="412"/>
        <v>-3.9314679181120633</v>
      </c>
      <c r="F655" s="29">
        <f t="shared" si="413"/>
        <v>3.5963853242521053</v>
      </c>
      <c r="G655" s="29">
        <f t="shared" si="414"/>
        <v>-1.933604220479811</v>
      </c>
      <c r="H655" s="29">
        <f t="shared" si="415"/>
        <v>5.7281574765986942</v>
      </c>
      <c r="I655" s="29">
        <f t="shared" si="416"/>
        <v>5.6107855214061582</v>
      </c>
      <c r="J655" s="29">
        <f t="shared" si="417"/>
        <v>-2.7869243849301504</v>
      </c>
      <c r="K655" s="26">
        <f t="shared" si="380"/>
        <v>-3.4820884096786942</v>
      </c>
      <c r="L655" s="26">
        <f t="shared" si="381"/>
        <v>2.9826188979483664E-2</v>
      </c>
      <c r="M655" s="26">
        <f t="shared" si="382"/>
        <v>-1.933604220479811</v>
      </c>
      <c r="N655" s="26">
        <f t="shared" si="383"/>
        <v>0.12635218382799629</v>
      </c>
      <c r="O655" s="26">
        <f t="shared" si="384"/>
        <v>-1.9071402739087047</v>
      </c>
      <c r="P655" s="26">
        <f t="shared" si="385"/>
        <v>0.12930246849892027</v>
      </c>
      <c r="Q655" s="26">
        <f t="shared" si="386"/>
        <v>8.3595641799571341E-3</v>
      </c>
      <c r="R655" s="26">
        <f t="shared" si="387"/>
        <v>-8.9798520844327907</v>
      </c>
      <c r="S655" s="26">
        <f t="shared" si="388"/>
        <v>1.2590561764946328E-4</v>
      </c>
      <c r="T655" s="26">
        <f t="shared" si="389"/>
        <v>1.6627811037722944</v>
      </c>
      <c r="U655" s="26">
        <f t="shared" si="390"/>
        <v>0.84061097998113687</v>
      </c>
      <c r="V655" s="26">
        <f t="shared" si="391"/>
        <v>1.9302847378881389</v>
      </c>
      <c r="W655" s="26">
        <f t="shared" si="392"/>
        <v>0.87328093270481055</v>
      </c>
      <c r="X655" s="26">
        <f t="shared" si="393"/>
        <v>8.0288610080813758E-3</v>
      </c>
      <c r="Y655" s="26">
        <f t="shared" si="394"/>
        <v>2.035248208482701</v>
      </c>
      <c r="Z655" s="26">
        <f t="shared" si="395"/>
        <v>0.8844485244862812</v>
      </c>
      <c r="AA655" s="26">
        <f t="shared" si="396"/>
        <v>-5.8650721385918745</v>
      </c>
      <c r="AB655" s="26">
        <f t="shared" si="397"/>
        <v>2.8287936202448455E-3</v>
      </c>
      <c r="AC655" s="26">
        <f t="shared" si="398"/>
        <v>2.2952077975601406</v>
      </c>
      <c r="AD655" s="26">
        <f t="shared" si="399"/>
        <v>0.9084793724187461</v>
      </c>
      <c r="AE655" s="26">
        <f t="shared" si="400"/>
        <v>4.1880126364332859E-3</v>
      </c>
      <c r="AF655" s="26">
        <f t="shared" si="401"/>
        <v>-3.4625154662713951</v>
      </c>
      <c r="AG655" s="26">
        <f t="shared" si="402"/>
        <v>3.0397805324307282E-2</v>
      </c>
      <c r="AH655" s="26">
        <f t="shared" si="403"/>
        <v>-2.2686868143397687</v>
      </c>
      <c r="AI655" s="26">
        <f t="shared" si="404"/>
        <v>9.3749721921402782E-2</v>
      </c>
      <c r="AJ655" s="26">
        <f t="shared" si="405"/>
        <v>-2.086791386697068</v>
      </c>
      <c r="AK655" s="26">
        <f t="shared" si="406"/>
        <v>0.11038727267850834</v>
      </c>
      <c r="AL655" s="26">
        <f t="shared" si="407"/>
        <v>6.092674984699677E-3</v>
      </c>
      <c r="AM655" s="27">
        <f t="shared" si="408"/>
        <v>2.6669112809171475E-2</v>
      </c>
    </row>
    <row r="656" spans="1:39" ht="15" customHeight="1" x14ac:dyDescent="0.2">
      <c r="A656" s="24">
        <v>645</v>
      </c>
      <c r="B656" s="29">
        <f t="shared" si="409"/>
        <v>5.5199611305194587</v>
      </c>
      <c r="C656" s="29">
        <f t="shared" si="410"/>
        <v>-5.4995837255731548</v>
      </c>
      <c r="D656" s="29">
        <f t="shared" si="411"/>
        <v>-3.4818667067497091</v>
      </c>
      <c r="E656" s="29">
        <f t="shared" si="412"/>
        <v>-3.9365149882814352</v>
      </c>
      <c r="F656" s="29">
        <f t="shared" si="413"/>
        <v>3.6017596269562588</v>
      </c>
      <c r="G656" s="29">
        <f t="shared" si="414"/>
        <v>-1.9371256888196768</v>
      </c>
      <c r="H656" s="29">
        <f t="shared" si="415"/>
        <v>5.7341256971371619</v>
      </c>
      <c r="I656" s="29">
        <f t="shared" si="416"/>
        <v>5.6197392359003953</v>
      </c>
      <c r="J656" s="29">
        <f t="shared" si="417"/>
        <v>-2.7906895824989753</v>
      </c>
      <c r="K656" s="26">
        <f t="shared" si="380"/>
        <v>-3.4818667067497091</v>
      </c>
      <c r="L656" s="26">
        <f t="shared" si="381"/>
        <v>2.9832604974441877E-2</v>
      </c>
      <c r="M656" s="26">
        <f t="shared" si="382"/>
        <v>-1.9371256888196768</v>
      </c>
      <c r="N656" s="26">
        <f t="shared" si="383"/>
        <v>0.12596396962171835</v>
      </c>
      <c r="O656" s="26">
        <f t="shared" si="384"/>
        <v>-1.91174101330955</v>
      </c>
      <c r="P656" s="26">
        <f t="shared" si="385"/>
        <v>0.12878538467967623</v>
      </c>
      <c r="Q656" s="26">
        <f t="shared" si="386"/>
        <v>8.2928376535460931E-3</v>
      </c>
      <c r="R656" s="26">
        <f t="shared" si="387"/>
        <v>-8.9814504323228643</v>
      </c>
      <c r="S656" s="26">
        <f t="shared" si="388"/>
        <v>1.2570456268874334E-4</v>
      </c>
      <c r="T656" s="26">
        <f t="shared" si="389"/>
        <v>1.664633938136582</v>
      </c>
      <c r="U656" s="26">
        <f t="shared" si="390"/>
        <v>0.84085907379571911</v>
      </c>
      <c r="V656" s="26">
        <f t="shared" si="391"/>
        <v>1.9354399521368539</v>
      </c>
      <c r="W656" s="26">
        <f t="shared" si="392"/>
        <v>0.87385031869371799</v>
      </c>
      <c r="X656" s="26">
        <f t="shared" si="393"/>
        <v>7.956871046838258E-3</v>
      </c>
      <c r="Y656" s="26">
        <f t="shared" si="394"/>
        <v>2.0380944237697496</v>
      </c>
      <c r="Z656" s="26">
        <f t="shared" si="395"/>
        <v>0.8847390876502762</v>
      </c>
      <c r="AA656" s="26">
        <f t="shared" si="396"/>
        <v>-5.873640677101112</v>
      </c>
      <c r="AB656" s="26">
        <f t="shared" si="397"/>
        <v>2.8047262343017659E-3</v>
      </c>
      <c r="AC656" s="26">
        <f t="shared" si="398"/>
        <v>2.2982773853230269</v>
      </c>
      <c r="AD656" s="26">
        <f t="shared" si="399"/>
        <v>0.90873427226284009</v>
      </c>
      <c r="AE656" s="26">
        <f t="shared" si="400"/>
        <v>4.1647165296966994E-3</v>
      </c>
      <c r="AF656" s="26">
        <f t="shared" si="401"/>
        <v>-3.4614893018034052</v>
      </c>
      <c r="AG656" s="26">
        <f t="shared" si="402"/>
        <v>3.0428064847882706E-2</v>
      </c>
      <c r="AH656" s="26">
        <f t="shared" si="403"/>
        <v>-2.2718810501448532</v>
      </c>
      <c r="AI656" s="26">
        <f t="shared" si="404"/>
        <v>9.3478689312911215E-2</v>
      </c>
      <c r="AJ656" s="26">
        <f t="shared" si="405"/>
        <v>-2.0908853758882651</v>
      </c>
      <c r="AK656" s="26">
        <f t="shared" si="406"/>
        <v>0.10998587588512626</v>
      </c>
      <c r="AL656" s="26">
        <f t="shared" si="407"/>
        <v>6.0484464471091993E-3</v>
      </c>
      <c r="AM656" s="27">
        <f t="shared" si="408"/>
        <v>2.6462871677190247E-2</v>
      </c>
    </row>
    <row r="657" spans="1:39" ht="15" customHeight="1" x14ac:dyDescent="0.2">
      <c r="A657" s="24">
        <v>646</v>
      </c>
      <c r="B657" s="29">
        <f t="shared" si="409"/>
        <v>5.5225658403265721</v>
      </c>
      <c r="C657" s="29">
        <f t="shared" si="410"/>
        <v>-5.5013950485393659</v>
      </c>
      <c r="D657" s="29">
        <f t="shared" si="411"/>
        <v>-3.4816500528879204</v>
      </c>
      <c r="E657" s="29">
        <f t="shared" si="412"/>
        <v>-3.9415231856007491</v>
      </c>
      <c r="F657" s="29">
        <f t="shared" si="413"/>
        <v>3.6070900254174716</v>
      </c>
      <c r="G657" s="29">
        <f t="shared" si="414"/>
        <v>-1.9406165799020623</v>
      </c>
      <c r="H657" s="29">
        <f t="shared" si="415"/>
        <v>5.7400655762835786</v>
      </c>
      <c r="I657" s="29">
        <f t="shared" si="416"/>
        <v>5.6286270751760767</v>
      </c>
      <c r="J657" s="29">
        <f t="shared" si="417"/>
        <v>-2.794430200875472</v>
      </c>
      <c r="K657" s="26">
        <f t="shared" si="380"/>
        <v>-3.4816500528879204</v>
      </c>
      <c r="L657" s="26">
        <f t="shared" si="381"/>
        <v>2.9838876143756278E-2</v>
      </c>
      <c r="M657" s="26">
        <f t="shared" si="382"/>
        <v>-1.9406165799020623</v>
      </c>
      <c r="N657" s="26">
        <f t="shared" si="383"/>
        <v>0.12558013438949892</v>
      </c>
      <c r="O657" s="26">
        <f t="shared" si="384"/>
        <v>-1.9163093505587234</v>
      </c>
      <c r="P657" s="26">
        <f t="shared" si="385"/>
        <v>0.12827368721165341</v>
      </c>
      <c r="Q657" s="26">
        <f t="shared" si="386"/>
        <v>8.2270694154365481E-3</v>
      </c>
      <c r="R657" s="26">
        <f t="shared" si="387"/>
        <v>-8.9830451014272867</v>
      </c>
      <c r="S657" s="26">
        <f t="shared" si="388"/>
        <v>1.2550429039103844E-4</v>
      </c>
      <c r="T657" s="26">
        <f t="shared" si="389"/>
        <v>1.6664734455154093</v>
      </c>
      <c r="U657" s="26">
        <f t="shared" si="390"/>
        <v>0.84110507333028428</v>
      </c>
      <c r="V657" s="26">
        <f t="shared" si="391"/>
        <v>1.9405569907962752</v>
      </c>
      <c r="W657" s="26">
        <f t="shared" si="392"/>
        <v>0.87441332199884869</v>
      </c>
      <c r="X657" s="26">
        <f t="shared" si="393"/>
        <v>7.8860068456824313E-3</v>
      </c>
      <c r="Y657" s="26">
        <f t="shared" si="394"/>
        <v>2.0409157874386517</v>
      </c>
      <c r="Z657" s="26">
        <f t="shared" si="395"/>
        <v>0.88502648640585635</v>
      </c>
      <c r="AA657" s="26">
        <f t="shared" si="396"/>
        <v>-5.8821397655028118</v>
      </c>
      <c r="AB657" s="26">
        <f t="shared" si="397"/>
        <v>2.7810556435386036E-3</v>
      </c>
      <c r="AC657" s="26">
        <f t="shared" si="398"/>
        <v>2.301333392934783</v>
      </c>
      <c r="AD657" s="26">
        <f t="shared" si="399"/>
        <v>0.90898740982078807</v>
      </c>
      <c r="AE657" s="26">
        <f t="shared" si="400"/>
        <v>4.1416457855645919E-3</v>
      </c>
      <c r="AF657" s="26">
        <f t="shared" si="401"/>
        <v>-3.4604792611007142</v>
      </c>
      <c r="AG657" s="26">
        <f t="shared" si="402"/>
        <v>3.0457877405563303E-2</v>
      </c>
      <c r="AH657" s="26">
        <f t="shared" si="403"/>
        <v>-2.2750497400853398</v>
      </c>
      <c r="AI657" s="26">
        <f t="shared" si="404"/>
        <v>9.3210518849445409E-2</v>
      </c>
      <c r="AJ657" s="26">
        <f t="shared" si="405"/>
        <v>-2.0949527371659342</v>
      </c>
      <c r="AK657" s="26">
        <f t="shared" si="406"/>
        <v>0.10958835716943215</v>
      </c>
      <c r="AL657" s="26">
        <f t="shared" si="407"/>
        <v>6.0048040135475154E-3</v>
      </c>
      <c r="AM657" s="27">
        <f t="shared" si="408"/>
        <v>2.6259526060231086E-2</v>
      </c>
    </row>
    <row r="658" spans="1:39" ht="15" customHeight="1" x14ac:dyDescent="0.2">
      <c r="A658" s="24">
        <v>647</v>
      </c>
      <c r="B658" s="29">
        <f t="shared" si="409"/>
        <v>5.5251509989495826</v>
      </c>
      <c r="C658" s="29">
        <f t="shared" si="410"/>
        <v>-5.503197718104194</v>
      </c>
      <c r="D658" s="29">
        <f t="shared" si="411"/>
        <v>-3.4814383688157879</v>
      </c>
      <c r="E658" s="29">
        <f t="shared" si="412"/>
        <v>-3.9464930241025087</v>
      </c>
      <c r="F658" s="29">
        <f t="shared" si="413"/>
        <v>3.6123771408561107</v>
      </c>
      <c r="G658" s="29">
        <f t="shared" si="414"/>
        <v>-1.9440773388739154</v>
      </c>
      <c r="H658" s="29">
        <f t="shared" si="415"/>
        <v>5.7459773371851774</v>
      </c>
      <c r="I658" s="29">
        <f t="shared" si="416"/>
        <v>5.6374499071125639</v>
      </c>
      <c r="J658" s="29">
        <f t="shared" si="417"/>
        <v>-2.7981465348252645</v>
      </c>
      <c r="K658" s="26">
        <f t="shared" si="380"/>
        <v>-3.4814383688157879</v>
      </c>
      <c r="L658" s="26">
        <f t="shared" si="381"/>
        <v>2.984500469377192E-2</v>
      </c>
      <c r="M658" s="26">
        <f t="shared" si="382"/>
        <v>-1.9440773388739154</v>
      </c>
      <c r="N658" s="26">
        <f t="shared" si="383"/>
        <v>0.12520060143156531</v>
      </c>
      <c r="O658" s="26">
        <f t="shared" si="384"/>
        <v>-1.9208456953158508</v>
      </c>
      <c r="P658" s="26">
        <f t="shared" si="385"/>
        <v>0.12776728998487868</v>
      </c>
      <c r="Q658" s="26">
        <f t="shared" si="386"/>
        <v>8.1622401950400408E-3</v>
      </c>
      <c r="R658" s="26">
        <f t="shared" si="387"/>
        <v>-8.9846360869199824</v>
      </c>
      <c r="S658" s="26">
        <f t="shared" si="388"/>
        <v>1.2530479864237328E-4</v>
      </c>
      <c r="T658" s="26">
        <f t="shared" si="389"/>
        <v>1.6682998019821953</v>
      </c>
      <c r="U658" s="26">
        <f t="shared" si="390"/>
        <v>0.84134900895908671</v>
      </c>
      <c r="V658" s="26">
        <f t="shared" si="391"/>
        <v>1.9456363561136256</v>
      </c>
      <c r="W658" s="26">
        <f t="shared" si="392"/>
        <v>0.87497005082223744</v>
      </c>
      <c r="X658" s="26">
        <f t="shared" si="393"/>
        <v>7.8162440956969434E-3</v>
      </c>
      <c r="Y658" s="26">
        <f t="shared" si="394"/>
        <v>2.0437126301337947</v>
      </c>
      <c r="Z658" s="26">
        <f t="shared" si="395"/>
        <v>0.88531077170852979</v>
      </c>
      <c r="AA658" s="26">
        <f t="shared" si="396"/>
        <v>-5.8905703629764243</v>
      </c>
      <c r="AB658" s="26">
        <f t="shared" si="397"/>
        <v>2.7577726242696129E-3</v>
      </c>
      <c r="AC658" s="26">
        <f t="shared" si="398"/>
        <v>2.3043759008023943</v>
      </c>
      <c r="AD658" s="26">
        <f t="shared" si="399"/>
        <v>0.90923880135036139</v>
      </c>
      <c r="AE658" s="26">
        <f t="shared" si="400"/>
        <v>4.1187975901595805E-3</v>
      </c>
      <c r="AF658" s="26">
        <f t="shared" si="401"/>
        <v>-3.4594850879703993</v>
      </c>
      <c r="AG658" s="26">
        <f t="shared" si="402"/>
        <v>3.0487249240608506E-2</v>
      </c>
      <c r="AH658" s="26">
        <f t="shared" si="403"/>
        <v>-2.2781932221203132</v>
      </c>
      <c r="AI658" s="26">
        <f t="shared" si="404"/>
        <v>9.2945163998335439E-2</v>
      </c>
      <c r="AJ658" s="26">
        <f t="shared" si="405"/>
        <v>-2.0989937854666341</v>
      </c>
      <c r="AK658" s="26">
        <f t="shared" si="406"/>
        <v>0.10919465839444085</v>
      </c>
      <c r="AL658" s="26">
        <f t="shared" si="407"/>
        <v>5.9617367109393166E-3</v>
      </c>
      <c r="AM658" s="27">
        <f t="shared" si="408"/>
        <v>2.6059018591835882E-2</v>
      </c>
    </row>
    <row r="659" spans="1:39" ht="15" customHeight="1" x14ac:dyDescent="0.2">
      <c r="A659" s="24">
        <v>648</v>
      </c>
      <c r="B659" s="29">
        <f t="shared" si="409"/>
        <v>5.5277168536095882</v>
      </c>
      <c r="C659" s="29">
        <f t="shared" si="410"/>
        <v>-5.5049918078513063</v>
      </c>
      <c r="D659" s="29">
        <f t="shared" si="411"/>
        <v>-3.4812315765107069</v>
      </c>
      <c r="E659" s="29">
        <f t="shared" si="412"/>
        <v>-3.9514250085741751</v>
      </c>
      <c r="F659" s="29">
        <f t="shared" si="413"/>
        <v>3.6176215824895666</v>
      </c>
      <c r="G659" s="29">
        <f t="shared" si="414"/>
        <v>-1.9475084021005593</v>
      </c>
      <c r="H659" s="29">
        <f t="shared" si="415"/>
        <v>5.7518612011307759</v>
      </c>
      <c r="I659" s="29">
        <f t="shared" si="416"/>
        <v>5.6462085838872449</v>
      </c>
      <c r="J659" s="29">
        <f t="shared" si="417"/>
        <v>-2.8018388742551292</v>
      </c>
      <c r="K659" s="26">
        <f t="shared" si="380"/>
        <v>-3.4812315765107069</v>
      </c>
      <c r="L659" s="26">
        <f t="shared" si="381"/>
        <v>2.9850992798324181E-2</v>
      </c>
      <c r="M659" s="26">
        <f t="shared" si="382"/>
        <v>-1.9475084021005593</v>
      </c>
      <c r="N659" s="26">
        <f t="shared" si="383"/>
        <v>0.12482529581842393</v>
      </c>
      <c r="O659" s="26">
        <f t="shared" si="384"/>
        <v>-1.9253504502269643</v>
      </c>
      <c r="P659" s="26">
        <f t="shared" si="385"/>
        <v>0.12726610867797958</v>
      </c>
      <c r="Q659" s="26">
        <f t="shared" si="386"/>
        <v>8.0983312090176542E-3</v>
      </c>
      <c r="R659" s="26">
        <f t="shared" si="387"/>
        <v>-8.9862233843620132</v>
      </c>
      <c r="S659" s="26">
        <f t="shared" si="388"/>
        <v>1.2510608528943244E-4</v>
      </c>
      <c r="T659" s="26">
        <f t="shared" si="389"/>
        <v>1.6701131803890072</v>
      </c>
      <c r="U659" s="26">
        <f t="shared" si="390"/>
        <v>0.84159091045551726</v>
      </c>
      <c r="V659" s="26">
        <f t="shared" si="391"/>
        <v>1.9506785413182963</v>
      </c>
      <c r="W659" s="26">
        <f t="shared" si="392"/>
        <v>0.87552061098828371</v>
      </c>
      <c r="X659" s="26">
        <f t="shared" si="393"/>
        <v>7.7475591443650973E-3</v>
      </c>
      <c r="Y659" s="26">
        <f t="shared" si="394"/>
        <v>2.0464852770988813</v>
      </c>
      <c r="Z659" s="26">
        <f t="shared" si="395"/>
        <v>0.88559199348920836</v>
      </c>
      <c r="AA659" s="26">
        <f t="shared" si="396"/>
        <v>-5.8989334106747346</v>
      </c>
      <c r="AB659" s="26">
        <f t="shared" si="397"/>
        <v>2.7348682243775969E-3</v>
      </c>
      <c r="AC659" s="26">
        <f t="shared" si="398"/>
        <v>2.3074049895717885</v>
      </c>
      <c r="AD659" s="26">
        <f t="shared" si="399"/>
        <v>0.90948846299421426</v>
      </c>
      <c r="AE659" s="26">
        <f t="shared" si="400"/>
        <v>4.0961691655748604E-3</v>
      </c>
      <c r="AF659" s="26">
        <f t="shared" si="401"/>
        <v>-3.458506530752425</v>
      </c>
      <c r="AG659" s="26">
        <f t="shared" si="402"/>
        <v>3.0516186509293095E-2</v>
      </c>
      <c r="AH659" s="26">
        <f t="shared" si="403"/>
        <v>-2.2813118281851681</v>
      </c>
      <c r="AI659" s="26">
        <f t="shared" si="404"/>
        <v>9.2682579220617844E-2</v>
      </c>
      <c r="AJ659" s="26">
        <f t="shared" si="405"/>
        <v>-2.1030088306935939</v>
      </c>
      <c r="AK659" s="26">
        <f t="shared" si="406"/>
        <v>0.10880472256008381</v>
      </c>
      <c r="AL659" s="26">
        <f t="shared" si="407"/>
        <v>5.9192338256884051E-3</v>
      </c>
      <c r="AM659" s="27">
        <f t="shared" si="408"/>
        <v>2.5861293344646017E-2</v>
      </c>
    </row>
    <row r="660" spans="1:39" ht="15" customHeight="1" x14ac:dyDescent="0.2">
      <c r="A660" s="24">
        <v>649</v>
      </c>
      <c r="B660" s="29">
        <f t="shared" si="409"/>
        <v>5.5302636474594404</v>
      </c>
      <c r="C660" s="29">
        <f t="shared" si="410"/>
        <v>-5.5067773905086197</v>
      </c>
      <c r="D660" s="29">
        <f t="shared" si="411"/>
        <v>-3.4810295991893581</v>
      </c>
      <c r="E660" s="29">
        <f t="shared" si="412"/>
        <v>-3.9563196347607668</v>
      </c>
      <c r="F660" s="29">
        <f t="shared" si="413"/>
        <v>3.6228239478160269</v>
      </c>
      <c r="G660" s="29">
        <f t="shared" si="414"/>
        <v>-1.9509101973784286</v>
      </c>
      <c r="H660" s="29">
        <f t="shared" si="415"/>
        <v>5.7577173875487038</v>
      </c>
      <c r="I660" s="29">
        <f t="shared" si="416"/>
        <v>5.654903942321682</v>
      </c>
      <c r="J660" s="29">
        <f t="shared" si="417"/>
        <v>-2.8055075043080717</v>
      </c>
      <c r="K660" s="26">
        <f t="shared" si="380"/>
        <v>-3.4810295991893581</v>
      </c>
      <c r="L660" s="26">
        <f t="shared" si="381"/>
        <v>2.9856842599053871E-2</v>
      </c>
      <c r="M660" s="26">
        <f t="shared" si="382"/>
        <v>-1.9509101973784286</v>
      </c>
      <c r="N660" s="26">
        <f t="shared" si="383"/>
        <v>0.12445414434113199</v>
      </c>
      <c r="O660" s="26">
        <f t="shared" si="384"/>
        <v>-1.9298240110652556</v>
      </c>
      <c r="P660" s="26">
        <f t="shared" si="385"/>
        <v>0.12677006071418945</v>
      </c>
      <c r="Q660" s="26">
        <f t="shared" si="386"/>
        <v>8.0353241467396395E-3</v>
      </c>
      <c r="R660" s="26">
        <f t="shared" si="387"/>
        <v>-8.9878069896979778</v>
      </c>
      <c r="S660" s="26">
        <f t="shared" si="388"/>
        <v>1.249081481403703E-4</v>
      </c>
      <c r="T660" s="26">
        <f t="shared" si="389"/>
        <v>1.6719137504375983</v>
      </c>
      <c r="U660" s="26">
        <f t="shared" si="390"/>
        <v>0.84183080700653212</v>
      </c>
      <c r="V660" s="26">
        <f t="shared" si="391"/>
        <v>1.9556840308174039</v>
      </c>
      <c r="W660" s="26">
        <f t="shared" si="392"/>
        <v>0.87606510600615728</v>
      </c>
      <c r="X660" s="26">
        <f t="shared" si="393"/>
        <v>7.6799289746325161E-3</v>
      </c>
      <c r="Y660" s="26">
        <f t="shared" si="394"/>
        <v>2.0492340482700824</v>
      </c>
      <c r="Z660" s="26">
        <f t="shared" si="395"/>
        <v>0.885870200677636</v>
      </c>
      <c r="AA660" s="26">
        <f t="shared" si="396"/>
        <v>-5.9072298321391958</v>
      </c>
      <c r="AB660" s="26">
        <f t="shared" si="397"/>
        <v>2.7123337537469411E-3</v>
      </c>
      <c r="AC660" s="26">
        <f t="shared" si="398"/>
        <v>2.3104207400817685</v>
      </c>
      <c r="AD660" s="26">
        <f t="shared" si="399"/>
        <v>0.90973641077723322</v>
      </c>
      <c r="AE660" s="26">
        <f t="shared" si="400"/>
        <v>4.0737577696881898E-3</v>
      </c>
      <c r="AF660" s="26">
        <f t="shared" si="401"/>
        <v>-3.4575433422385373</v>
      </c>
      <c r="AG660" s="26">
        <f t="shared" si="402"/>
        <v>3.0544695281732089E-2</v>
      </c>
      <c r="AH660" s="26">
        <f t="shared" si="403"/>
        <v>-2.2844058843231685</v>
      </c>
      <c r="AI660" s="26">
        <f t="shared" si="404"/>
        <v>9.2422719945210313E-2</v>
      </c>
      <c r="AJ660" s="26">
        <f t="shared" si="405"/>
        <v>-2.1069981778088032</v>
      </c>
      <c r="AK660" s="26">
        <f t="shared" si="406"/>
        <v>0.10841849377697353</v>
      </c>
      <c r="AL660" s="26">
        <f t="shared" si="407"/>
        <v>5.8772848964338239E-3</v>
      </c>
      <c r="AM660" s="27">
        <f t="shared" si="408"/>
        <v>2.5666295787494166E-2</v>
      </c>
    </row>
    <row r="661" spans="1:39" ht="15" customHeight="1" x14ac:dyDescent="0.2">
      <c r="A661" s="24">
        <v>650</v>
      </c>
      <c r="B661" s="29">
        <f t="shared" si="409"/>
        <v>5.5327916196598528</v>
      </c>
      <c r="C661" s="29">
        <f t="shared" si="410"/>
        <v>-5.5085545379601797</v>
      </c>
      <c r="D661" s="29">
        <f t="shared" si="411"/>
        <v>-3.4808323612918932</v>
      </c>
      <c r="E661" s="29">
        <f t="shared" si="412"/>
        <v>-3.9611773895624598</v>
      </c>
      <c r="F661" s="29">
        <f t="shared" si="413"/>
        <v>3.6279848228906308</v>
      </c>
      <c r="G661" s="29">
        <f t="shared" si="414"/>
        <v>-1.9542831441418742</v>
      </c>
      <c r="H661" s="29">
        <f t="shared" si="415"/>
        <v>5.7635461140059165</v>
      </c>
      <c r="I661" s="29">
        <f t="shared" si="416"/>
        <v>5.6635368042192251</v>
      </c>
      <c r="J661" s="29">
        <f t="shared" si="417"/>
        <v>-2.8091527054564924</v>
      </c>
      <c r="K661" s="26">
        <f t="shared" si="380"/>
        <v>-3.4808323612918932</v>
      </c>
      <c r="L661" s="26">
        <f t="shared" si="381"/>
        <v>2.9862556205731514E-2</v>
      </c>
      <c r="M661" s="26">
        <f t="shared" si="382"/>
        <v>-1.9542831441418742</v>
      </c>
      <c r="N661" s="26">
        <f t="shared" si="383"/>
        <v>0.12408707546318602</v>
      </c>
      <c r="O661" s="26">
        <f t="shared" si="384"/>
        <v>-1.934266766868983</v>
      </c>
      <c r="P661" s="26">
        <f t="shared" si="385"/>
        <v>0.12627906521854199</v>
      </c>
      <c r="Q661" s="26">
        <f t="shared" si="386"/>
        <v>7.9732011562343909E-3</v>
      </c>
      <c r="R661" s="26">
        <f t="shared" si="387"/>
        <v>-8.9893868992520733</v>
      </c>
      <c r="S661" s="26">
        <f t="shared" si="388"/>
        <v>1.2471098496565428E-4</v>
      </c>
      <c r="T661" s="26">
        <f t="shared" si="389"/>
        <v>1.6737016787487566</v>
      </c>
      <c r="U661" s="26">
        <f t="shared" si="390"/>
        <v>0.84206872722669757</v>
      </c>
      <c r="V661" s="26">
        <f t="shared" si="391"/>
        <v>1.9606533003867215</v>
      </c>
      <c r="W661" s="26">
        <f t="shared" si="392"/>
        <v>0.8766036371303606</v>
      </c>
      <c r="X661" s="26">
        <f t="shared" si="393"/>
        <v>7.6133311847278607E-3</v>
      </c>
      <c r="Y661" s="26">
        <f t="shared" si="394"/>
        <v>2.0519592583679596</v>
      </c>
      <c r="Z661" s="26">
        <f t="shared" si="395"/>
        <v>0.88614544122525918</v>
      </c>
      <c r="AA661" s="26">
        <f t="shared" si="396"/>
        <v>-5.9154605337043336</v>
      </c>
      <c r="AB661" s="26">
        <f t="shared" si="397"/>
        <v>2.6901607750856554E-3</v>
      </c>
      <c r="AC661" s="26">
        <f t="shared" si="398"/>
        <v>2.313423233320373</v>
      </c>
      <c r="AD661" s="26">
        <f t="shared" si="399"/>
        <v>0.90998266060413147</v>
      </c>
      <c r="AE661" s="26">
        <f t="shared" si="400"/>
        <v>4.0515606959554929E-3</v>
      </c>
      <c r="AF661" s="26">
        <f t="shared" si="401"/>
        <v>-3.4565952795922201</v>
      </c>
      <c r="AG661" s="26">
        <f t="shared" si="402"/>
        <v>3.0572781542725445E-2</v>
      </c>
      <c r="AH661" s="26">
        <f t="shared" si="403"/>
        <v>-2.2874757108137032</v>
      </c>
      <c r="AI661" s="26">
        <f t="shared" si="404"/>
        <v>9.2165542543865039E-2</v>
      </c>
      <c r="AJ661" s="26">
        <f t="shared" si="405"/>
        <v>-2.1109621269235528</v>
      </c>
      <c r="AK661" s="26">
        <f t="shared" si="406"/>
        <v>0.10803591724082276</v>
      </c>
      <c r="AL661" s="26">
        <f t="shared" si="407"/>
        <v>5.8358797070329526E-3</v>
      </c>
      <c r="AM661" s="27">
        <f t="shared" si="408"/>
        <v>2.5473972743950697E-2</v>
      </c>
    </row>
    <row r="662" spans="1:39" ht="15" customHeight="1" x14ac:dyDescent="0.2">
      <c r="A662" s="24">
        <v>651</v>
      </c>
      <c r="B662" s="29">
        <f t="shared" si="409"/>
        <v>5.5353010054541238</v>
      </c>
      <c r="C662" s="29">
        <f t="shared" si="410"/>
        <v>-5.5103233212578671</v>
      </c>
      <c r="D662" s="29">
        <f t="shared" si="411"/>
        <v>-3.4806397884659912</v>
      </c>
      <c r="E662" s="29">
        <f t="shared" si="412"/>
        <v>-3.9659987512273145</v>
      </c>
      <c r="F662" s="29">
        <f t="shared" si="413"/>
        <v>3.6331047825942142</v>
      </c>
      <c r="G662" s="29">
        <f t="shared" si="414"/>
        <v>-1.9576276536642141</v>
      </c>
      <c r="H662" s="29">
        <f t="shared" si="415"/>
        <v>5.769347596208215</v>
      </c>
      <c r="I662" s="29">
        <f t="shared" si="416"/>
        <v>5.6721079766942974</v>
      </c>
      <c r="J662" s="29">
        <f t="shared" si="417"/>
        <v>-2.8127747535934668</v>
      </c>
      <c r="K662" s="26">
        <f t="shared" si="380"/>
        <v>-3.4806397884659912</v>
      </c>
      <c r="L662" s="26">
        <f t="shared" si="381"/>
        <v>2.9868135696589776E-2</v>
      </c>
      <c r="M662" s="26">
        <f t="shared" si="382"/>
        <v>-1.9576276536642141</v>
      </c>
      <c r="N662" s="26">
        <f t="shared" si="383"/>
        <v>0.12372401927396939</v>
      </c>
      <c r="O662" s="26">
        <f t="shared" si="384"/>
        <v>-1.9386791000765649</v>
      </c>
      <c r="P662" s="26">
        <f t="shared" si="385"/>
        <v>0.12579304297622268</v>
      </c>
      <c r="Q662" s="26">
        <f t="shared" si="386"/>
        <v>7.9119448306089035E-3</v>
      </c>
      <c r="R662" s="26">
        <f t="shared" si="387"/>
        <v>-8.9909631097238574</v>
      </c>
      <c r="S662" s="26">
        <f t="shared" si="388"/>
        <v>1.2451459349893668E-4</v>
      </c>
      <c r="T662" s="26">
        <f t="shared" si="389"/>
        <v>1.6754771289300001</v>
      </c>
      <c r="U662" s="26">
        <f t="shared" si="390"/>
        <v>0.84230469917185435</v>
      </c>
      <c r="V662" s="26">
        <f t="shared" si="391"/>
        <v>1.9655868173569946</v>
      </c>
      <c r="W662" s="26">
        <f t="shared" si="392"/>
        <v>0.87713630341949811</v>
      </c>
      <c r="X662" s="26">
        <f t="shared" si="393"/>
        <v>7.5477439687128157E-3</v>
      </c>
      <c r="Y662" s="26">
        <f t="shared" si="394"/>
        <v>2.0546612169881326</v>
      </c>
      <c r="Z662" s="26">
        <f t="shared" si="395"/>
        <v>0.88641776212755408</v>
      </c>
      <c r="AA662" s="26">
        <f t="shared" si="396"/>
        <v>-5.9236264048915288</v>
      </c>
      <c r="AB662" s="26">
        <f t="shared" si="397"/>
        <v>2.6683410951186164E-3</v>
      </c>
      <c r="AC662" s="26">
        <f t="shared" si="398"/>
        <v>2.316412550383566</v>
      </c>
      <c r="AD662" s="26">
        <f t="shared" si="399"/>
        <v>0.91022722825727786</v>
      </c>
      <c r="AE662" s="26">
        <f t="shared" si="400"/>
        <v>4.0295752731854453E-3</v>
      </c>
      <c r="AF662" s="26">
        <f t="shared" si="401"/>
        <v>-3.4556621042697344</v>
      </c>
      <c r="AG662" s="26">
        <f t="shared" si="402"/>
        <v>3.0600451192620316E-2</v>
      </c>
      <c r="AH662" s="26">
        <f t="shared" si="403"/>
        <v>-2.2905216222973142</v>
      </c>
      <c r="AI662" s="26">
        <f t="shared" si="404"/>
        <v>9.1911004306875335E-2</v>
      </c>
      <c r="AJ662" s="26">
        <f t="shared" si="405"/>
        <v>-2.1149009733874244</v>
      </c>
      <c r="AK662" s="26">
        <f t="shared" si="406"/>
        <v>0.10765693920750365</v>
      </c>
      <c r="AL662" s="26">
        <f t="shared" si="407"/>
        <v>5.7950082797640677E-3</v>
      </c>
      <c r="AM662" s="27">
        <f t="shared" si="408"/>
        <v>2.5284272352271233E-2</v>
      </c>
    </row>
    <row r="663" spans="1:39" ht="15" customHeight="1" x14ac:dyDescent="0.2">
      <c r="A663" s="24">
        <v>652</v>
      </c>
      <c r="B663" s="29">
        <f t="shared" si="409"/>
        <v>5.5377920362414921</v>
      </c>
      <c r="C663" s="29">
        <f t="shared" si="410"/>
        <v>-5.5120838106329408</v>
      </c>
      <c r="D663" s="29">
        <f t="shared" si="411"/>
        <v>-3.4804518075508097</v>
      </c>
      <c r="E663" s="29">
        <f t="shared" si="412"/>
        <v>-3.9707841895392511</v>
      </c>
      <c r="F663" s="29">
        <f t="shared" si="413"/>
        <v>3.6381843908948586</v>
      </c>
      <c r="G663" s="29">
        <f t="shared" si="414"/>
        <v>-1.9609441292532068</v>
      </c>
      <c r="H663" s="29">
        <f t="shared" si="415"/>
        <v>5.7751220480015188</v>
      </c>
      <c r="I663" s="29">
        <f t="shared" si="416"/>
        <v>5.6806182524935673</v>
      </c>
      <c r="J663" s="29">
        <f t="shared" si="417"/>
        <v>-2.8163739201221665</v>
      </c>
      <c r="K663" s="26">
        <f t="shared" si="380"/>
        <v>-3.4804518075508097</v>
      </c>
      <c r="L663" s="26">
        <f t="shared" si="381"/>
        <v>2.9873583118663161E-2</v>
      </c>
      <c r="M663" s="26">
        <f t="shared" si="382"/>
        <v>-1.9609441292532068</v>
      </c>
      <c r="N663" s="26">
        <f t="shared" si="383"/>
        <v>0.12336490744370147</v>
      </c>
      <c r="O663" s="26">
        <f t="shared" si="384"/>
        <v>-1.9430613866588988</v>
      </c>
      <c r="P663" s="26">
        <f t="shared" si="385"/>
        <v>0.12531191639204595</v>
      </c>
      <c r="Q663" s="26">
        <f t="shared" si="386"/>
        <v>7.8515381949235564E-3</v>
      </c>
      <c r="R663" s="26">
        <f t="shared" si="387"/>
        <v>-8.9925356181837515</v>
      </c>
      <c r="S663" s="26">
        <f t="shared" si="388"/>
        <v>1.2431897143794904E-4</v>
      </c>
      <c r="T663" s="26">
        <f t="shared" si="389"/>
        <v>1.6772402616416517</v>
      </c>
      <c r="U663" s="26">
        <f t="shared" si="390"/>
        <v>0.84253875035242098</v>
      </c>
      <c r="V663" s="26">
        <f t="shared" si="391"/>
        <v>1.9704850407958538</v>
      </c>
      <c r="W663" s="26">
        <f t="shared" si="392"/>
        <v>0.87766320179331692</v>
      </c>
      <c r="X663" s="26">
        <f t="shared" si="393"/>
        <v>7.4831460977313486E-3</v>
      </c>
      <c r="Y663" s="26">
        <f t="shared" si="394"/>
        <v>2.0573402286906823</v>
      </c>
      <c r="Z663" s="26">
        <f t="shared" si="395"/>
        <v>0.88668720944582091</v>
      </c>
      <c r="AA663" s="26">
        <f t="shared" si="396"/>
        <v>-5.9317283187924579</v>
      </c>
      <c r="AB663" s="26">
        <f t="shared" si="397"/>
        <v>2.6468667561351618E-3</v>
      </c>
      <c r="AC663" s="26">
        <f t="shared" si="398"/>
        <v>2.3193887724361542</v>
      </c>
      <c r="AD663" s="26">
        <f t="shared" si="399"/>
        <v>0.91047012939474425</v>
      </c>
      <c r="AE663" s="26">
        <f t="shared" si="400"/>
        <v>4.0077988652969182E-3</v>
      </c>
      <c r="AF663" s="26">
        <f t="shared" si="401"/>
        <v>-3.4547435819422585</v>
      </c>
      <c r="AG663" s="26">
        <f t="shared" si="402"/>
        <v>3.0627710048188882E-2</v>
      </c>
      <c r="AH663" s="26">
        <f t="shared" si="403"/>
        <v>-2.2935439278975993</v>
      </c>
      <c r="AI663" s="26">
        <f t="shared" si="404"/>
        <v>9.1659063419509357E-2</v>
      </c>
      <c r="AJ663" s="26">
        <f t="shared" si="405"/>
        <v>-2.1188150078757428</v>
      </c>
      <c r="AK663" s="26">
        <f t="shared" si="406"/>
        <v>0.10728150696873079</v>
      </c>
      <c r="AL663" s="26">
        <f t="shared" si="407"/>
        <v>5.754660868740916E-3</v>
      </c>
      <c r="AM663" s="27">
        <f t="shared" si="408"/>
        <v>2.509714402669274E-2</v>
      </c>
    </row>
    <row r="664" spans="1:39" ht="15" customHeight="1" x14ac:dyDescent="0.2">
      <c r="A664" s="24">
        <v>653</v>
      </c>
      <c r="B664" s="29">
        <f t="shared" si="409"/>
        <v>5.5402649396491368</v>
      </c>
      <c r="C664" s="29">
        <f t="shared" si="410"/>
        <v>-5.5138360755074114</v>
      </c>
      <c r="D664" s="29">
        <f t="shared" si="411"/>
        <v>-3.4802683465608597</v>
      </c>
      <c r="E664" s="29">
        <f t="shared" si="412"/>
        <v>-3.9755341660014007</v>
      </c>
      <c r="F664" s="29">
        <f t="shared" si="413"/>
        <v>3.6432242011024498</v>
      </c>
      <c r="G664" s="29">
        <f t="shared" si="414"/>
        <v>-1.9642329664411151</v>
      </c>
      <c r="H664" s="29">
        <f t="shared" si="415"/>
        <v>5.7808696813741145</v>
      </c>
      <c r="I664" s="29">
        <f t="shared" si="416"/>
        <v>5.6890684103092131</v>
      </c>
      <c r="J664" s="29">
        <f t="shared" si="417"/>
        <v>-2.8199504720434541</v>
      </c>
      <c r="K664" s="26">
        <f t="shared" si="380"/>
        <v>-3.4802683465608597</v>
      </c>
      <c r="L664" s="26">
        <f t="shared" si="381"/>
        <v>2.9878900488133998E-2</v>
      </c>
      <c r="M664" s="26">
        <f t="shared" si="382"/>
        <v>-1.9642329664411151</v>
      </c>
      <c r="N664" s="26">
        <f t="shared" si="383"/>
        <v>0.1230096731798353</v>
      </c>
      <c r="O664" s="26">
        <f t="shared" si="384"/>
        <v>-1.9474139962489447</v>
      </c>
      <c r="P664" s="26">
        <f t="shared" si="385"/>
        <v>0.12483560945102776</v>
      </c>
      <c r="Q664" s="26">
        <f t="shared" si="386"/>
        <v>7.7919646935047651E-3</v>
      </c>
      <c r="R664" s="26">
        <f t="shared" si="387"/>
        <v>-8.994104422068272</v>
      </c>
      <c r="S664" s="26">
        <f t="shared" si="388"/>
        <v>1.2412411644542135E-4</v>
      </c>
      <c r="T664" s="26">
        <f t="shared" si="389"/>
        <v>1.6789912346613347</v>
      </c>
      <c r="U664" s="26">
        <f t="shared" si="390"/>
        <v>0.84277090774633645</v>
      </c>
      <c r="V664" s="26">
        <f t="shared" si="391"/>
        <v>1.9753484216853354</v>
      </c>
      <c r="W664" s="26">
        <f t="shared" si="392"/>
        <v>0.8781844270880681</v>
      </c>
      <c r="X664" s="26">
        <f t="shared" si="393"/>
        <v>7.4195169019310985E-3</v>
      </c>
      <c r="Y664" s="26">
        <f t="shared" si="394"/>
        <v>2.0599965930882771</v>
      </c>
      <c r="Z664" s="26">
        <f t="shared" si="395"/>
        <v>0.88695382832845737</v>
      </c>
      <c r="AA664" s="26">
        <f t="shared" si="396"/>
        <v>-5.9397671324425154</v>
      </c>
      <c r="AB664" s="26">
        <f t="shared" si="397"/>
        <v>2.6257300278748836E-3</v>
      </c>
      <c r="AC664" s="26">
        <f t="shared" si="398"/>
        <v>2.3223519806748096</v>
      </c>
      <c r="AD664" s="26">
        <f t="shared" si="399"/>
        <v>0.91071137954856229</v>
      </c>
      <c r="AE664" s="26">
        <f t="shared" si="400"/>
        <v>3.98622887106045E-3</v>
      </c>
      <c r="AF664" s="26">
        <f t="shared" si="401"/>
        <v>-3.4538394824191343</v>
      </c>
      <c r="AG664" s="26">
        <f t="shared" si="402"/>
        <v>3.0654563843520135E-2</v>
      </c>
      <c r="AH664" s="26">
        <f t="shared" si="403"/>
        <v>-2.296542931340066</v>
      </c>
      <c r="AI664" s="26">
        <f t="shared" si="404"/>
        <v>9.1409678939146977E-2</v>
      </c>
      <c r="AJ664" s="26">
        <f t="shared" si="405"/>
        <v>-2.1227045164754932</v>
      </c>
      <c r="AK664" s="26">
        <f t="shared" si="406"/>
        <v>0.10690956882835359</v>
      </c>
      <c r="AL664" s="26">
        <f t="shared" si="407"/>
        <v>5.7148279535322371E-3</v>
      </c>
      <c r="AM664" s="27">
        <f t="shared" si="408"/>
        <v>2.4912538420028552E-2</v>
      </c>
    </row>
    <row r="665" spans="1:39" ht="15" customHeight="1" x14ac:dyDescent="0.2">
      <c r="A665" s="24">
        <v>654</v>
      </c>
      <c r="B665" s="29">
        <f t="shared" si="409"/>
        <v>5.5427199396028364</v>
      </c>
      <c r="C665" s="29">
        <f t="shared" si="410"/>
        <v>-5.5155801845052492</v>
      </c>
      <c r="D665" s="29">
        <f t="shared" si="411"/>
        <v>-3.4800893346698287</v>
      </c>
      <c r="E665" s="29">
        <f t="shared" si="412"/>
        <v>-3.9802491340149468</v>
      </c>
      <c r="F665" s="29">
        <f t="shared" si="413"/>
        <v>3.648224756116444</v>
      </c>
      <c r="G665" s="29">
        <f t="shared" si="414"/>
        <v>-1.9674945531695238</v>
      </c>
      <c r="H665" s="29">
        <f t="shared" si="415"/>
        <v>5.7865907064598305</v>
      </c>
      <c r="I665" s="29">
        <f t="shared" si="416"/>
        <v>5.6974592150844705</v>
      </c>
      <c r="J665" s="29">
        <f t="shared" si="417"/>
        <v>-2.8235046720416737</v>
      </c>
      <c r="K665" s="26">
        <f t="shared" si="380"/>
        <v>-3.4800893346698287</v>
      </c>
      <c r="L665" s="26">
        <f t="shared" si="381"/>
        <v>2.9884089790683972E-2</v>
      </c>
      <c r="M665" s="26">
        <f t="shared" si="382"/>
        <v>-1.9674945531695238</v>
      </c>
      <c r="N665" s="26">
        <f t="shared" si="383"/>
        <v>0.12265825118485084</v>
      </c>
      <c r="O665" s="26">
        <f t="shared" si="384"/>
        <v>-1.9517372922686165</v>
      </c>
      <c r="P665" s="26">
        <f t="shared" si="385"/>
        <v>0.12436404768002274</v>
      </c>
      <c r="Q665" s="26">
        <f t="shared" si="386"/>
        <v>7.7332081776794841E-3</v>
      </c>
      <c r="R665" s="26">
        <f t="shared" si="387"/>
        <v>-8.9956695191750775</v>
      </c>
      <c r="S665" s="26">
        <f t="shared" si="388"/>
        <v>1.2393002615001395E-4</v>
      </c>
      <c r="T665" s="26">
        <f t="shared" si="389"/>
        <v>1.6807302029469202</v>
      </c>
      <c r="U665" s="26">
        <f t="shared" si="390"/>
        <v>0.84300119781165994</v>
      </c>
      <c r="V665" s="26">
        <f t="shared" si="391"/>
        <v>1.980177403095186</v>
      </c>
      <c r="W665" s="26">
        <f t="shared" si="392"/>
        <v>0.87870007211024537</v>
      </c>
      <c r="X665" s="26">
        <f t="shared" si="393"/>
        <v>7.3568362530298369E-3</v>
      </c>
      <c r="Y665" s="26">
        <f t="shared" si="394"/>
        <v>2.0626306049330076</v>
      </c>
      <c r="Z665" s="26">
        <f t="shared" si="395"/>
        <v>0.88721766303172112</v>
      </c>
      <c r="AA665" s="26">
        <f t="shared" si="396"/>
        <v>-5.9477436871844702</v>
      </c>
      <c r="AB665" s="26">
        <f t="shared" si="397"/>
        <v>2.6049233997364652E-3</v>
      </c>
      <c r="AC665" s="26">
        <f t="shared" si="398"/>
        <v>2.3253022562931109</v>
      </c>
      <c r="AD665" s="26">
        <f t="shared" si="399"/>
        <v>0.91095099412317437</v>
      </c>
      <c r="AE665" s="26">
        <f t="shared" si="400"/>
        <v>3.9648627238254627E-3</v>
      </c>
      <c r="AF665" s="26">
        <f t="shared" si="401"/>
        <v>-3.4529495795722416</v>
      </c>
      <c r="AG665" s="26">
        <f t="shared" si="402"/>
        <v>3.0681018230923417E-2</v>
      </c>
      <c r="AH665" s="26">
        <f t="shared" si="403"/>
        <v>-2.2995189310680266</v>
      </c>
      <c r="AI665" s="26">
        <f t="shared" si="404"/>
        <v>9.1162810773095695E-2</v>
      </c>
      <c r="AJ665" s="26">
        <f t="shared" si="405"/>
        <v>-2.1265697807697119</v>
      </c>
      <c r="AK665" s="26">
        <f t="shared" si="406"/>
        <v>0.10654107407924307</v>
      </c>
      <c r="AL665" s="26">
        <f t="shared" si="407"/>
        <v>5.6755002329793797E-3</v>
      </c>
      <c r="AM665" s="27">
        <f t="shared" si="408"/>
        <v>2.4730407387514163E-2</v>
      </c>
    </row>
    <row r="666" spans="1:39" ht="15" customHeight="1" x14ac:dyDescent="0.2">
      <c r="A666" s="24">
        <v>655</v>
      </c>
      <c r="B666" s="29">
        <f t="shared" si="409"/>
        <v>5.5451572563963047</v>
      </c>
      <c r="C666" s="29">
        <f t="shared" si="410"/>
        <v>-5.5173162054634339</v>
      </c>
      <c r="D666" s="29">
        <f t="shared" si="411"/>
        <v>-3.4799147021943737</v>
      </c>
      <c r="E666" s="29">
        <f t="shared" si="412"/>
        <v>-3.9849295390535744</v>
      </c>
      <c r="F666" s="29">
        <f t="shared" si="413"/>
        <v>3.6531865886670336</v>
      </c>
      <c r="G666" s="29">
        <f t="shared" si="414"/>
        <v>-1.9707292699690713</v>
      </c>
      <c r="H666" s="29">
        <f t="shared" si="415"/>
        <v>5.7922853315420761</v>
      </c>
      <c r="I666" s="29">
        <f t="shared" si="416"/>
        <v>5.7057914183116747</v>
      </c>
      <c r="J666" s="29">
        <f t="shared" si="417"/>
        <v>-2.8270367785686745</v>
      </c>
      <c r="K666" s="26">
        <f t="shared" si="380"/>
        <v>-3.4799147021943737</v>
      </c>
      <c r="L666" s="26">
        <f t="shared" si="381"/>
        <v>2.9889152981850412E-2</v>
      </c>
      <c r="M666" s="26">
        <f t="shared" si="382"/>
        <v>-1.9707292699690713</v>
      </c>
      <c r="N666" s="26">
        <f t="shared" si="383"/>
        <v>0.12231057761539461</v>
      </c>
      <c r="O666" s="26">
        <f t="shared" si="384"/>
        <v>-1.9560316320530227</v>
      </c>
      <c r="P666" s="26">
        <f t="shared" si="385"/>
        <v>0.12389715811039714</v>
      </c>
      <c r="Q666" s="26">
        <f t="shared" si="386"/>
        <v>7.6752528939163745E-3</v>
      </c>
      <c r="R666" s="26">
        <f t="shared" si="387"/>
        <v>-8.9972309076578085</v>
      </c>
      <c r="S666" s="26">
        <f t="shared" si="388"/>
        <v>1.237366981472658E-4</v>
      </c>
      <c r="T666" s="26">
        <f t="shared" si="389"/>
        <v>1.6824573186979623</v>
      </c>
      <c r="U666" s="26">
        <f t="shared" si="390"/>
        <v>0.84322964649883203</v>
      </c>
      <c r="V666" s="26">
        <f t="shared" si="391"/>
        <v>1.9849724203519998</v>
      </c>
      <c r="W666" s="26">
        <f t="shared" si="392"/>
        <v>0.87921022768874835</v>
      </c>
      <c r="X666" s="26">
        <f t="shared" si="393"/>
        <v>7.2950845475020084E-3</v>
      </c>
      <c r="Y666" s="26">
        <f t="shared" si="394"/>
        <v>2.065242554201931</v>
      </c>
      <c r="Z666" s="26">
        <f t="shared" si="395"/>
        <v>0.88747875693999434</v>
      </c>
      <c r="AA666" s="26">
        <f t="shared" si="396"/>
        <v>-5.9556588090226459</v>
      </c>
      <c r="AB666" s="26">
        <f t="shared" si="397"/>
        <v>2.5844395732950213E-3</v>
      </c>
      <c r="AC666" s="26">
        <f t="shared" si="398"/>
        <v>2.3282396804485024</v>
      </c>
      <c r="AD666" s="26">
        <f t="shared" si="399"/>
        <v>0.91118898839406814</v>
      </c>
      <c r="AE666" s="26">
        <f t="shared" si="400"/>
        <v>3.9436978912344815E-3</v>
      </c>
      <c r="AF666" s="26">
        <f t="shared" si="401"/>
        <v>-3.4520736512615029</v>
      </c>
      <c r="AG666" s="26">
        <f t="shared" si="402"/>
        <v>3.0707078781842423E-2</v>
      </c>
      <c r="AH666" s="26">
        <f t="shared" si="403"/>
        <v>-2.3024722203556118</v>
      </c>
      <c r="AI666" s="26">
        <f t="shared" si="404"/>
        <v>9.091841965706346E-2</v>
      </c>
      <c r="AJ666" s="26">
        <f t="shared" si="405"/>
        <v>-2.1304110779203693</v>
      </c>
      <c r="AK666" s="26">
        <f t="shared" si="406"/>
        <v>0.10617597298075789</v>
      </c>
      <c r="AL666" s="26">
        <f t="shared" si="407"/>
        <v>5.6366686192053138E-3</v>
      </c>
      <c r="AM666" s="27">
        <f t="shared" si="408"/>
        <v>2.4550703951858179E-2</v>
      </c>
    </row>
    <row r="667" spans="1:39" ht="15" customHeight="1" x14ac:dyDescent="0.2">
      <c r="A667" s="24">
        <v>656</v>
      </c>
      <c r="B667" s="29">
        <f t="shared" si="409"/>
        <v>5.5475771067592152</v>
      </c>
      <c r="C667" s="29">
        <f t="shared" si="410"/>
        <v>-5.5190442054428388</v>
      </c>
      <c r="D667" s="29">
        <f t="shared" si="411"/>
        <v>-3.4797443805779049</v>
      </c>
      <c r="E667" s="29">
        <f t="shared" si="412"/>
        <v>-3.989575818833643</v>
      </c>
      <c r="F667" s="29">
        <f t="shared" si="413"/>
        <v>3.6581102215499057</v>
      </c>
      <c r="G667" s="29">
        <f t="shared" si="414"/>
        <v>-1.9739374901342466</v>
      </c>
      <c r="H667" s="29">
        <f t="shared" si="415"/>
        <v>5.7979537630586924</v>
      </c>
      <c r="I667" s="29">
        <f t="shared" si="416"/>
        <v>5.7140657583229713</v>
      </c>
      <c r="J667" s="29">
        <f t="shared" si="417"/>
        <v>-2.8305470459260924</v>
      </c>
      <c r="K667" s="26">
        <f t="shared" si="380"/>
        <v>-3.4797443805779049</v>
      </c>
      <c r="L667" s="26">
        <f t="shared" si="381"/>
        <v>2.9894091987386618E-2</v>
      </c>
      <c r="M667" s="26">
        <f t="shared" si="382"/>
        <v>-1.9739374901342466</v>
      </c>
      <c r="N667" s="26">
        <f t="shared" si="383"/>
        <v>0.12196659004271715</v>
      </c>
      <c r="O667" s="26">
        <f t="shared" si="384"/>
        <v>-1.960297366972096</v>
      </c>
      <c r="P667" s="26">
        <f t="shared" si="385"/>
        <v>0.12343486924170896</v>
      </c>
      <c r="Q667" s="26">
        <f t="shared" si="386"/>
        <v>7.6180834723588945E-3</v>
      </c>
      <c r="R667" s="26">
        <f t="shared" si="387"/>
        <v>-8.9987885860207442</v>
      </c>
      <c r="S667" s="26">
        <f t="shared" si="388"/>
        <v>1.2354413000055503E-4</v>
      </c>
      <c r="T667" s="26">
        <f t="shared" si="389"/>
        <v>1.6841727314156592</v>
      </c>
      <c r="U667" s="26">
        <f t="shared" si="390"/>
        <v>0.84345627926261046</v>
      </c>
      <c r="V667" s="26">
        <f t="shared" si="391"/>
        <v>1.9897339012043282</v>
      </c>
      <c r="W667" s="26">
        <f t="shared" si="392"/>
        <v>0.87971498272552584</v>
      </c>
      <c r="X667" s="26">
        <f t="shared" si="393"/>
        <v>7.2342426903602734E-3</v>
      </c>
      <c r="Y667" s="26">
        <f t="shared" si="394"/>
        <v>2.0678327261813103</v>
      </c>
      <c r="Z667" s="26">
        <f t="shared" si="395"/>
        <v>0.88773715258555863</v>
      </c>
      <c r="AA667" s="26">
        <f t="shared" si="396"/>
        <v>-5.9635133089678893</v>
      </c>
      <c r="AB667" s="26">
        <f t="shared" si="397"/>
        <v>2.564271455114185E-3</v>
      </c>
      <c r="AC667" s="26">
        <f t="shared" si="398"/>
        <v>2.3311643342310688</v>
      </c>
      <c r="AD667" s="26">
        <f t="shared" si="399"/>
        <v>0.91142537750658437</v>
      </c>
      <c r="AE667" s="26">
        <f t="shared" si="400"/>
        <v>3.9227318749255457E-3</v>
      </c>
      <c r="AF667" s="26">
        <f t="shared" si="401"/>
        <v>-3.4512114792615285</v>
      </c>
      <c r="AG667" s="26">
        <f t="shared" si="402"/>
        <v>3.0732750987777856E-2</v>
      </c>
      <c r="AH667" s="26">
        <f t="shared" si="403"/>
        <v>-2.3054030874179841</v>
      </c>
      <c r="AI667" s="26">
        <f t="shared" si="404"/>
        <v>9.0676467134266026E-2</v>
      </c>
      <c r="AJ667" s="26">
        <f t="shared" si="405"/>
        <v>-2.1342286807497524</v>
      </c>
      <c r="AK667" s="26">
        <f t="shared" si="406"/>
        <v>0.10581421673677585</v>
      </c>
      <c r="AL667" s="26">
        <f t="shared" si="407"/>
        <v>5.5983242318086877E-3</v>
      </c>
      <c r="AM667" s="27">
        <f t="shared" si="408"/>
        <v>2.43733822694534E-2</v>
      </c>
    </row>
    <row r="668" spans="1:39" ht="15" customHeight="1" x14ac:dyDescent="0.2">
      <c r="A668" s="24">
        <v>657</v>
      </c>
      <c r="B668" s="29">
        <f t="shared" si="409"/>
        <v>5.5499797039239391</v>
      </c>
      <c r="C668" s="29">
        <f t="shared" si="410"/>
        <v>-5.5207642507389592</v>
      </c>
      <c r="D668" s="29">
        <f t="shared" si="411"/>
        <v>-3.4795783023743811</v>
      </c>
      <c r="E668" s="29">
        <f t="shared" si="412"/>
        <v>-3.9941884034801904</v>
      </c>
      <c r="F668" s="29">
        <f t="shared" si="413"/>
        <v>3.6629961678547733</v>
      </c>
      <c r="G668" s="29">
        <f t="shared" si="414"/>
        <v>-1.977119579893404</v>
      </c>
      <c r="H668" s="29">
        <f t="shared" si="415"/>
        <v>5.8035962056075627</v>
      </c>
      <c r="I668" s="29">
        <f t="shared" si="416"/>
        <v>5.7222829605738967</v>
      </c>
      <c r="J668" s="29">
        <f t="shared" si="417"/>
        <v>-2.8340357243459193</v>
      </c>
      <c r="K668" s="26">
        <f t="shared" si="380"/>
        <v>-3.4795783023743811</v>
      </c>
      <c r="L668" s="26">
        <f t="shared" si="381"/>
        <v>2.989890870362551E-2</v>
      </c>
      <c r="M668" s="26">
        <f t="shared" si="382"/>
        <v>-1.977119579893404</v>
      </c>
      <c r="N668" s="26">
        <f t="shared" si="383"/>
        <v>0.12162622741436215</v>
      </c>
      <c r="O668" s="26">
        <f t="shared" si="384"/>
        <v>-1.9645348425496612</v>
      </c>
      <c r="P668" s="26">
        <f t="shared" si="385"/>
        <v>0.12297711100636675</v>
      </c>
      <c r="Q668" s="26">
        <f t="shared" si="386"/>
        <v>7.5616849157361258E-3</v>
      </c>
      <c r="R668" s="26">
        <f t="shared" si="387"/>
        <v>-9.0003425531133399</v>
      </c>
      <c r="S668" s="26">
        <f t="shared" si="388"/>
        <v>1.2335231924206461E-4</v>
      </c>
      <c r="T668" s="26">
        <f t="shared" si="389"/>
        <v>1.6858765879613693</v>
      </c>
      <c r="U668" s="26">
        <f t="shared" si="390"/>
        <v>0.84368112107368565</v>
      </c>
      <c r="V668" s="26">
        <f t="shared" si="391"/>
        <v>1.9944622659838211</v>
      </c>
      <c r="W668" s="26">
        <f t="shared" si="392"/>
        <v>0.88021442424473983</v>
      </c>
      <c r="X668" s="26">
        <f t="shared" si="393"/>
        <v>7.1742920795095861E-3</v>
      </c>
      <c r="Y668" s="26">
        <f t="shared" si="394"/>
        <v>2.070401401549558</v>
      </c>
      <c r="Z668" s="26">
        <f t="shared" si="395"/>
        <v>0.88799289166789452</v>
      </c>
      <c r="AA668" s="26">
        <f t="shared" si="396"/>
        <v>-5.9713079833735945</v>
      </c>
      <c r="AB668" s="26">
        <f t="shared" si="397"/>
        <v>2.5444121498398261E-3</v>
      </c>
      <c r="AC668" s="26">
        <f t="shared" si="398"/>
        <v>2.3340762986340664</v>
      </c>
      <c r="AD668" s="26">
        <f t="shared" si="399"/>
        <v>0.91166017647488873</v>
      </c>
      <c r="AE668" s="26">
        <f t="shared" si="400"/>
        <v>3.9019622102239014E-3</v>
      </c>
      <c r="AF668" s="26">
        <f t="shared" si="401"/>
        <v>-3.4503628491894012</v>
      </c>
      <c r="AG668" s="26">
        <f t="shared" si="402"/>
        <v>3.0758040261217458E-2</v>
      </c>
      <c r="AH668" s="26">
        <f t="shared" si="403"/>
        <v>-2.3083118155188211</v>
      </c>
      <c r="AI668" s="26">
        <f t="shared" si="404"/>
        <v>9.0436915535148474E-2</v>
      </c>
      <c r="AJ668" s="26">
        <f t="shared" si="405"/>
        <v>-2.138022857820352</v>
      </c>
      <c r="AK668" s="26">
        <f t="shared" si="406"/>
        <v>0.1054557574742772</v>
      </c>
      <c r="AL668" s="26">
        <f t="shared" si="407"/>
        <v>5.5604583922367855E-3</v>
      </c>
      <c r="AM668" s="27">
        <f t="shared" si="408"/>
        <v>2.4198397597706398E-2</v>
      </c>
    </row>
    <row r="669" spans="1:39" ht="15" customHeight="1" x14ac:dyDescent="0.2">
      <c r="A669" s="24">
        <v>658</v>
      </c>
      <c r="B669" s="29">
        <f t="shared" si="409"/>
        <v>5.5523652576910072</v>
      </c>
      <c r="C669" s="29">
        <f t="shared" si="410"/>
        <v>-5.522476406892479</v>
      </c>
      <c r="D669" s="29">
        <f t="shared" si="411"/>
        <v>-3.4794164012321334</v>
      </c>
      <c r="E669" s="29">
        <f t="shared" si="412"/>
        <v>-3.9987677156888788</v>
      </c>
      <c r="F669" s="29">
        <f t="shared" si="413"/>
        <v>3.6678449311878567</v>
      </c>
      <c r="G669" s="29">
        <f t="shared" si="414"/>
        <v>-1.9802758985741362</v>
      </c>
      <c r="H669" s="29">
        <f t="shared" si="415"/>
        <v>5.8092128619529317</v>
      </c>
      <c r="I669" s="29">
        <f t="shared" si="416"/>
        <v>5.7304437379200088</v>
      </c>
      <c r="J669" s="29">
        <f t="shared" si="417"/>
        <v>-2.8375030600693942</v>
      </c>
      <c r="K669" s="26">
        <f t="shared" si="380"/>
        <v>-3.4794164012321334</v>
      </c>
      <c r="L669" s="26">
        <f t="shared" si="381"/>
        <v>2.9903604997846049E-2</v>
      </c>
      <c r="M669" s="26">
        <f t="shared" si="382"/>
        <v>-1.9802758985741362</v>
      </c>
      <c r="N669" s="26">
        <f t="shared" si="383"/>
        <v>0.12128943001706285</v>
      </c>
      <c r="O669" s="26">
        <f t="shared" si="384"/>
        <v>-1.968744398579982</v>
      </c>
      <c r="P669" s="26">
        <f t="shared" si="385"/>
        <v>0.12252381473523999</v>
      </c>
      <c r="Q669" s="26">
        <f t="shared" si="386"/>
        <v>7.5060425886377055E-3</v>
      </c>
      <c r="R669" s="26">
        <f t="shared" si="387"/>
        <v>-9.0018928081246123</v>
      </c>
      <c r="S669" s="26">
        <f t="shared" si="388"/>
        <v>1.231612633737565E-4</v>
      </c>
      <c r="T669" s="26">
        <f t="shared" si="389"/>
        <v>1.6875690326137205</v>
      </c>
      <c r="U669" s="26">
        <f t="shared" si="390"/>
        <v>0.84390419642998915</v>
      </c>
      <c r="V669" s="26">
        <f t="shared" si="391"/>
        <v>1.9991579277625395</v>
      </c>
      <c r="W669" s="26">
        <f t="shared" si="392"/>
        <v>0.88070863744050554</v>
      </c>
      <c r="X669" s="26">
        <f t="shared" si="393"/>
        <v>7.1152145906503783E-3</v>
      </c>
      <c r="Y669" s="26">
        <f t="shared" si="394"/>
        <v>2.0729488564588738</v>
      </c>
      <c r="Z669" s="26">
        <f t="shared" si="395"/>
        <v>0.888246015072513</v>
      </c>
      <c r="AA669" s="26">
        <f t="shared" si="396"/>
        <v>-5.9790436142630146</v>
      </c>
      <c r="AB669" s="26">
        <f t="shared" si="397"/>
        <v>2.5248549535630102E-3</v>
      </c>
      <c r="AC669" s="26">
        <f t="shared" si="398"/>
        <v>2.3369756545260878</v>
      </c>
      <c r="AD669" s="26">
        <f t="shared" si="399"/>
        <v>0.91189340018109399</v>
      </c>
      <c r="AE669" s="26">
        <f t="shared" si="400"/>
        <v>3.8813864658244239E-3</v>
      </c>
      <c r="AF669" s="26">
        <f t="shared" si="401"/>
        <v>-3.4495275504336051</v>
      </c>
      <c r="AG669" s="26">
        <f t="shared" si="402"/>
        <v>3.0782951936572048E-2</v>
      </c>
      <c r="AH669" s="26">
        <f t="shared" si="403"/>
        <v>-2.3111986830751583</v>
      </c>
      <c r="AI669" s="26">
        <f t="shared" si="404"/>
        <v>9.0199727957699385E-2</v>
      </c>
      <c r="AJ669" s="26">
        <f t="shared" si="405"/>
        <v>-2.1417938735132944</v>
      </c>
      <c r="AK669" s="26">
        <f t="shared" si="406"/>
        <v>0.10510054822246399</v>
      </c>
      <c r="AL669" s="26">
        <f t="shared" si="407"/>
        <v>5.52306261833124E-3</v>
      </c>
      <c r="AM669" s="27">
        <f t="shared" si="408"/>
        <v>2.4025706263443747E-2</v>
      </c>
    </row>
    <row r="670" spans="1:39" ht="15" customHeight="1" x14ac:dyDescent="0.2">
      <c r="A670" s="24">
        <v>659</v>
      </c>
      <c r="B670" s="29">
        <f t="shared" si="409"/>
        <v>5.5547339744933177</v>
      </c>
      <c r="C670" s="29">
        <f t="shared" si="410"/>
        <v>-5.524180738699684</v>
      </c>
      <c r="D670" s="29">
        <f t="shared" si="411"/>
        <v>-3.4792586118777336</v>
      </c>
      <c r="E670" s="29">
        <f t="shared" si="412"/>
        <v>-4.0033141708839866</v>
      </c>
      <c r="F670" s="29">
        <f t="shared" si="413"/>
        <v>3.672657005888492</v>
      </c>
      <c r="G670" s="29">
        <f t="shared" si="414"/>
        <v>-1.9834067987641488</v>
      </c>
      <c r="H670" s="29">
        <f t="shared" si="415"/>
        <v>5.8148039330323922</v>
      </c>
      <c r="I670" s="29">
        <f t="shared" si="416"/>
        <v>5.7385487908867372</v>
      </c>
      <c r="J670" s="29">
        <f t="shared" si="417"/>
        <v>-2.8409492954242426</v>
      </c>
      <c r="K670" s="26">
        <f t="shared" si="380"/>
        <v>-3.4792586118777336</v>
      </c>
      <c r="L670" s="26">
        <f t="shared" si="381"/>
        <v>2.9908182708641786E-2</v>
      </c>
      <c r="M670" s="26">
        <f t="shared" si="382"/>
        <v>-1.9834067987641488</v>
      </c>
      <c r="N670" s="26">
        <f t="shared" si="383"/>
        <v>0.12095613944080337</v>
      </c>
      <c r="O670" s="26">
        <f t="shared" si="384"/>
        <v>-1.9729263692418311</v>
      </c>
      <c r="P670" s="26">
        <f t="shared" si="385"/>
        <v>0.12207491312419484</v>
      </c>
      <c r="Q670" s="26">
        <f t="shared" si="386"/>
        <v>7.4511422071398591E-3</v>
      </c>
      <c r="R670" s="26">
        <f t="shared" si="387"/>
        <v>-9.003439350577418</v>
      </c>
      <c r="S670" s="26">
        <f t="shared" si="388"/>
        <v>1.2297095986834905E-4</v>
      </c>
      <c r="T670" s="26">
        <f t="shared" si="389"/>
        <v>1.6892502071243432</v>
      </c>
      <c r="U670" s="26">
        <f t="shared" si="390"/>
        <v>0.84412552936770036</v>
      </c>
      <c r="V670" s="26">
        <f t="shared" si="391"/>
        <v>2.0038212925064922</v>
      </c>
      <c r="W670" s="26">
        <f t="shared" si="392"/>
        <v>0.88119770572324452</v>
      </c>
      <c r="X670" s="26">
        <f t="shared" si="393"/>
        <v>7.0569925627104041E-3</v>
      </c>
      <c r="Y670" s="26">
        <f t="shared" si="394"/>
        <v>2.0754753626155842</v>
      </c>
      <c r="Z670" s="26">
        <f t="shared" si="395"/>
        <v>0.88849656288933299</v>
      </c>
      <c r="AA670" s="26">
        <f t="shared" si="396"/>
        <v>-5.9867209696481352</v>
      </c>
      <c r="AB670" s="26">
        <f t="shared" si="397"/>
        <v>2.5055933474402835E-3</v>
      </c>
      <c r="AC670" s="26">
        <f t="shared" si="398"/>
        <v>2.3398624826248202</v>
      </c>
      <c r="AD670" s="26">
        <f t="shared" si="399"/>
        <v>0.91212506337452881</v>
      </c>
      <c r="AE670" s="26">
        <f t="shared" si="400"/>
        <v>3.8610022434652888E-3</v>
      </c>
      <c r="AF670" s="26">
        <f t="shared" si="401"/>
        <v>-3.4487053760840998</v>
      </c>
      <c r="AG670" s="26">
        <f t="shared" si="402"/>
        <v>3.0807491271116191E-2</v>
      </c>
      <c r="AH670" s="26">
        <f t="shared" si="403"/>
        <v>-2.3140639637596436</v>
      </c>
      <c r="AI670" s="26">
        <f t="shared" si="404"/>
        <v>8.9964868248339602E-2</v>
      </c>
      <c r="AJ670" s="26">
        <f t="shared" si="405"/>
        <v>-2.1455419881053013</v>
      </c>
      <c r="AK670" s="26">
        <f t="shared" si="406"/>
        <v>0.10474854289240471</v>
      </c>
      <c r="AL670" s="26">
        <f t="shared" si="407"/>
        <v>5.4861286190409746E-3</v>
      </c>
      <c r="AM670" s="27">
        <f t="shared" si="408"/>
        <v>2.3855265632356525E-2</v>
      </c>
    </row>
    <row r="671" spans="1:39" ht="15" customHeight="1" x14ac:dyDescent="0.2">
      <c r="A671" s="24">
        <v>660</v>
      </c>
      <c r="B671" s="29">
        <f t="shared" si="409"/>
        <v>5.5570860574591032</v>
      </c>
      <c r="C671" s="29">
        <f t="shared" si="410"/>
        <v>-5.525877310222719</v>
      </c>
      <c r="D671" s="29">
        <f t="shared" si="411"/>
        <v>-3.4791048700999223</v>
      </c>
      <c r="E671" s="29">
        <f t="shared" si="412"/>
        <v>-4.0078281773725521</v>
      </c>
      <c r="F671" s="29">
        <f t="shared" si="413"/>
        <v>3.67743287724003</v>
      </c>
      <c r="G671" s="29">
        <f t="shared" si="414"/>
        <v>-1.9865126264677695</v>
      </c>
      <c r="H671" s="29">
        <f t="shared" si="415"/>
        <v>5.8203696179644924</v>
      </c>
      <c r="I671" s="29">
        <f t="shared" si="416"/>
        <v>5.7465988079326449</v>
      </c>
      <c r="J671" s="29">
        <f t="shared" si="417"/>
        <v>-2.8443746689002967</v>
      </c>
      <c r="K671" s="26">
        <f t="shared" si="380"/>
        <v>-3.4791048700999223</v>
      </c>
      <c r="L671" s="26">
        <f t="shared" si="381"/>
        <v>2.9912643646291044E-2</v>
      </c>
      <c r="M671" s="26">
        <f t="shared" si="382"/>
        <v>-1.9865126264677695</v>
      </c>
      <c r="N671" s="26">
        <f t="shared" si="383"/>
        <v>0.1206262985440032</v>
      </c>
      <c r="O671" s="26">
        <f t="shared" si="384"/>
        <v>-1.9770810832101295</v>
      </c>
      <c r="P671" s="26">
        <f t="shared" si="385"/>
        <v>0.1216303402015288</v>
      </c>
      <c r="Q671" s="26">
        <f t="shared" si="386"/>
        <v>7.3969698287698164E-3</v>
      </c>
      <c r="R671" s="26">
        <f t="shared" si="387"/>
        <v>-9.0049821803226422</v>
      </c>
      <c r="S671" s="26">
        <f t="shared" si="388"/>
        <v>1.2278140617029515E-4</v>
      </c>
      <c r="T671" s="26">
        <f t="shared" si="389"/>
        <v>1.6909202507722605</v>
      </c>
      <c r="U671" s="26">
        <f t="shared" si="390"/>
        <v>0.8443451434719611</v>
      </c>
      <c r="V671" s="26">
        <f t="shared" si="391"/>
        <v>2.0084527592255177</v>
      </c>
      <c r="W671" s="26">
        <f t="shared" si="392"/>
        <v>0.88168171076469914</v>
      </c>
      <c r="X671" s="26">
        <f t="shared" si="393"/>
        <v>6.9996087837841548E-3</v>
      </c>
      <c r="Y671" s="26">
        <f t="shared" si="394"/>
        <v>2.0779811873591809</v>
      </c>
      <c r="Z671" s="26">
        <f t="shared" si="395"/>
        <v>0.88874457443061194</v>
      </c>
      <c r="AA671" s="26">
        <f t="shared" si="396"/>
        <v>-5.9943408038403216</v>
      </c>
      <c r="AB671" s="26">
        <f t="shared" si="397"/>
        <v>2.4866209915600872E-3</v>
      </c>
      <c r="AC671" s="26">
        <f t="shared" si="398"/>
        <v>2.3427368634722989</v>
      </c>
      <c r="AD671" s="26">
        <f t="shared" si="399"/>
        <v>0.91235518067114041</v>
      </c>
      <c r="AE671" s="26">
        <f t="shared" si="400"/>
        <v>3.84080717759422E-3</v>
      </c>
      <c r="AF671" s="26">
        <f t="shared" si="401"/>
        <v>-3.4478961228635381</v>
      </c>
      <c r="AG671" s="26">
        <f t="shared" si="402"/>
        <v>3.0831663445932356E-2</v>
      </c>
      <c r="AH671" s="26">
        <f t="shared" si="403"/>
        <v>-2.3169079266002917</v>
      </c>
      <c r="AI671" s="26">
        <f t="shared" si="404"/>
        <v>8.9732300983365321E-2</v>
      </c>
      <c r="AJ671" s="26">
        <f t="shared" si="405"/>
        <v>-2.1492674578442248</v>
      </c>
      <c r="AK671" s="26">
        <f t="shared" si="406"/>
        <v>0.10439969625718799</v>
      </c>
      <c r="AL671" s="26">
        <f t="shared" si="407"/>
        <v>5.449648289296556E-3</v>
      </c>
      <c r="AM671" s="27">
        <f t="shared" si="408"/>
        <v>2.3687034079444749E-2</v>
      </c>
    </row>
    <row r="672" spans="1:39" ht="15" customHeight="1" x14ac:dyDescent="0.2">
      <c r="A672" s="24">
        <v>661</v>
      </c>
      <c r="B672" s="29">
        <f t="shared" si="409"/>
        <v>5.5594217064736835</v>
      </c>
      <c r="C672" s="29">
        <f t="shared" si="410"/>
        <v>-5.5275661847996957</v>
      </c>
      <c r="D672" s="29">
        <f t="shared" si="411"/>
        <v>-3.4789551127336114</v>
      </c>
      <c r="E672" s="29">
        <f t="shared" si="412"/>
        <v>-4.0123101364947633</v>
      </c>
      <c r="F672" s="29">
        <f t="shared" si="413"/>
        <v>3.6821730216751938</v>
      </c>
      <c r="G672" s="29">
        <f t="shared" si="414"/>
        <v>-1.9895937212582238</v>
      </c>
      <c r="H672" s="29">
        <f t="shared" si="415"/>
        <v>5.8259101140569207</v>
      </c>
      <c r="I672" s="29">
        <f t="shared" si="416"/>
        <v>5.7545944657062549</v>
      </c>
      <c r="J672" s="29">
        <f t="shared" si="417"/>
        <v>-2.847779415223525</v>
      </c>
      <c r="K672" s="26">
        <f t="shared" si="380"/>
        <v>-3.4789551127336114</v>
      </c>
      <c r="L672" s="26">
        <f t="shared" si="381"/>
        <v>2.9916989593128246E-2</v>
      </c>
      <c r="M672" s="26">
        <f t="shared" si="382"/>
        <v>-1.9895937212582238</v>
      </c>
      <c r="N672" s="26">
        <f t="shared" si="383"/>
        <v>0.12029985141978597</v>
      </c>
      <c r="O672" s="26">
        <f t="shared" si="384"/>
        <v>-1.9812088637651983</v>
      </c>
      <c r="P672" s="26">
        <f t="shared" si="385"/>
        <v>0.12119003129627907</v>
      </c>
      <c r="Q672" s="26">
        <f t="shared" si="386"/>
        <v>7.3435118427965509E-3</v>
      </c>
      <c r="R672" s="26">
        <f t="shared" si="387"/>
        <v>-9.0065212975333075</v>
      </c>
      <c r="S672" s="26">
        <f t="shared" si="388"/>
        <v>1.2259259969676038E-4</v>
      </c>
      <c r="T672" s="26">
        <f t="shared" si="389"/>
        <v>1.69257930041697</v>
      </c>
      <c r="U672" s="26">
        <f t="shared" si="390"/>
        <v>0.84456306188730734</v>
      </c>
      <c r="V672" s="26">
        <f t="shared" si="391"/>
        <v>2.0130527201195854</v>
      </c>
      <c r="W672" s="26">
        <f t="shared" si="392"/>
        <v>0.88216073254164951</v>
      </c>
      <c r="X672" s="26">
        <f t="shared" si="393"/>
        <v>6.9430464775603312E-3</v>
      </c>
      <c r="Y672" s="26">
        <f t="shared" si="394"/>
        <v>2.0804665937400721</v>
      </c>
      <c r="Z672" s="26">
        <f t="shared" si="395"/>
        <v>0.88899008824844272</v>
      </c>
      <c r="AA672" s="26">
        <f t="shared" si="396"/>
        <v>-6.0019038577529873</v>
      </c>
      <c r="AB672" s="26">
        <f t="shared" si="397"/>
        <v>2.4679317190445462E-3</v>
      </c>
      <c r="AC672" s="26">
        <f t="shared" si="398"/>
        <v>2.3455988774115868</v>
      </c>
      <c r="AD672" s="26">
        <f t="shared" si="399"/>
        <v>0.9125837665530252</v>
      </c>
      <c r="AE672" s="26">
        <f t="shared" si="400"/>
        <v>3.820798935027998E-3</v>
      </c>
      <c r="AF672" s="26">
        <f t="shared" si="401"/>
        <v>-3.4470995910596236</v>
      </c>
      <c r="AG672" s="26">
        <f t="shared" si="402"/>
        <v>3.0855473566857479E-2</v>
      </c>
      <c r="AH672" s="26">
        <f t="shared" si="403"/>
        <v>-2.3197308360777935</v>
      </c>
      <c r="AI672" s="26">
        <f t="shared" si="404"/>
        <v>8.9501991450928381E-2</v>
      </c>
      <c r="AJ672" s="26">
        <f t="shared" si="405"/>
        <v>-2.1529705350231532</v>
      </c>
      <c r="AK672" s="26">
        <f t="shared" si="406"/>
        <v>0.10405396393257477</v>
      </c>
      <c r="AL672" s="26">
        <f t="shared" si="407"/>
        <v>5.4136137050407856E-3</v>
      </c>
      <c r="AM672" s="27">
        <f t="shared" si="408"/>
        <v>2.3520970960425665E-2</v>
      </c>
    </row>
    <row r="673" spans="1:39" ht="15" customHeight="1" x14ac:dyDescent="0.2">
      <c r="A673" s="24">
        <v>662</v>
      </c>
      <c r="B673" s="29">
        <f t="shared" si="409"/>
        <v>5.5617411182400147</v>
      </c>
      <c r="C673" s="29">
        <f t="shared" si="410"/>
        <v>-5.5292474250546482</v>
      </c>
      <c r="D673" s="29">
        <f t="shared" si="411"/>
        <v>-3.4788092776439732</v>
      </c>
      <c r="E673" s="29">
        <f t="shared" si="412"/>
        <v>-4.0167604427706998</v>
      </c>
      <c r="F673" s="29">
        <f t="shared" si="413"/>
        <v>3.6868779069760498</v>
      </c>
      <c r="G673" s="29">
        <f t="shared" si="414"/>
        <v>-1.9926504164258045</v>
      </c>
      <c r="H673" s="29">
        <f t="shared" si="415"/>
        <v>5.8314256168152303</v>
      </c>
      <c r="I673" s="29">
        <f t="shared" si="416"/>
        <v>5.7625364292966204</v>
      </c>
      <c r="J673" s="29">
        <f t="shared" si="417"/>
        <v>-2.8511637654285051</v>
      </c>
      <c r="K673" s="26">
        <f t="shared" si="380"/>
        <v>-3.4788092776439732</v>
      </c>
      <c r="L673" s="26">
        <f t="shared" si="381"/>
        <v>2.9921222303915772E-2</v>
      </c>
      <c r="M673" s="26">
        <f t="shared" si="382"/>
        <v>-1.9926504164258045</v>
      </c>
      <c r="N673" s="26">
        <f t="shared" si="383"/>
        <v>0.11997674336329436</v>
      </c>
      <c r="O673" s="26">
        <f t="shared" si="384"/>
        <v>-1.9853100288996721</v>
      </c>
      <c r="P673" s="26">
        <f t="shared" si="385"/>
        <v>0.12075392300738021</v>
      </c>
      <c r="Q673" s="26">
        <f t="shared" si="386"/>
        <v>7.2907549608361537E-3</v>
      </c>
      <c r="R673" s="26">
        <f t="shared" si="387"/>
        <v>-9.0080567026986209</v>
      </c>
      <c r="S673" s="26">
        <f t="shared" si="388"/>
        <v>1.2240453783859864E-4</v>
      </c>
      <c r="T673" s="26">
        <f t="shared" si="389"/>
        <v>1.6942274905502452</v>
      </c>
      <c r="U673" s="26">
        <f t="shared" si="390"/>
        <v>0.84477930732782358</v>
      </c>
      <c r="V673" s="26">
        <f t="shared" si="391"/>
        <v>2.0176215607216097</v>
      </c>
      <c r="W673" s="26">
        <f t="shared" si="392"/>
        <v>0.88263484937837333</v>
      </c>
      <c r="X673" s="26">
        <f t="shared" si="393"/>
        <v>6.8872892902185571E-3</v>
      </c>
      <c r="Y673" s="26">
        <f t="shared" si="394"/>
        <v>2.0829318405960415</v>
      </c>
      <c r="Z673" s="26">
        <f t="shared" si="395"/>
        <v>0.88923314215182581</v>
      </c>
      <c r="AA673" s="26">
        <f t="shared" si="396"/>
        <v>-6.0094108591965041</v>
      </c>
      <c r="AB673" s="26">
        <f t="shared" si="397"/>
        <v>2.4495195303764466E-3</v>
      </c>
      <c r="AC673" s="26">
        <f t="shared" si="398"/>
        <v>2.348448604564819</v>
      </c>
      <c r="AD673" s="26">
        <f t="shared" si="399"/>
        <v>0.91281083536807694</v>
      </c>
      <c r="AE673" s="26">
        <f t="shared" si="400"/>
        <v>3.8009752146062909E-3</v>
      </c>
      <c r="AF673" s="26">
        <f t="shared" si="401"/>
        <v>-3.4463155844586066</v>
      </c>
      <c r="AG673" s="26">
        <f t="shared" si="402"/>
        <v>3.0878926665430885E-2</v>
      </c>
      <c r="AH673" s="26">
        <f t="shared" si="403"/>
        <v>-2.3225329522204543</v>
      </c>
      <c r="AI673" s="26">
        <f t="shared" si="404"/>
        <v>8.9273905633535752E-2</v>
      </c>
      <c r="AJ673" s="26">
        <f t="shared" si="405"/>
        <v>-2.1566514680531141</v>
      </c>
      <c r="AK673" s="26">
        <f t="shared" si="406"/>
        <v>0.10371130235813497</v>
      </c>
      <c r="AL673" s="26">
        <f t="shared" si="407"/>
        <v>5.3780171184102466E-3</v>
      </c>
      <c r="AM673" s="27">
        <f t="shared" si="408"/>
        <v>2.3357036584071247E-2</v>
      </c>
    </row>
    <row r="674" spans="1:39" ht="15" customHeight="1" x14ac:dyDescent="0.2">
      <c r="A674" s="24">
        <v>663</v>
      </c>
      <c r="B674" s="29">
        <f t="shared" si="409"/>
        <v>5.5640444863380596</v>
      </c>
      <c r="C674" s="29">
        <f t="shared" si="410"/>
        <v>-5.5309210929073371</v>
      </c>
      <c r="D674" s="29">
        <f t="shared" si="411"/>
        <v>-3.4786673037106266</v>
      </c>
      <c r="E674" s="29">
        <f t="shared" si="412"/>
        <v>-4.0211794840435156</v>
      </c>
      <c r="F674" s="29">
        <f t="shared" si="413"/>
        <v>3.6915479924687475</v>
      </c>
      <c r="G674" s="29">
        <f t="shared" si="414"/>
        <v>-1.9956830391220579</v>
      </c>
      <c r="H674" s="29">
        <f t="shared" si="415"/>
        <v>5.8369163199520671</v>
      </c>
      <c r="I674" s="29">
        <f t="shared" si="416"/>
        <v>5.7704253524777949</v>
      </c>
      <c r="J674" s="29">
        <f t="shared" si="417"/>
        <v>-2.8545279469293647</v>
      </c>
      <c r="K674" s="26">
        <f t="shared" si="380"/>
        <v>-3.4786673037106266</v>
      </c>
      <c r="L674" s="26">
        <f t="shared" si="381"/>
        <v>2.9925343506216184E-2</v>
      </c>
      <c r="M674" s="26">
        <f t="shared" si="382"/>
        <v>-1.9956830391220579</v>
      </c>
      <c r="N674" s="26">
        <f t="shared" si="383"/>
        <v>0.11965692084001445</v>
      </c>
      <c r="O674" s="26">
        <f t="shared" si="384"/>
        <v>-1.989384891423112</v>
      </c>
      <c r="P674" s="26">
        <f t="shared" si="385"/>
        <v>0.1203219531736467</v>
      </c>
      <c r="Q674" s="26">
        <f t="shared" si="386"/>
        <v>7.2386862077606154E-3</v>
      </c>
      <c r="R674" s="26">
        <f t="shared" si="387"/>
        <v>-9.0095883966179642</v>
      </c>
      <c r="S674" s="26">
        <f t="shared" si="388"/>
        <v>1.2221721796132443E-4</v>
      </c>
      <c r="T674" s="26">
        <f t="shared" si="389"/>
        <v>1.6958649533466896</v>
      </c>
      <c r="U674" s="26">
        <f t="shared" si="390"/>
        <v>0.8449939020870304</v>
      </c>
      <c r="V674" s="26">
        <f t="shared" si="391"/>
        <v>2.022159660036873</v>
      </c>
      <c r="W674" s="26">
        <f t="shared" si="392"/>
        <v>0.88310413798788823</v>
      </c>
      <c r="X674" s="26">
        <f t="shared" si="393"/>
        <v>6.8323212777773382E-3</v>
      </c>
      <c r="Y674" s="26">
        <f t="shared" si="394"/>
        <v>2.085377182627433</v>
      </c>
      <c r="Z674" s="26">
        <f t="shared" si="395"/>
        <v>0.88947377322332599</v>
      </c>
      <c r="AA674" s="26">
        <f t="shared" si="396"/>
        <v>-6.0168625231655737</v>
      </c>
      <c r="AB674" s="26">
        <f t="shared" si="397"/>
        <v>2.4313785879416833E-3</v>
      </c>
      <c r="AC674" s="26">
        <f t="shared" si="398"/>
        <v>2.3512861248125412</v>
      </c>
      <c r="AD674" s="26">
        <f t="shared" si="399"/>
        <v>0.9130364013297485</v>
      </c>
      <c r="AE674" s="26">
        <f t="shared" si="400"/>
        <v>3.7813337468402841E-3</v>
      </c>
      <c r="AF674" s="26">
        <f t="shared" si="401"/>
        <v>-3.4455439102799041</v>
      </c>
      <c r="AG674" s="26">
        <f t="shared" si="402"/>
        <v>3.0902027699842634E-2</v>
      </c>
      <c r="AH674" s="26">
        <f t="shared" si="403"/>
        <v>-2.3253145306968257</v>
      </c>
      <c r="AI674" s="26">
        <f t="shared" si="404"/>
        <v>8.9048010191051005E-2</v>
      </c>
      <c r="AJ674" s="26">
        <f t="shared" si="405"/>
        <v>-2.1603105015344006</v>
      </c>
      <c r="AK674" s="26">
        <f t="shared" si="406"/>
        <v>0.10337166877885583</v>
      </c>
      <c r="AL674" s="26">
        <f t="shared" si="407"/>
        <v>5.3428509530627387E-3</v>
      </c>
      <c r="AM674" s="27">
        <f t="shared" si="408"/>
        <v>2.3195192185440978E-2</v>
      </c>
    </row>
    <row r="675" spans="1:39" ht="15" customHeight="1" x14ac:dyDescent="0.2">
      <c r="A675" s="24">
        <v>664</v>
      </c>
      <c r="B675" s="29">
        <f t="shared" si="409"/>
        <v>5.5663320012829915</v>
      </c>
      <c r="C675" s="29">
        <f t="shared" si="410"/>
        <v>-5.5325872495829129</v>
      </c>
      <c r="D675" s="29">
        <f t="shared" si="411"/>
        <v>-3.4785291308119337</v>
      </c>
      <c r="E675" s="29">
        <f t="shared" si="412"/>
        <v>-4.0255676416191593</v>
      </c>
      <c r="F675" s="29">
        <f t="shared" si="413"/>
        <v>3.6961837292131801</v>
      </c>
      <c r="G675" s="29">
        <f t="shared" si="414"/>
        <v>-1.9986919105001051</v>
      </c>
      <c r="H675" s="29">
        <f t="shared" si="415"/>
        <v>5.8423824153968642</v>
      </c>
      <c r="I675" s="29">
        <f t="shared" si="416"/>
        <v>5.7782618779473642</v>
      </c>
      <c r="J675" s="29">
        <f t="shared" si="417"/>
        <v>-2.8578721835892247</v>
      </c>
      <c r="K675" s="26">
        <f t="shared" si="380"/>
        <v>-3.4785291308119337</v>
      </c>
      <c r="L675" s="26">
        <f t="shared" si="381"/>
        <v>2.9929354900764149E-2</v>
      </c>
      <c r="M675" s="26">
        <f t="shared" si="382"/>
        <v>-1.9986919105001051</v>
      </c>
      <c r="N675" s="26">
        <f t="shared" si="383"/>
        <v>0.1193403314550745</v>
      </c>
      <c r="O675" s="26">
        <f t="shared" si="384"/>
        <v>-1.9934337590643687</v>
      </c>
      <c r="P675" s="26">
        <f t="shared" si="385"/>
        <v>0.11989406084455764</v>
      </c>
      <c r="Q675" s="26">
        <f t="shared" si="386"/>
        <v>7.1872929128992454E-3</v>
      </c>
      <c r="R675" s="26">
        <f t="shared" si="387"/>
        <v>-9.0111163803948457</v>
      </c>
      <c r="S675" s="26">
        <f t="shared" si="388"/>
        <v>1.2203063740608041E-4</v>
      </c>
      <c r="T675" s="26">
        <f t="shared" si="389"/>
        <v>1.697491818713075</v>
      </c>
      <c r="U675" s="26">
        <f t="shared" si="390"/>
        <v>0.845206868047511</v>
      </c>
      <c r="V675" s="26">
        <f t="shared" si="391"/>
        <v>2.0266673906791177</v>
      </c>
      <c r="W675" s="26">
        <f t="shared" si="392"/>
        <v>0.8835686735120154</v>
      </c>
      <c r="X675" s="26">
        <f t="shared" si="393"/>
        <v>6.7781268938758316E-3</v>
      </c>
      <c r="Y675" s="26">
        <f t="shared" si="394"/>
        <v>2.0878028704710578</v>
      </c>
      <c r="Z675" s="26">
        <f t="shared" si="395"/>
        <v>0.88971201783532528</v>
      </c>
      <c r="AA675" s="26">
        <f t="shared" si="396"/>
        <v>-6.0242595521192648</v>
      </c>
      <c r="AB675" s="26">
        <f t="shared" si="397"/>
        <v>2.4135032107779515E-3</v>
      </c>
      <c r="AC675" s="26">
        <f t="shared" si="398"/>
        <v>2.3541115177742831</v>
      </c>
      <c r="AD675" s="26">
        <f t="shared" si="399"/>
        <v>0.91326047851691772</v>
      </c>
      <c r="AE675" s="26">
        <f t="shared" si="400"/>
        <v>3.7618722935570466E-3</v>
      </c>
      <c r="AF675" s="26">
        <f t="shared" si="401"/>
        <v>-3.4447843791118551</v>
      </c>
      <c r="AG675" s="26">
        <f t="shared" si="402"/>
        <v>3.0924781555881228E-2</v>
      </c>
      <c r="AH675" s="26">
        <f t="shared" si="403"/>
        <v>-2.3280758229060843</v>
      </c>
      <c r="AI675" s="26">
        <f t="shared" si="404"/>
        <v>8.8824272444182353E-2</v>
      </c>
      <c r="AJ675" s="26">
        <f t="shared" si="405"/>
        <v>-2.1639478763265254</v>
      </c>
      <c r="AK675" s="26">
        <f t="shared" si="406"/>
        <v>0.10303502122721094</v>
      </c>
      <c r="AL675" s="26">
        <f t="shared" si="407"/>
        <v>5.3081077996459036E-3</v>
      </c>
      <c r="AM675" s="27">
        <f t="shared" si="408"/>
        <v>2.3035399899978028E-2</v>
      </c>
    </row>
    <row r="676" spans="1:39" ht="15" customHeight="1" x14ac:dyDescent="0.2">
      <c r="A676" s="24">
        <v>665</v>
      </c>
      <c r="B676" s="29">
        <f t="shared" si="409"/>
        <v>5.5686038505822619</v>
      </c>
      <c r="C676" s="29">
        <f t="shared" si="410"/>
        <v>-5.5342459556214294</v>
      </c>
      <c r="D676" s="29">
        <f t="shared" si="411"/>
        <v>-3.4783946998094137</v>
      </c>
      <c r="E676" s="29">
        <f t="shared" si="412"/>
        <v>-4.0299252904027218</v>
      </c>
      <c r="F676" s="29">
        <f t="shared" si="413"/>
        <v>3.7007855601877067</v>
      </c>
      <c r="G676" s="29">
        <f t="shared" si="414"/>
        <v>-2.0016773458512147</v>
      </c>
      <c r="H676" s="29">
        <f t="shared" si="415"/>
        <v>5.8478240933059666</v>
      </c>
      <c r="I676" s="29">
        <f t="shared" si="416"/>
        <v>5.7860466375591928</v>
      </c>
      <c r="J676" s="29">
        <f t="shared" si="417"/>
        <v>-2.8611966957881729</v>
      </c>
      <c r="K676" s="26">
        <f t="shared" si="380"/>
        <v>-3.4783946998094137</v>
      </c>
      <c r="L676" s="26">
        <f t="shared" si="381"/>
        <v>2.9933258161837811E-2</v>
      </c>
      <c r="M676" s="26">
        <f t="shared" si="382"/>
        <v>-2.0016773458512147</v>
      </c>
      <c r="N676" s="26">
        <f t="shared" si="383"/>
        <v>0.11902692392348463</v>
      </c>
      <c r="O676" s="26">
        <f t="shared" si="384"/>
        <v>-1.9974569345717383</v>
      </c>
      <c r="P676" s="26">
        <f t="shared" si="385"/>
        <v>0.11947018625182025</v>
      </c>
      <c r="Q676" s="26">
        <f t="shared" si="386"/>
        <v>7.1365627015223107E-3</v>
      </c>
      <c r="R676" s="26">
        <f t="shared" si="387"/>
        <v>-9.0126406554308431</v>
      </c>
      <c r="S676" s="26">
        <f t="shared" si="388"/>
        <v>1.2184479349059599E-4</v>
      </c>
      <c r="T676" s="26">
        <f t="shared" si="389"/>
        <v>1.699108214336492</v>
      </c>
      <c r="U676" s="26">
        <f t="shared" si="390"/>
        <v>0.8454182266902851</v>
      </c>
      <c r="V676" s="26">
        <f t="shared" si="391"/>
        <v>2.031145119003424</v>
      </c>
      <c r="W676" s="26">
        <f t="shared" si="392"/>
        <v>0.88402852956030087</v>
      </c>
      <c r="X676" s="26">
        <f t="shared" si="393"/>
        <v>6.7246909779730048E-3</v>
      </c>
      <c r="Y676" s="26">
        <f t="shared" si="394"/>
        <v>2.0902091507728482</v>
      </c>
      <c r="Z676" s="26">
        <f t="shared" si="395"/>
        <v>0.88994791166588016</v>
      </c>
      <c r="AA676" s="26">
        <f t="shared" si="396"/>
        <v>-6.0316026362539361</v>
      </c>
      <c r="AB676" s="26">
        <f t="shared" si="397"/>
        <v>2.3958878695208522E-3</v>
      </c>
      <c r="AC676" s="26">
        <f t="shared" si="398"/>
        <v>2.3569248627903012</v>
      </c>
      <c r="AD676" s="26">
        <f t="shared" si="399"/>
        <v>0.91348308087385177</v>
      </c>
      <c r="AE676" s="26">
        <f t="shared" si="400"/>
        <v>3.7425886475402365E-3</v>
      </c>
      <c r="AF676" s="26">
        <f t="shared" si="401"/>
        <v>-3.4440368048485812</v>
      </c>
      <c r="AG676" s="26">
        <f t="shared" si="402"/>
        <v>3.0947193047880142E-2</v>
      </c>
      <c r="AH676" s="26">
        <f t="shared" si="403"/>
        <v>-2.3308170760662299</v>
      </c>
      <c r="AI676" s="26">
        <f t="shared" si="404"/>
        <v>8.8602660358440846E-2</v>
      </c>
      <c r="AJ676" s="26">
        <f t="shared" si="405"/>
        <v>-2.1675638296168325</v>
      </c>
      <c r="AK676" s="26">
        <f t="shared" si="406"/>
        <v>0.10270131850567726</v>
      </c>
      <c r="AL676" s="26">
        <f t="shared" si="407"/>
        <v>5.2737804114022834E-3</v>
      </c>
      <c r="AM676" s="27">
        <f t="shared" si="408"/>
        <v>2.2877622738437835E-2</v>
      </c>
    </row>
    <row r="677" spans="1:39" ht="15" customHeight="1" x14ac:dyDescent="0.2">
      <c r="A677" s="24">
        <v>666</v>
      </c>
      <c r="B677" s="29">
        <f t="shared" si="409"/>
        <v>5.5708602187915366</v>
      </c>
      <c r="C677" s="29">
        <f t="shared" si="410"/>
        <v>-5.5358972708872169</v>
      </c>
      <c r="D677" s="29">
        <f t="shared" si="411"/>
        <v>-3.4782639525322838</v>
      </c>
      <c r="E677" s="29">
        <f t="shared" si="412"/>
        <v>-4.0342527990314974</v>
      </c>
      <c r="F677" s="29">
        <f t="shared" si="413"/>
        <v>3.7053539204690797</v>
      </c>
      <c r="G677" s="29">
        <f t="shared" si="414"/>
        <v>-2.0046396547377392</v>
      </c>
      <c r="H677" s="29">
        <f t="shared" si="415"/>
        <v>5.8532415420731612</v>
      </c>
      <c r="I677" s="29">
        <f t="shared" si="416"/>
        <v>5.7937802525505351</v>
      </c>
      <c r="J677" s="29">
        <f t="shared" si="417"/>
        <v>-2.864501700489797</v>
      </c>
      <c r="K677" s="26">
        <f t="shared" si="380"/>
        <v>-3.4782639525322838</v>
      </c>
      <c r="L677" s="26">
        <f t="shared" si="381"/>
        <v>2.9937054937629316E-2</v>
      </c>
      <c r="M677" s="26">
        <f t="shared" si="382"/>
        <v>-2.0046396547377392</v>
      </c>
      <c r="N677" s="26">
        <f t="shared" si="383"/>
        <v>0.11871664804128437</v>
      </c>
      <c r="O677" s="26">
        <f t="shared" si="384"/>
        <v>-2.001454715810953</v>
      </c>
      <c r="P677" s="26">
        <f t="shared" si="385"/>
        <v>0.11905027078169066</v>
      </c>
      <c r="Q677" s="26">
        <f t="shared" si="386"/>
        <v>7.0864834865969339E-3</v>
      </c>
      <c r="R677" s="26">
        <f t="shared" si="387"/>
        <v>-9.0141612234195012</v>
      </c>
      <c r="S677" s="26">
        <f t="shared" si="388"/>
        <v>1.2165968351014149E-4</v>
      </c>
      <c r="T677" s="26">
        <f t="shared" si="389"/>
        <v>1.7007142657313405</v>
      </c>
      <c r="U677" s="26">
        <f t="shared" si="390"/>
        <v>0.84562799910393527</v>
      </c>
      <c r="V677" s="26">
        <f t="shared" si="391"/>
        <v>2.0355932052359216</v>
      </c>
      <c r="W677" s="26">
        <f t="shared" si="392"/>
        <v>0.88448377824783042</v>
      </c>
      <c r="X677" s="26">
        <f t="shared" si="393"/>
        <v>6.6719987439482079E-3</v>
      </c>
      <c r="Y677" s="26">
        <f t="shared" si="394"/>
        <v>2.0925962662592528</v>
      </c>
      <c r="Z677" s="26">
        <f t="shared" si="395"/>
        <v>0.89018148971419397</v>
      </c>
      <c r="AA677" s="26">
        <f t="shared" si="396"/>
        <v>-6.0388924537692361</v>
      </c>
      <c r="AB677" s="26">
        <f t="shared" si="397"/>
        <v>2.3785271815390265E-3</v>
      </c>
      <c r="AC677" s="26">
        <f t="shared" si="398"/>
        <v>2.3597262389044515</v>
      </c>
      <c r="AD677" s="26">
        <f t="shared" si="399"/>
        <v>0.91370422221026359</v>
      </c>
      <c r="AE677" s="26">
        <f t="shared" si="400"/>
        <v>3.7234806321677816E-3</v>
      </c>
      <c r="AF677" s="26">
        <f t="shared" si="401"/>
        <v>-3.4433010046279642</v>
      </c>
      <c r="AG677" s="26">
        <f t="shared" si="402"/>
        <v>3.0969266919662054E-2</v>
      </c>
      <c r="AH677" s="26">
        <f t="shared" si="403"/>
        <v>-2.3335385333001568</v>
      </c>
      <c r="AI677" s="26">
        <f t="shared" si="404"/>
        <v>8.8383142528553477E-2</v>
      </c>
      <c r="AJ677" s="26">
        <f t="shared" si="405"/>
        <v>-2.1711585949877863</v>
      </c>
      <c r="AK677" s="26">
        <f t="shared" si="406"/>
        <v>0.10237052016968833</v>
      </c>
      <c r="AL677" s="26">
        <f t="shared" si="407"/>
        <v>5.2398616999062824E-3</v>
      </c>
      <c r="AM677" s="27">
        <f t="shared" si="408"/>
        <v>2.2721824562619203E-2</v>
      </c>
    </row>
    <row r="678" spans="1:39" ht="15" customHeight="1" x14ac:dyDescent="0.2">
      <c r="A678" s="24">
        <v>667</v>
      </c>
      <c r="B678" s="29">
        <f t="shared" si="409"/>
        <v>5.573101287569532</v>
      </c>
      <c r="C678" s="29">
        <f t="shared" si="410"/>
        <v>-5.5375412545781133</v>
      </c>
      <c r="D678" s="29">
        <f t="shared" si="411"/>
        <v>-3.4781368317621362</v>
      </c>
      <c r="E678" s="29">
        <f t="shared" si="412"/>
        <v>-4.0385505300048488</v>
      </c>
      <c r="F678" s="29">
        <f t="shared" si="413"/>
        <v>3.7098892374077166</v>
      </c>
      <c r="G678" s="29">
        <f t="shared" si="414"/>
        <v>-2.0075791411225206</v>
      </c>
      <c r="H678" s="29">
        <f t="shared" si="415"/>
        <v>5.8586349483405735</v>
      </c>
      <c r="I678" s="29">
        <f t="shared" si="416"/>
        <v>5.8014633337636603</v>
      </c>
      <c r="J678" s="29">
        <f t="shared" si="417"/>
        <v>-2.8677874113063075</v>
      </c>
      <c r="K678" s="26">
        <f t="shared" si="380"/>
        <v>-3.4781368317621362</v>
      </c>
      <c r="L678" s="26">
        <f t="shared" si="381"/>
        <v>2.9940746850614052E-2</v>
      </c>
      <c r="M678" s="26">
        <f t="shared" si="382"/>
        <v>-2.0075791411225206</v>
      </c>
      <c r="N678" s="26">
        <f t="shared" si="383"/>
        <v>0.11840945465756723</v>
      </c>
      <c r="O678" s="26">
        <f t="shared" si="384"/>
        <v>-2.0054273958610551</v>
      </c>
      <c r="P678" s="26">
        <f t="shared" si="385"/>
        <v>0.11863425694802972</v>
      </c>
      <c r="Q678" s="26">
        <f t="shared" si="386"/>
        <v>7.0370434608055688E-3</v>
      </c>
      <c r="R678" s="26">
        <f t="shared" si="387"/>
        <v>-9.0156780863402499</v>
      </c>
      <c r="S678" s="26">
        <f t="shared" si="388"/>
        <v>1.2147530473847051E-4</v>
      </c>
      <c r="T678" s="26">
        <f t="shared" si="389"/>
        <v>1.702310096285196</v>
      </c>
      <c r="U678" s="26">
        <f t="shared" si="390"/>
        <v>0.84583620599349618</v>
      </c>
      <c r="V678" s="26">
        <f t="shared" si="391"/>
        <v>2.0400120036004279</v>
      </c>
      <c r="W678" s="26">
        <f t="shared" si="392"/>
        <v>0.88493449023197179</v>
      </c>
      <c r="X678" s="26">
        <f t="shared" si="393"/>
        <v>6.6200357690880977E-3</v>
      </c>
      <c r="Y678" s="26">
        <f t="shared" si="394"/>
        <v>2.0949644558073959</v>
      </c>
      <c r="Z678" s="26">
        <f t="shared" si="395"/>
        <v>0.89041278631571175</v>
      </c>
      <c r="AA678" s="26">
        <f t="shared" si="396"/>
        <v>-6.0461296711273693</v>
      </c>
      <c r="AB678" s="26">
        <f t="shared" si="397"/>
        <v>2.3614159062503512E-3</v>
      </c>
      <c r="AC678" s="26">
        <f t="shared" si="398"/>
        <v>2.3625157248481066</v>
      </c>
      <c r="AD678" s="26">
        <f t="shared" si="399"/>
        <v>0.91392391620145363</v>
      </c>
      <c r="AE678" s="26">
        <f t="shared" si="400"/>
        <v>3.7045461010471879E-3</v>
      </c>
      <c r="AF678" s="26">
        <f t="shared" si="401"/>
        <v>-3.4425767987707174</v>
      </c>
      <c r="AG678" s="26">
        <f t="shared" si="402"/>
        <v>3.0991007845480343E-2</v>
      </c>
      <c r="AH678" s="26">
        <f t="shared" si="403"/>
        <v>-2.3362404337196527</v>
      </c>
      <c r="AI678" s="26">
        <f t="shared" si="404"/>
        <v>8.8165688163317338E-2</v>
      </c>
      <c r="AJ678" s="26">
        <f t="shared" si="405"/>
        <v>-2.1747324024829533</v>
      </c>
      <c r="AK678" s="26">
        <f t="shared" si="406"/>
        <v>0.10204258651101288</v>
      </c>
      <c r="AL678" s="26">
        <f t="shared" si="407"/>
        <v>5.2063447309287731E-3</v>
      </c>
      <c r="AM678" s="27">
        <f t="shared" si="408"/>
        <v>2.2567970061869627E-2</v>
      </c>
    </row>
    <row r="679" spans="1:39" ht="15" customHeight="1" x14ac:dyDescent="0.2">
      <c r="A679" s="24">
        <v>668</v>
      </c>
      <c r="B679" s="29">
        <f t="shared" si="409"/>
        <v>5.5753272357317654</v>
      </c>
      <c r="C679" s="29">
        <f t="shared" si="410"/>
        <v>-5.5391779652345559</v>
      </c>
      <c r="D679" s="29">
        <f t="shared" si="411"/>
        <v>-3.478013281217756</v>
      </c>
      <c r="E679" s="29">
        <f t="shared" si="412"/>
        <v>-4.0428188398109555</v>
      </c>
      <c r="F679" s="29">
        <f t="shared" si="413"/>
        <v>3.7143919307984437</v>
      </c>
      <c r="G679" s="29">
        <f t="shared" si="414"/>
        <v>-2.0104961034948716</v>
      </c>
      <c r="H679" s="29">
        <f t="shared" si="415"/>
        <v>5.8640044970099083</v>
      </c>
      <c r="I679" s="29">
        <f t="shared" si="416"/>
        <v>5.8090964818621327</v>
      </c>
      <c r="J679" s="29">
        <f t="shared" si="417"/>
        <v>-2.8710540385622783</v>
      </c>
      <c r="K679" s="26">
        <f t="shared" si="380"/>
        <v>-3.478013281217756</v>
      </c>
      <c r="L679" s="26">
        <f t="shared" si="381"/>
        <v>2.9944335497918396E-2</v>
      </c>
      <c r="M679" s="26">
        <f t="shared" si="382"/>
        <v>-2.0104961034948716</v>
      </c>
      <c r="N679" s="26">
        <f t="shared" si="383"/>
        <v>0.11810529564735206</v>
      </c>
      <c r="O679" s="26">
        <f t="shared" si="384"/>
        <v>-2.0093752631081916</v>
      </c>
      <c r="P679" s="26">
        <f t="shared" si="385"/>
        <v>0.11822208836607397</v>
      </c>
      <c r="Q679" s="26">
        <f t="shared" si="386"/>
        <v>6.9882310888179011E-3</v>
      </c>
      <c r="R679" s="26">
        <f t="shared" si="387"/>
        <v>-9.0171912464523114</v>
      </c>
      <c r="S679" s="26">
        <f t="shared" si="388"/>
        <v>1.21291654428754E-4</v>
      </c>
      <c r="T679" s="26">
        <f t="shared" si="389"/>
        <v>1.703895827303572</v>
      </c>
      <c r="U679" s="26">
        <f t="shared" si="390"/>
        <v>0.8460428676891113</v>
      </c>
      <c r="V679" s="26">
        <f t="shared" si="391"/>
        <v>2.0444018624421081</v>
      </c>
      <c r="W679" s="26">
        <f t="shared" si="392"/>
        <v>0.88538073474807999</v>
      </c>
      <c r="X679" s="26">
        <f t="shared" si="393"/>
        <v>6.5687879834449986E-3</v>
      </c>
      <c r="Y679" s="26">
        <f t="shared" si="394"/>
        <v>2.0973139545140094</v>
      </c>
      <c r="Z679" s="26">
        <f t="shared" si="395"/>
        <v>0.89064183515684969</v>
      </c>
      <c r="AA679" s="26">
        <f t="shared" si="396"/>
        <v>-6.0533149433058266</v>
      </c>
      <c r="AB679" s="26">
        <f t="shared" si="397"/>
        <v>2.3445489406115493E-3</v>
      </c>
      <c r="AC679" s="26">
        <f t="shared" si="398"/>
        <v>2.3652933990251053</v>
      </c>
      <c r="AD679" s="26">
        <f t="shared" si="399"/>
        <v>0.91414217638853412</v>
      </c>
      <c r="AE679" s="26">
        <f t="shared" si="400"/>
        <v>3.685782937648794E-3</v>
      </c>
      <c r="AF679" s="26">
        <f t="shared" si="401"/>
        <v>-3.4418640107205465</v>
      </c>
      <c r="AG679" s="26">
        <f t="shared" si="402"/>
        <v>3.1012420430957015E-2</v>
      </c>
      <c r="AH679" s="26">
        <f t="shared" si="403"/>
        <v>-2.3389230125073834</v>
      </c>
      <c r="AI679" s="26">
        <f t="shared" si="404"/>
        <v>8.7950267070880037E-2</v>
      </c>
      <c r="AJ679" s="26">
        <f t="shared" si="405"/>
        <v>-2.1782854786717003</v>
      </c>
      <c r="AK679" s="26">
        <f t="shared" si="406"/>
        <v>0.10171747854154735</v>
      </c>
      <c r="AL679" s="26">
        <f t="shared" si="407"/>
        <v>5.1732227204250728E-3</v>
      </c>
      <c r="AM679" s="27">
        <f t="shared" si="408"/>
        <v>2.2416024730336766E-2</v>
      </c>
    </row>
    <row r="680" spans="1:39" ht="15" customHeight="1" x14ac:dyDescent="0.2">
      <c r="A680" s="24">
        <v>669</v>
      </c>
      <c r="B680" s="29">
        <f t="shared" si="409"/>
        <v>5.5775382393032356</v>
      </c>
      <c r="C680" s="29">
        <f t="shared" si="410"/>
        <v>-5.5408074607485371</v>
      </c>
      <c r="D680" s="29">
        <f t="shared" si="411"/>
        <v>-3.4778932455400891</v>
      </c>
      <c r="E680" s="29">
        <f t="shared" si="412"/>
        <v>-4.0470580790505277</v>
      </c>
      <c r="F680" s="29">
        <f t="shared" si="413"/>
        <v>3.7188624130468435</v>
      </c>
      <c r="G680" s="29">
        <f t="shared" si="414"/>
        <v>-2.0133908349932366</v>
      </c>
      <c r="H680" s="29">
        <f t="shared" si="415"/>
        <v>5.8693503712540052</v>
      </c>
      <c r="I680" s="29">
        <f t="shared" si="416"/>
        <v>5.8166802875418888</v>
      </c>
      <c r="J680" s="29">
        <f t="shared" si="417"/>
        <v>-2.874301789357034</v>
      </c>
      <c r="K680" s="26">
        <f t="shared" si="380"/>
        <v>-3.4778932455400891</v>
      </c>
      <c r="L680" s="26">
        <f t="shared" si="381"/>
        <v>2.9947822451685684E-2</v>
      </c>
      <c r="M680" s="26">
        <f t="shared" si="382"/>
        <v>-2.0133908349932366</v>
      </c>
      <c r="N680" s="26">
        <f t="shared" si="383"/>
        <v>0.11780412388527207</v>
      </c>
      <c r="O680" s="26">
        <f t="shared" si="384"/>
        <v>-2.0132986013373788</v>
      </c>
      <c r="P680" s="26">
        <f t="shared" si="385"/>
        <v>0.11781370972690036</v>
      </c>
      <c r="Q680" s="26">
        <f t="shared" si="386"/>
        <v>6.9400350998071684E-3</v>
      </c>
      <c r="R680" s="26">
        <f t="shared" si="387"/>
        <v>-9.0187007062886266</v>
      </c>
      <c r="S680" s="26">
        <f t="shared" si="388"/>
        <v>1.2110872981450242E-4</v>
      </c>
      <c r="T680" s="26">
        <f t="shared" si="389"/>
        <v>1.7054715780536069</v>
      </c>
      <c r="U680" s="26">
        <f t="shared" si="390"/>
        <v>0.84624800415446266</v>
      </c>
      <c r="V680" s="26">
        <f t="shared" si="391"/>
        <v>2.048763124348195</v>
      </c>
      <c r="W680" s="26">
        <f t="shared" si="392"/>
        <v>0.88582257964419564</v>
      </c>
      <c r="X680" s="26">
        <f t="shared" si="393"/>
        <v>6.5182416595530243E-3</v>
      </c>
      <c r="Y680" s="26">
        <f t="shared" si="394"/>
        <v>2.0996449937631465</v>
      </c>
      <c r="Z680" s="26">
        <f t="shared" si="395"/>
        <v>0.89086866928936481</v>
      </c>
      <c r="AA680" s="26">
        <f t="shared" si="396"/>
        <v>-6.0604489140437643</v>
      </c>
      <c r="AB680" s="26">
        <f t="shared" si="397"/>
        <v>2.3279213147739475E-3</v>
      </c>
      <c r="AC680" s="26">
        <f t="shared" si="398"/>
        <v>2.3680593394976555</v>
      </c>
      <c r="AD680" s="26">
        <f t="shared" si="399"/>
        <v>0.91435901617872584</v>
      </c>
      <c r="AE680" s="26">
        <f t="shared" si="400"/>
        <v>3.6671890549378715E-3</v>
      </c>
      <c r="AF680" s="26">
        <f t="shared" si="401"/>
        <v>-3.4411624669853906</v>
      </c>
      <c r="AG680" s="26">
        <f t="shared" si="402"/>
        <v>3.10335092140165E-2</v>
      </c>
      <c r="AH680" s="26">
        <f t="shared" si="403"/>
        <v>-2.3415865009969208</v>
      </c>
      <c r="AI680" s="26">
        <f t="shared" si="404"/>
        <v>8.7736849644432985E-2</v>
      </c>
      <c r="AJ680" s="26">
        <f t="shared" si="405"/>
        <v>-2.1818180467126318</v>
      </c>
      <c r="AK680" s="26">
        <f t="shared" si="406"/>
        <v>0.1013951579775115</v>
      </c>
      <c r="AL680" s="26">
        <f t="shared" si="407"/>
        <v>5.1404890306422568E-3</v>
      </c>
      <c r="AM680" s="27">
        <f t="shared" si="408"/>
        <v>2.2265954844940324E-2</v>
      </c>
    </row>
    <row r="681" spans="1:39" ht="15" customHeight="1" x14ac:dyDescent="0.2">
      <c r="A681" s="24">
        <v>670</v>
      </c>
      <c r="B681" s="29">
        <f t="shared" si="409"/>
        <v>5.5797344715700605</v>
      </c>
      <c r="C681" s="29">
        <f t="shared" si="410"/>
        <v>-5.5424297983724244</v>
      </c>
      <c r="D681" s="29">
        <f t="shared" si="411"/>
        <v>-3.4777766702773629</v>
      </c>
      <c r="E681" s="29">
        <f t="shared" si="412"/>
        <v>-4.0512685925575695</v>
      </c>
      <c r="F681" s="29">
        <f t="shared" si="413"/>
        <v>3.7233010893313332</v>
      </c>
      <c r="G681" s="29">
        <f t="shared" si="414"/>
        <v>-2.0162636235246243</v>
      </c>
      <c r="H681" s="29">
        <f t="shared" si="415"/>
        <v>5.8746727525286833</v>
      </c>
      <c r="I681" s="29">
        <f t="shared" si="416"/>
        <v>5.8242153317372427</v>
      </c>
      <c r="J681" s="29">
        <f t="shared" si="417"/>
        <v>-2.8775308676257114</v>
      </c>
      <c r="K681" s="26">
        <f t="shared" si="380"/>
        <v>-3.4777766702773629</v>
      </c>
      <c r="L681" s="26">
        <f t="shared" si="381"/>
        <v>2.9951209259440146E-2</v>
      </c>
      <c r="M681" s="26">
        <f t="shared" si="382"/>
        <v>-2.0162636235246243</v>
      </c>
      <c r="N681" s="26">
        <f t="shared" si="383"/>
        <v>0.11750589322005411</v>
      </c>
      <c r="O681" s="26">
        <f t="shared" si="384"/>
        <v>-2.0171976898222752</v>
      </c>
      <c r="P681" s="26">
        <f t="shared" si="385"/>
        <v>0.1174090667725658</v>
      </c>
      <c r="Q681" s="26">
        <f t="shared" si="386"/>
        <v>6.8924444802024067E-3</v>
      </c>
      <c r="R681" s="26">
        <f t="shared" si="387"/>
        <v>-9.0202064686497874</v>
      </c>
      <c r="S681" s="26">
        <f t="shared" si="388"/>
        <v>1.2092652811047817E-4</v>
      </c>
      <c r="T681" s="26">
        <f t="shared" si="389"/>
        <v>1.7070374658067089</v>
      </c>
      <c r="U681" s="26">
        <f t="shared" si="390"/>
        <v>0.84645163499498233</v>
      </c>
      <c r="V681" s="26">
        <f t="shared" si="391"/>
        <v>2.0530961262658702</v>
      </c>
      <c r="W681" s="26">
        <f t="shared" si="392"/>
        <v>0.88626009141476836</v>
      </c>
      <c r="X681" s="26">
        <f t="shared" si="393"/>
        <v>6.4683834024884248E-3</v>
      </c>
      <c r="Y681" s="26">
        <f t="shared" si="394"/>
        <v>2.1019578012926976</v>
      </c>
      <c r="Z681" s="26">
        <f t="shared" si="395"/>
        <v>0.89109332114437811</v>
      </c>
      <c r="AA681" s="26">
        <f t="shared" si="396"/>
        <v>-6.0675322160821938</v>
      </c>
      <c r="AB681" s="26">
        <f t="shared" si="397"/>
        <v>2.3115281878984934E-3</v>
      </c>
      <c r="AC681" s="26">
        <f t="shared" si="398"/>
        <v>2.3708136239731599</v>
      </c>
      <c r="AD681" s="26">
        <f t="shared" si="399"/>
        <v>0.91457444884572858</v>
      </c>
      <c r="AE681" s="26">
        <f t="shared" si="400"/>
        <v>3.6487623950055212E-3</v>
      </c>
      <c r="AF681" s="26">
        <f t="shared" si="401"/>
        <v>-3.4404719970797268</v>
      </c>
      <c r="AG681" s="26">
        <f t="shared" si="402"/>
        <v>3.1054278665814727E-2</v>
      </c>
      <c r="AH681" s="26">
        <f t="shared" si="403"/>
        <v>-2.3442311267508606</v>
      </c>
      <c r="AI681" s="26">
        <f t="shared" si="404"/>
        <v>8.7525406848304496E-2</v>
      </c>
      <c r="AJ681" s="26">
        <f t="shared" si="405"/>
        <v>-2.185330326415782</v>
      </c>
      <c r="AK681" s="26">
        <f t="shared" si="406"/>
        <v>0.10107558722403676</v>
      </c>
      <c r="AL681" s="26">
        <f t="shared" si="407"/>
        <v>5.1081371663419311E-3</v>
      </c>
      <c r="AM681" s="27">
        <f t="shared" si="408"/>
        <v>2.2117727444038286E-2</v>
      </c>
    </row>
    <row r="682" spans="1:39" ht="15" customHeight="1" x14ac:dyDescent="0.2">
      <c r="A682" s="24">
        <v>671</v>
      </c>
      <c r="B682" s="29">
        <f t="shared" si="409"/>
        <v>5.5819161031300828</v>
      </c>
      <c r="C682" s="29">
        <f t="shared" si="410"/>
        <v>-5.5440450347276453</v>
      </c>
      <c r="D682" s="29">
        <f t="shared" si="411"/>
        <v>-3.4776635018703694</v>
      </c>
      <c r="E682" s="29">
        <f t="shared" si="412"/>
        <v>-4.0554507195172613</v>
      </c>
      <c r="F682" s="29">
        <f t="shared" si="413"/>
        <v>3.7277083577610912</v>
      </c>
      <c r="G682" s="29">
        <f t="shared" si="414"/>
        <v>-2.0191147518809132</v>
      </c>
      <c r="H682" s="29">
        <f t="shared" si="415"/>
        <v>5.8799718205848484</v>
      </c>
      <c r="I682" s="29">
        <f t="shared" si="416"/>
        <v>5.8317021858219578</v>
      </c>
      <c r="J682" s="29">
        <f t="shared" si="417"/>
        <v>-2.8807414741990249</v>
      </c>
      <c r="K682" s="26">
        <f t="shared" si="380"/>
        <v>-3.4776635018703694</v>
      </c>
      <c r="L682" s="26">
        <f t="shared" si="381"/>
        <v>2.9954497444448513E-2</v>
      </c>
      <c r="M682" s="26">
        <f t="shared" si="382"/>
        <v>-2.0191147518809132</v>
      </c>
      <c r="N682" s="26">
        <f t="shared" si="383"/>
        <v>0.11721055844976074</v>
      </c>
      <c r="O682" s="26">
        <f t="shared" si="384"/>
        <v>-2.0210728034130048</v>
      </c>
      <c r="P682" s="26">
        <f t="shared" si="385"/>
        <v>0.117008106271902</v>
      </c>
      <c r="Q682" s="26">
        <f t="shared" si="386"/>
        <v>6.8454484666683564E-3</v>
      </c>
      <c r="R682" s="26">
        <f t="shared" si="387"/>
        <v>-9.0217085365980143</v>
      </c>
      <c r="S682" s="26">
        <f t="shared" si="388"/>
        <v>1.2074504651359328E-4</v>
      </c>
      <c r="T682" s="26">
        <f t="shared" si="389"/>
        <v>1.7085936058801781</v>
      </c>
      <c r="U682" s="26">
        <f t="shared" si="390"/>
        <v>0.84665377946585074</v>
      </c>
      <c r="V682" s="26">
        <f t="shared" si="391"/>
        <v>2.0574011996173733</v>
      </c>
      <c r="W682" s="26">
        <f t="shared" si="392"/>
        <v>0.88669333523343585</v>
      </c>
      <c r="X682" s="26">
        <f t="shared" si="393"/>
        <v>6.4192001402612747E-3</v>
      </c>
      <c r="Y682" s="26">
        <f t="shared" si="394"/>
        <v>2.1042526012597134</v>
      </c>
      <c r="Z682" s="26">
        <f t="shared" si="395"/>
        <v>0.89131582254605257</v>
      </c>
      <c r="AA682" s="26">
        <f t="shared" si="396"/>
        <v>-6.0745654713981745</v>
      </c>
      <c r="AB682" s="26">
        <f t="shared" si="397"/>
        <v>2.2953648441233852E-3</v>
      </c>
      <c r="AC682" s="26">
        <f t="shared" si="398"/>
        <v>2.3735563297919025</v>
      </c>
      <c r="AD682" s="26">
        <f t="shared" si="399"/>
        <v>0.91478848753015285</v>
      </c>
      <c r="AE682" s="26">
        <f t="shared" si="400"/>
        <v>3.6305009286994581E-3</v>
      </c>
      <c r="AF682" s="26">
        <f t="shared" si="401"/>
        <v>-3.439792433467932</v>
      </c>
      <c r="AG682" s="26">
        <f t="shared" si="402"/>
        <v>3.1074733191662901E-2</v>
      </c>
      <c r="AH682" s="26">
        <f t="shared" si="403"/>
        <v>-2.3468571136370833</v>
      </c>
      <c r="AI682" s="26">
        <f t="shared" si="404"/>
        <v>8.7315910204440045E-2</v>
      </c>
      <c r="AJ682" s="26">
        <f t="shared" si="405"/>
        <v>-2.1888225343035876</v>
      </c>
      <c r="AK682" s="26">
        <f t="shared" si="406"/>
        <v>0.10075872936013665</v>
      </c>
      <c r="AL682" s="26">
        <f t="shared" si="407"/>
        <v>5.0761607711346315E-3</v>
      </c>
      <c r="AM682" s="27">
        <f t="shared" si="408"/>
        <v>2.1971310306763723E-2</v>
      </c>
    </row>
    <row r="683" spans="1:39" ht="15" customHeight="1" x14ac:dyDescent="0.2">
      <c r="A683" s="24">
        <v>672</v>
      </c>
      <c r="B683" s="29">
        <f t="shared" si="409"/>
        <v>5.5840833019424672</v>
      </c>
      <c r="C683" s="29">
        <f t="shared" si="410"/>
        <v>-5.5456532258132452</v>
      </c>
      <c r="D683" s="29">
        <f t="shared" si="411"/>
        <v>-3.4775536876379078</v>
      </c>
      <c r="E683" s="29">
        <f t="shared" si="412"/>
        <v>-4.0596047935810446</v>
      </c>
      <c r="F683" s="29">
        <f t="shared" si="413"/>
        <v>3.7320846095299522</v>
      </c>
      <c r="G683" s="29">
        <f t="shared" si="414"/>
        <v>-2.021944497852119</v>
      </c>
      <c r="H683" s="29">
        <f t="shared" si="415"/>
        <v>5.8852477534808472</v>
      </c>
      <c r="I683" s="29">
        <f t="shared" si="416"/>
        <v>5.8391414118055112</v>
      </c>
      <c r="J683" s="29">
        <f t="shared" si="417"/>
        <v>-2.8839338068617608</v>
      </c>
      <c r="K683" s="26">
        <f t="shared" si="380"/>
        <v>-3.4775536876379078</v>
      </c>
      <c r="L683" s="26">
        <f t="shared" si="381"/>
        <v>2.9957688506079268E-2</v>
      </c>
      <c r="M683" s="26">
        <f t="shared" si="382"/>
        <v>-2.021944497852119</v>
      </c>
      <c r="N683" s="26">
        <f t="shared" si="383"/>
        <v>0.11691807529776975</v>
      </c>
      <c r="O683" s="26">
        <f t="shared" si="384"/>
        <v>-2.0249242126220763</v>
      </c>
      <c r="P683" s="26">
        <f t="shared" si="385"/>
        <v>0.11661077599694672</v>
      </c>
      <c r="Q683" s="26">
        <f t="shared" si="386"/>
        <v>6.799036539305043E-3</v>
      </c>
      <c r="R683" s="26">
        <f t="shared" si="387"/>
        <v>-9.023206913451153</v>
      </c>
      <c r="S683" s="26">
        <f t="shared" si="388"/>
        <v>1.2056428220379575E-4</v>
      </c>
      <c r="T683" s="26">
        <f t="shared" si="389"/>
        <v>1.7101401116778332</v>
      </c>
      <c r="U683" s="26">
        <f t="shared" si="390"/>
        <v>0.8468544564797883</v>
      </c>
      <c r="V683" s="26">
        <f t="shared" si="391"/>
        <v>2.0616786704124093</v>
      </c>
      <c r="W683" s="26">
        <f t="shared" si="392"/>
        <v>0.88712237498488844</v>
      </c>
      <c r="X683" s="26">
        <f t="shared" si="393"/>
        <v>6.3706791145260698E-3</v>
      </c>
      <c r="Y683" s="26">
        <f t="shared" si="394"/>
        <v>2.1065296143045593</v>
      </c>
      <c r="Z683" s="26">
        <f t="shared" si="395"/>
        <v>0.8915362047249441</v>
      </c>
      <c r="AA683" s="26">
        <f t="shared" si="396"/>
        <v>-6.0815492914331637</v>
      </c>
      <c r="AB683" s="26">
        <f t="shared" si="397"/>
        <v>2.2794266886780341E-3</v>
      </c>
      <c r="AC683" s="26">
        <f t="shared" si="398"/>
        <v>2.3762875339155918</v>
      </c>
      <c r="AD683" s="26">
        <f t="shared" si="399"/>
        <v>0.91500114524001741</v>
      </c>
      <c r="AE683" s="26">
        <f t="shared" si="400"/>
        <v>3.6124026552543076E-3</v>
      </c>
      <c r="AF683" s="26">
        <f t="shared" si="401"/>
        <v>-3.4391236115086858</v>
      </c>
      <c r="AG683" s="26">
        <f t="shared" si="402"/>
        <v>3.1094877131945624E-2</v>
      </c>
      <c r="AH683" s="26">
        <f t="shared" si="403"/>
        <v>-2.3494646819032114</v>
      </c>
      <c r="AI683" s="26">
        <f t="shared" si="404"/>
        <v>8.7108331779257253E-2</v>
      </c>
      <c r="AJ683" s="26">
        <f t="shared" si="405"/>
        <v>-2.1922948836706597</v>
      </c>
      <c r="AK683" s="26">
        <f t="shared" si="406"/>
        <v>0.10044454812404963</v>
      </c>
      <c r="AL683" s="26">
        <f t="shared" si="407"/>
        <v>5.0445536239222604E-3</v>
      </c>
      <c r="AM683" s="27">
        <f t="shared" si="408"/>
        <v>2.182667193300768E-2</v>
      </c>
    </row>
    <row r="684" spans="1:39" ht="15" customHeight="1" x14ac:dyDescent="0.2">
      <c r="A684" s="24">
        <v>673</v>
      </c>
      <c r="B684" s="29">
        <f t="shared" si="409"/>
        <v>5.5862362333763071</v>
      </c>
      <c r="C684" s="29">
        <f t="shared" si="410"/>
        <v>-5.5472544270143098</v>
      </c>
      <c r="D684" s="29">
        <f t="shared" si="411"/>
        <v>-3.4774471757624008</v>
      </c>
      <c r="E684" s="29">
        <f t="shared" si="412"/>
        <v>-4.0637311429789724</v>
      </c>
      <c r="F684" s="29">
        <f t="shared" si="413"/>
        <v>3.736430229066384</v>
      </c>
      <c r="G684" s="29">
        <f t="shared" si="414"/>
        <v>-2.0247531343367129</v>
      </c>
      <c r="H684" s="29">
        <f t="shared" si="415"/>
        <v>5.8905007275950334</v>
      </c>
      <c r="I684" s="29">
        <f t="shared" si="416"/>
        <v>5.846533562524673</v>
      </c>
      <c r="J684" s="29">
        <f t="shared" si="417"/>
        <v>-2.887108060410029</v>
      </c>
      <c r="K684" s="26">
        <f t="shared" si="380"/>
        <v>-3.4774471757624008</v>
      </c>
      <c r="L684" s="26">
        <f t="shared" si="381"/>
        <v>2.996078392015911E-2</v>
      </c>
      <c r="M684" s="26">
        <f t="shared" si="382"/>
        <v>-2.0247531343367129</v>
      </c>
      <c r="N684" s="26">
        <f t="shared" si="383"/>
        <v>0.11662840038946601</v>
      </c>
      <c r="O684" s="26">
        <f t="shared" si="384"/>
        <v>-2.0287521837084355</v>
      </c>
      <c r="P684" s="26">
        <f t="shared" si="385"/>
        <v>0.1162170246999938</v>
      </c>
      <c r="Q684" s="26">
        <f t="shared" si="386"/>
        <v>6.7531984150594844E-3</v>
      </c>
      <c r="R684" s="26">
        <f t="shared" si="387"/>
        <v>-9.0247016027767106</v>
      </c>
      <c r="S684" s="26">
        <f t="shared" si="388"/>
        <v>1.203842323449425E-4</v>
      </c>
      <c r="T684" s="26">
        <f t="shared" si="389"/>
        <v>1.7116770947296711</v>
      </c>
      <c r="U684" s="26">
        <f t="shared" si="390"/>
        <v>0.84705368461464459</v>
      </c>
      <c r="V684" s="26">
        <f t="shared" si="391"/>
        <v>2.0659288593578995</v>
      </c>
      <c r="W684" s="26">
        <f t="shared" si="392"/>
        <v>0.88754727329584504</v>
      </c>
      <c r="X684" s="26">
        <f t="shared" si="393"/>
        <v>6.3228078715996828E-3</v>
      </c>
      <c r="Y684" s="26">
        <f t="shared" si="394"/>
        <v>2.1087890576139063</v>
      </c>
      <c r="Z684" s="26">
        <f t="shared" si="395"/>
        <v>0.89175449833102416</v>
      </c>
      <c r="AA684" s="26">
        <f t="shared" si="396"/>
        <v>-6.0884842773156853</v>
      </c>
      <c r="AB684" s="26">
        <f t="shared" si="397"/>
        <v>2.2637092441373618E-3</v>
      </c>
      <c r="AC684" s="26">
        <f t="shared" si="398"/>
        <v>2.3790073129166598</v>
      </c>
      <c r="AD684" s="26">
        <f t="shared" si="399"/>
        <v>0.91521243485129911</v>
      </c>
      <c r="AE684" s="26">
        <f t="shared" si="400"/>
        <v>3.5944656019225993E-3</v>
      </c>
      <c r="AF684" s="26">
        <f t="shared" si="401"/>
        <v>-3.4384653694004035</v>
      </c>
      <c r="AG684" s="26">
        <f t="shared" si="402"/>
        <v>3.1114714763032743E-2</v>
      </c>
      <c r="AH684" s="26">
        <f t="shared" si="403"/>
        <v>-2.3520540482493013</v>
      </c>
      <c r="AI684" s="26">
        <f t="shared" si="404"/>
        <v>8.6902644170864296E-2</v>
      </c>
      <c r="AJ684" s="26">
        <f t="shared" si="405"/>
        <v>-2.1957475846423753</v>
      </c>
      <c r="AK684" s="26">
        <f t="shared" si="406"/>
        <v>0.10013300789894414</v>
      </c>
      <c r="AL684" s="26">
        <f t="shared" si="407"/>
        <v>5.0133096354450044E-3</v>
      </c>
      <c r="AM684" s="27">
        <f t="shared" si="408"/>
        <v>2.1683781524026773E-2</v>
      </c>
    </row>
    <row r="685" spans="1:39" ht="15" customHeight="1" x14ac:dyDescent="0.2">
      <c r="A685" s="24">
        <v>674</v>
      </c>
      <c r="B685" s="29">
        <f t="shared" si="409"/>
        <v>5.5883750602582598</v>
      </c>
      <c r="C685" s="29">
        <f t="shared" si="410"/>
        <v>-5.5488486931102639</v>
      </c>
      <c r="D685" s="29">
        <f t="shared" si="411"/>
        <v>-3.4773439152756769</v>
      </c>
      <c r="E685" s="29">
        <f t="shared" si="412"/>
        <v>-4.0678300906294096</v>
      </c>
      <c r="F685" s="29">
        <f t="shared" si="413"/>
        <v>3.7407455941796584</v>
      </c>
      <c r="G685" s="29">
        <f t="shared" si="414"/>
        <v>-2.0275409294490774</v>
      </c>
      <c r="H685" s="29">
        <f t="shared" si="415"/>
        <v>5.8957309176385415</v>
      </c>
      <c r="I685" s="29">
        <f t="shared" si="416"/>
        <v>5.853879181830532</v>
      </c>
      <c r="J685" s="29">
        <f t="shared" si="417"/>
        <v>-2.890264426707299</v>
      </c>
      <c r="K685" s="26">
        <f t="shared" si="380"/>
        <v>-3.4773439152756769</v>
      </c>
      <c r="L685" s="26">
        <f t="shared" si="381"/>
        <v>2.9963785139326713E-2</v>
      </c>
      <c r="M685" s="26">
        <f t="shared" si="382"/>
        <v>-2.0275409294490774</v>
      </c>
      <c r="N685" s="26">
        <f t="shared" si="383"/>
        <v>0.11634149122962213</v>
      </c>
      <c r="O685" s="26">
        <f t="shared" si="384"/>
        <v>-2.032556978759688</v>
      </c>
      <c r="P685" s="26">
        <f t="shared" si="385"/>
        <v>0.11582680209124421</v>
      </c>
      <c r="Q685" s="26">
        <f t="shared" si="386"/>
        <v>6.7079240413421273E-3</v>
      </c>
      <c r="R685" s="26">
        <f t="shared" si="387"/>
        <v>-9.0261926083859407</v>
      </c>
      <c r="S685" s="26">
        <f t="shared" si="388"/>
        <v>1.2020489408565752E-4</v>
      </c>
      <c r="T685" s="26">
        <f t="shared" si="389"/>
        <v>1.713204664730581</v>
      </c>
      <c r="U685" s="26">
        <f t="shared" si="390"/>
        <v>0.84725148212079449</v>
      </c>
      <c r="V685" s="26">
        <f t="shared" si="391"/>
        <v>2.0701520819651957</v>
      </c>
      <c r="W685" s="26">
        <f t="shared" si="392"/>
        <v>0.8879680915651712</v>
      </c>
      <c r="X685" s="26">
        <f t="shared" si="393"/>
        <v>6.2755742537749315E-3</v>
      </c>
      <c r="Y685" s="26">
        <f t="shared" si="394"/>
        <v>2.1110311449825829</v>
      </c>
      <c r="Z685" s="26">
        <f t="shared" si="395"/>
        <v>0.89197073344638955</v>
      </c>
      <c r="AA685" s="26">
        <f t="shared" si="396"/>
        <v>-6.0953710200784865</v>
      </c>
      <c r="AB685" s="26">
        <f t="shared" si="397"/>
        <v>2.2482081468106602E-3</v>
      </c>
      <c r="AC685" s="26">
        <f t="shared" si="398"/>
        <v>2.3817157429683435</v>
      </c>
      <c r="AD685" s="26">
        <f t="shared" si="399"/>
        <v>0.91542236910853936</v>
      </c>
      <c r="AE685" s="26">
        <f t="shared" si="400"/>
        <v>3.5766878236060786E-3</v>
      </c>
      <c r="AF685" s="26">
        <f t="shared" si="401"/>
        <v>-3.4378175481276809</v>
      </c>
      <c r="AG685" s="26">
        <f t="shared" si="402"/>
        <v>3.1134250298184746E-2</v>
      </c>
      <c r="AH685" s="26">
        <f t="shared" si="403"/>
        <v>-2.3546254258988286</v>
      </c>
      <c r="AI685" s="26">
        <f t="shared" si="404"/>
        <v>8.6698820496629705E-2</v>
      </c>
      <c r="AJ685" s="26">
        <f t="shared" si="405"/>
        <v>-2.1991808442323113</v>
      </c>
      <c r="AK685" s="26">
        <f t="shared" si="406"/>
        <v>9.9824073698976806E-2</v>
      </c>
      <c r="AL685" s="26">
        <f t="shared" si="407"/>
        <v>4.9824228449293767E-3</v>
      </c>
      <c r="AM685" s="27">
        <f t="shared" si="408"/>
        <v>2.1542608963652513E-2</v>
      </c>
    </row>
    <row r="686" spans="1:39" ht="15" customHeight="1" x14ac:dyDescent="0.2">
      <c r="A686" s="24">
        <v>675</v>
      </c>
      <c r="B686" s="29">
        <f t="shared" si="409"/>
        <v>5.5904999429192248</v>
      </c>
      <c r="C686" s="29">
        <f t="shared" si="410"/>
        <v>-5.5504360782830426</v>
      </c>
      <c r="D686" s="29">
        <f t="shared" si="411"/>
        <v>-3.4772438560449319</v>
      </c>
      <c r="E686" s="29">
        <f t="shared" si="412"/>
        <v>-4.0719019542461394</v>
      </c>
      <c r="F686" s="29">
        <f t="shared" si="413"/>
        <v>3.7450310762023213</v>
      </c>
      <c r="G686" s="29">
        <f t="shared" si="414"/>
        <v>-2.0303081466241863</v>
      </c>
      <c r="H686" s="29">
        <f t="shared" si="415"/>
        <v>5.9009384966682328</v>
      </c>
      <c r="I686" s="29">
        <f t="shared" si="416"/>
        <v>5.8611788047710744</v>
      </c>
      <c r="J686" s="29">
        <f t="shared" si="417"/>
        <v>-2.8934030947392451</v>
      </c>
      <c r="K686" s="26">
        <f t="shared" si="380"/>
        <v>-3.4772438560449319</v>
      </c>
      <c r="L686" s="26">
        <f t="shared" si="381"/>
        <v>2.9966693593383352E-2</v>
      </c>
      <c r="M686" s="26">
        <f t="shared" si="382"/>
        <v>-2.0303081466241863</v>
      </c>
      <c r="N686" s="26">
        <f t="shared" si="383"/>
        <v>0.11605730618044401</v>
      </c>
      <c r="O686" s="26">
        <f t="shared" si="384"/>
        <v>-2.0363388557725424</v>
      </c>
      <c r="P686" s="26">
        <f t="shared" si="385"/>
        <v>0.11544005881704067</v>
      </c>
      <c r="Q686" s="26">
        <f t="shared" si="386"/>
        <v>6.6632035898409048E-3</v>
      </c>
      <c r="R686" s="26">
        <f t="shared" si="387"/>
        <v>-9.0276799343279741</v>
      </c>
      <c r="S686" s="26">
        <f t="shared" si="388"/>
        <v>1.2002626456017618E-4</v>
      </c>
      <c r="T686" s="26">
        <f t="shared" si="389"/>
        <v>1.714722929578135</v>
      </c>
      <c r="U686" s="26">
        <f t="shared" si="390"/>
        <v>0.84744786692834051</v>
      </c>
      <c r="V686" s="26">
        <f t="shared" si="391"/>
        <v>2.0743486486547571</v>
      </c>
      <c r="W686" s="26">
        <f t="shared" si="392"/>
        <v>0.8883848899931629</v>
      </c>
      <c r="X686" s="26">
        <f t="shared" si="393"/>
        <v>6.2289663909191745E-3</v>
      </c>
      <c r="Y686" s="26">
        <f t="shared" si="394"/>
        <v>2.1132560868742929</v>
      </c>
      <c r="Z686" s="26">
        <f t="shared" si="395"/>
        <v>0.89218493959766232</v>
      </c>
      <c r="AA686" s="26">
        <f t="shared" si="396"/>
        <v>-6.1022101008703258</v>
      </c>
      <c r="AB686" s="26">
        <f t="shared" si="397"/>
        <v>2.2329191432595629E-3</v>
      </c>
      <c r="AC686" s="26">
        <f t="shared" si="398"/>
        <v>2.3844128998354632</v>
      </c>
      <c r="AD686" s="26">
        <f t="shared" si="399"/>
        <v>0.9156309606254962</v>
      </c>
      <c r="AE686" s="26">
        <f t="shared" si="400"/>
        <v>3.5590674024882857E-3</v>
      </c>
      <c r="AF686" s="26">
        <f t="shared" si="401"/>
        <v>-3.4371799914087497</v>
      </c>
      <c r="AG686" s="26">
        <f t="shared" si="402"/>
        <v>3.1153487888450973E-2</v>
      </c>
      <c r="AH686" s="26">
        <f t="shared" si="403"/>
        <v>-2.3571790246680044</v>
      </c>
      <c r="AI686" s="26">
        <f t="shared" si="404"/>
        <v>8.649683438109311E-2</v>
      </c>
      <c r="AJ686" s="26">
        <f t="shared" si="405"/>
        <v>-2.2025948663985404</v>
      </c>
      <c r="AK686" s="26">
        <f t="shared" si="406"/>
        <v>9.9517711155693772E-2</v>
      </c>
      <c r="AL686" s="26">
        <f t="shared" si="407"/>
        <v>4.9518874168340485E-3</v>
      </c>
      <c r="AM686" s="27">
        <f t="shared" si="408"/>
        <v>2.1403124800082413E-2</v>
      </c>
    </row>
    <row r="687" spans="1:39" ht="15" customHeight="1" x14ac:dyDescent="0.2">
      <c r="A687" s="24">
        <v>676</v>
      </c>
      <c r="B687" s="29">
        <f t="shared" si="409"/>
        <v>5.5926110392400901</v>
      </c>
      <c r="C687" s="29">
        <f t="shared" si="410"/>
        <v>-5.5520166361251411</v>
      </c>
      <c r="D687" s="29">
        <f t="shared" si="411"/>
        <v>-3.4771469487588647</v>
      </c>
      <c r="E687" s="29">
        <f t="shared" si="412"/>
        <v>-4.0759470464429528</v>
      </c>
      <c r="F687" s="29">
        <f t="shared" si="413"/>
        <v>3.7492870401290705</v>
      </c>
      <c r="G687" s="29">
        <f t="shared" si="414"/>
        <v>-2.0330550447195841</v>
      </c>
      <c r="H687" s="29">
        <f t="shared" si="415"/>
        <v>5.9061236360998075</v>
      </c>
      <c r="I687" s="29">
        <f t="shared" si="416"/>
        <v>5.8684329577694401</v>
      </c>
      <c r="J687" s="29">
        <f t="shared" si="417"/>
        <v>-2.8965242506674267</v>
      </c>
      <c r="K687" s="26">
        <f t="shared" si="380"/>
        <v>-3.4771469487588647</v>
      </c>
      <c r="L687" s="26">
        <f t="shared" si="381"/>
        <v>2.9969510689640488E-2</v>
      </c>
      <c r="M687" s="26">
        <f t="shared" si="382"/>
        <v>-2.0330550447195841</v>
      </c>
      <c r="N687" s="26">
        <f t="shared" si="383"/>
        <v>0.11577580444026005</v>
      </c>
      <c r="O687" s="26">
        <f t="shared" si="384"/>
        <v>-2.0400980687315036</v>
      </c>
      <c r="P687" s="26">
        <f t="shared" si="385"/>
        <v>0.11505674643866977</v>
      </c>
      <c r="Q687" s="26">
        <f t="shared" si="386"/>
        <v>6.6190274505261741E-3</v>
      </c>
      <c r="R687" s="26">
        <f t="shared" si="387"/>
        <v>-9.0291635848840066</v>
      </c>
      <c r="S687" s="26">
        <f t="shared" si="388"/>
        <v>1.1984834088917418E-4</v>
      </c>
      <c r="T687" s="26">
        <f t="shared" si="389"/>
        <v>1.7162319954094865</v>
      </c>
      <c r="U687" s="26">
        <f t="shared" si="390"/>
        <v>0.84764285665413563</v>
      </c>
      <c r="V687" s="26">
        <f t="shared" si="391"/>
        <v>2.0785188648584132</v>
      </c>
      <c r="W687" s="26">
        <f t="shared" si="392"/>
        <v>0.88879772761002362</v>
      </c>
      <c r="X687" s="26">
        <f t="shared" si="393"/>
        <v>6.1829726923472508E-3</v>
      </c>
      <c r="Y687" s="26">
        <f t="shared" si="394"/>
        <v>2.1154640904812254</v>
      </c>
      <c r="Z687" s="26">
        <f t="shared" si="395"/>
        <v>0.89239714576809059</v>
      </c>
      <c r="AA687" s="26">
        <f t="shared" si="396"/>
        <v>-6.1090020911625373</v>
      </c>
      <c r="AB687" s="26">
        <f t="shared" si="397"/>
        <v>2.2178380869399047E-3</v>
      </c>
      <c r="AC687" s="26">
        <f t="shared" si="398"/>
        <v>2.387098858865893</v>
      </c>
      <c r="AD687" s="26">
        <f t="shared" si="399"/>
        <v>0.91583822188584529</v>
      </c>
      <c r="AE687" s="26">
        <f t="shared" si="400"/>
        <v>3.5416024476681049E-3</v>
      </c>
      <c r="AF687" s="26">
        <f t="shared" si="401"/>
        <v>-3.4365525456439157</v>
      </c>
      <c r="AG687" s="26">
        <f t="shared" si="402"/>
        <v>3.1172431623560645E-2</v>
      </c>
      <c r="AH687" s="26">
        <f t="shared" si="403"/>
        <v>-2.3597150510334663</v>
      </c>
      <c r="AI687" s="26">
        <f t="shared" si="404"/>
        <v>8.6296659944206086E-2</v>
      </c>
      <c r="AJ687" s="26">
        <f t="shared" si="405"/>
        <v>-2.205989852098809</v>
      </c>
      <c r="AK687" s="26">
        <f t="shared" si="406"/>
        <v>9.9213886504766979E-2</v>
      </c>
      <c r="AL687" s="26">
        <f t="shared" si="407"/>
        <v>4.9216976376903919E-3</v>
      </c>
      <c r="AM687" s="27">
        <f t="shared" si="408"/>
        <v>2.1265300228231924E-2</v>
      </c>
    </row>
    <row r="688" spans="1:39" ht="15" customHeight="1" x14ac:dyDescent="0.2">
      <c r="A688" s="24">
        <v>677</v>
      </c>
      <c r="B688" s="29">
        <f t="shared" si="409"/>
        <v>5.594708504696559</v>
      </c>
      <c r="C688" s="29">
        <f t="shared" si="410"/>
        <v>-5.553590419647537</v>
      </c>
      <c r="D688" s="29">
        <f t="shared" si="411"/>
        <v>-3.4770531449139934</v>
      </c>
      <c r="E688" s="29">
        <f t="shared" si="412"/>
        <v>-4.0799656748357807</v>
      </c>
      <c r="F688" s="29">
        <f t="shared" si="413"/>
        <v>3.7535138447521352</v>
      </c>
      <c r="G688" s="29">
        <f t="shared" si="414"/>
        <v>-2.0357818781147481</v>
      </c>
      <c r="H688" s="29">
        <f t="shared" si="415"/>
        <v>5.9112865057210584</v>
      </c>
      <c r="I688" s="29">
        <f t="shared" si="416"/>
        <v>5.8756421587979704</v>
      </c>
      <c r="J688" s="29">
        <f t="shared" si="417"/>
        <v>-2.8996280778818311</v>
      </c>
      <c r="K688" s="26">
        <f t="shared" si="380"/>
        <v>-3.4770531449139934</v>
      </c>
      <c r="L688" s="26">
        <f t="shared" si="381"/>
        <v>2.9972237813264076E-2</v>
      </c>
      <c r="M688" s="26">
        <f t="shared" si="382"/>
        <v>-2.0357818781147481</v>
      </c>
      <c r="N688" s="26">
        <f t="shared" si="383"/>
        <v>0.11549694602283216</v>
      </c>
      <c r="O688" s="26">
        <f t="shared" si="384"/>
        <v>-2.0438348676858542</v>
      </c>
      <c r="P688" s="26">
        <f t="shared" si="385"/>
        <v>0.11467681741171516</v>
      </c>
      <c r="Q688" s="26">
        <f t="shared" si="386"/>
        <v>6.5753862258399291E-3</v>
      </c>
      <c r="R688" s="26">
        <f t="shared" si="387"/>
        <v>-9.0306435645615295</v>
      </c>
      <c r="S688" s="26">
        <f t="shared" si="388"/>
        <v>1.1967112018058338E-4</v>
      </c>
      <c r="T688" s="26">
        <f t="shared" si="389"/>
        <v>1.7177319666373871</v>
      </c>
      <c r="U688" s="26">
        <f t="shared" si="390"/>
        <v>0.84783646860862116</v>
      </c>
      <c r="V688" s="26">
        <f t="shared" si="391"/>
        <v>2.0826630311192234</v>
      </c>
      <c r="W688" s="26">
        <f t="shared" si="392"/>
        <v>0.88920666230355649</v>
      </c>
      <c r="X688" s="26">
        <f t="shared" si="393"/>
        <v>6.137581838959085E-3</v>
      </c>
      <c r="Y688" s="26">
        <f t="shared" si="394"/>
        <v>2.1176553597825656</v>
      </c>
      <c r="Z688" s="26">
        <f t="shared" si="395"/>
        <v>0.89260738040935561</v>
      </c>
      <c r="AA688" s="26">
        <f t="shared" si="396"/>
        <v>-6.1157475529505287</v>
      </c>
      <c r="AB688" s="26">
        <f t="shared" si="397"/>
        <v>2.2029609349624511E-3</v>
      </c>
      <c r="AC688" s="26">
        <f t="shared" si="398"/>
        <v>2.3897736949826673</v>
      </c>
      <c r="AD688" s="26">
        <f t="shared" si="399"/>
        <v>0.91604416524392029</v>
      </c>
      <c r="AE688" s="26">
        <f t="shared" si="400"/>
        <v>3.5242910947950803E-3</v>
      </c>
      <c r="AF688" s="26">
        <f t="shared" si="401"/>
        <v>-3.4359350598649714</v>
      </c>
      <c r="AG688" s="26">
        <f t="shared" si="402"/>
        <v>3.1191085532806313E-2</v>
      </c>
      <c r="AH688" s="26">
        <f t="shared" si="403"/>
        <v>-2.3622337081983935</v>
      </c>
      <c r="AI688" s="26">
        <f t="shared" si="404"/>
        <v>8.6098271789892794E-2</v>
      </c>
      <c r="AJ688" s="26">
        <f t="shared" si="405"/>
        <v>-2.2093659993446217</v>
      </c>
      <c r="AK688" s="26">
        <f t="shared" si="406"/>
        <v>9.8912566573055569E-2</v>
      </c>
      <c r="AL688" s="26">
        <f t="shared" si="407"/>
        <v>4.8918479130345745E-3</v>
      </c>
      <c r="AM688" s="27">
        <f t="shared" si="408"/>
        <v>2.1129107072628668E-2</v>
      </c>
    </row>
    <row r="689" spans="1:39" ht="15" customHeight="1" x14ac:dyDescent="0.2">
      <c r="A689" s="24">
        <v>678</v>
      </c>
      <c r="B689" s="29">
        <f t="shared" si="409"/>
        <v>5.5967924924030754</v>
      </c>
      <c r="C689" s="29">
        <f t="shared" si="410"/>
        <v>-5.5551574812874982</v>
      </c>
      <c r="D689" s="29">
        <f t="shared" si="411"/>
        <v>-3.4769623968011532</v>
      </c>
      <c r="E689" s="29">
        <f t="shared" si="412"/>
        <v>-4.0839581421424365</v>
      </c>
      <c r="F689" s="29">
        <f t="shared" si="413"/>
        <v>3.757711842793265</v>
      </c>
      <c r="G689" s="29">
        <f t="shared" si="414"/>
        <v>-2.0384888968079067</v>
      </c>
      <c r="H689" s="29">
        <f t="shared" si="415"/>
        <v>5.9164272737052528</v>
      </c>
      <c r="I689" s="29">
        <f t="shared" si="416"/>
        <v>5.8828069175481472</v>
      </c>
      <c r="J689" s="29">
        <f t="shared" si="417"/>
        <v>-2.9027147570523013</v>
      </c>
      <c r="K689" s="26">
        <f t="shared" si="380"/>
        <v>-3.4769623968011532</v>
      </c>
      <c r="L689" s="26">
        <f t="shared" si="381"/>
        <v>2.9974876327615422E-2</v>
      </c>
      <c r="M689" s="26">
        <f t="shared" si="382"/>
        <v>-2.0384888968079067</v>
      </c>
      <c r="N689" s="26">
        <f t="shared" si="383"/>
        <v>0.11522069173726775</v>
      </c>
      <c r="O689" s="26">
        <f t="shared" si="384"/>
        <v>-2.0475494988249743</v>
      </c>
      <c r="P689" s="26">
        <f t="shared" si="385"/>
        <v>0.11430022506594603</v>
      </c>
      <c r="Q689" s="26">
        <f t="shared" si="386"/>
        <v>6.5322707250629591E-3</v>
      </c>
      <c r="R689" s="26">
        <f t="shared" si="387"/>
        <v>-9.0321198780886505</v>
      </c>
      <c r="S689" s="26">
        <f t="shared" si="388"/>
        <v>1.1949459953038856E-4</v>
      </c>
      <c r="T689" s="26">
        <f t="shared" si="389"/>
        <v>1.7192229459853583</v>
      </c>
      <c r="U689" s="26">
        <f t="shared" si="390"/>
        <v>0.84802871980249561</v>
      </c>
      <c r="V689" s="26">
        <f t="shared" si="391"/>
        <v>2.0867814431890412</v>
      </c>
      <c r="W689" s="26">
        <f t="shared" si="392"/>
        <v>0.88961175084610189</v>
      </c>
      <c r="X689" s="26">
        <f t="shared" si="393"/>
        <v>6.0927827756315431E-3</v>
      </c>
      <c r="Y689" s="26">
        <f t="shared" si="394"/>
        <v>2.1198300956019223</v>
      </c>
      <c r="Z689" s="26">
        <f t="shared" si="395"/>
        <v>0.89281567145309459</v>
      </c>
      <c r="AA689" s="26">
        <f t="shared" si="396"/>
        <v>-6.1224470389503427</v>
      </c>
      <c r="AB689" s="26">
        <f t="shared" si="397"/>
        <v>2.1882837449677421E-3</v>
      </c>
      <c r="AC689" s="26">
        <f t="shared" si="398"/>
        <v>2.3924374826767103</v>
      </c>
      <c r="AD689" s="26">
        <f t="shared" si="399"/>
        <v>0.91624880292549316</v>
      </c>
      <c r="AE689" s="26">
        <f t="shared" si="400"/>
        <v>3.5071315057064421E-3</v>
      </c>
      <c r="AF689" s="26">
        <f t="shared" si="401"/>
        <v>-3.4353273856855759</v>
      </c>
      <c r="AG689" s="26">
        <f t="shared" si="402"/>
        <v>3.1209453585919113E-2</v>
      </c>
      <c r="AH689" s="26">
        <f t="shared" si="403"/>
        <v>-2.3647351961570782</v>
      </c>
      <c r="AI689" s="26">
        <f t="shared" si="404"/>
        <v>8.5901644994920853E-2</v>
      </c>
      <c r="AJ689" s="26">
        <f t="shared" si="405"/>
        <v>-2.2127235032542458</v>
      </c>
      <c r="AK689" s="26">
        <f t="shared" si="406"/>
        <v>9.8613718765984681E-2</v>
      </c>
      <c r="AL689" s="26">
        <f t="shared" si="407"/>
        <v>4.8623327644283596E-3</v>
      </c>
      <c r="AM689" s="27">
        <f t="shared" si="408"/>
        <v>2.09945177708293E-2</v>
      </c>
    </row>
    <row r="690" spans="1:39" ht="15" customHeight="1" x14ac:dyDescent="0.2">
      <c r="A690" s="24">
        <v>679</v>
      </c>
      <c r="B690" s="29">
        <f t="shared" si="409"/>
        <v>5.598863153155869</v>
      </c>
      <c r="C690" s="29">
        <f t="shared" si="410"/>
        <v>-5.556717872916269</v>
      </c>
      <c r="D690" s="29">
        <f t="shared" si="411"/>
        <v>-3.4768746574921745</v>
      </c>
      <c r="E690" s="29">
        <f t="shared" si="412"/>
        <v>-4.0879247462800308</v>
      </c>
      <c r="F690" s="29">
        <f t="shared" si="413"/>
        <v>3.7618813810324152</v>
      </c>
      <c r="G690" s="29">
        <f t="shared" si="414"/>
        <v>-2.0411763465103889</v>
      </c>
      <c r="H690" s="29">
        <f t="shared" si="415"/>
        <v>5.9215461066246231</v>
      </c>
      <c r="I690" s="29">
        <f t="shared" si="416"/>
        <v>5.889927735596542</v>
      </c>
      <c r="J690" s="29">
        <f t="shared" si="417"/>
        <v>-2.9057844661788743</v>
      </c>
      <c r="K690" s="26">
        <f t="shared" si="380"/>
        <v>-3.4768746574921745</v>
      </c>
      <c r="L690" s="26">
        <f t="shared" si="381"/>
        <v>2.9977427574588659E-2</v>
      </c>
      <c r="M690" s="26">
        <f t="shared" si="382"/>
        <v>-2.0411763465103889</v>
      </c>
      <c r="N690" s="26">
        <f t="shared" si="383"/>
        <v>0.11494700316851347</v>
      </c>
      <c r="O690" s="26">
        <f t="shared" si="384"/>
        <v>-2.051242204552016</v>
      </c>
      <c r="P690" s="26">
        <f t="shared" si="385"/>
        <v>0.11392692358572644</v>
      </c>
      <c r="Q690" s="26">
        <f t="shared" si="386"/>
        <v>6.4896719588539752E-3</v>
      </c>
      <c r="R690" s="26">
        <f t="shared" si="387"/>
        <v>-9.033592530408443</v>
      </c>
      <c r="S690" s="26">
        <f t="shared" si="388"/>
        <v>1.1931877602341314E-4</v>
      </c>
      <c r="T690" s="26">
        <f t="shared" si="389"/>
        <v>1.7207050345220263</v>
      </c>
      <c r="U690" s="26">
        <f t="shared" si="390"/>
        <v>0.84821962695320985</v>
      </c>
      <c r="V690" s="26">
        <f t="shared" si="391"/>
        <v>2.0908743921237964</v>
      </c>
      <c r="W690" s="26">
        <f t="shared" si="392"/>
        <v>0.89001304892073452</v>
      </c>
      <c r="X690" s="26">
        <f t="shared" si="393"/>
        <v>6.0485647038563692E-3</v>
      </c>
      <c r="Y690" s="26">
        <f t="shared" si="394"/>
        <v>2.1219884956636945</v>
      </c>
      <c r="Z690" s="26">
        <f t="shared" si="395"/>
        <v>0.89302204632214433</v>
      </c>
      <c r="AA690" s="26">
        <f t="shared" si="396"/>
        <v>-6.1291010927904193</v>
      </c>
      <c r="AB690" s="26">
        <f t="shared" si="397"/>
        <v>2.1738026721105004E-3</v>
      </c>
      <c r="AC690" s="26">
        <f t="shared" si="398"/>
        <v>2.3950902960001508</v>
      </c>
      <c r="AD690" s="26">
        <f t="shared" si="399"/>
        <v>0.9164521470285899</v>
      </c>
      <c r="AE690" s="26">
        <f t="shared" si="400"/>
        <v>3.4901218680661794E-3</v>
      </c>
      <c r="AF690" s="26">
        <f t="shared" si="401"/>
        <v>-3.4347293772525744</v>
      </c>
      <c r="AG690" s="26">
        <f t="shared" si="402"/>
        <v>3.1227539693936168E-2</v>
      </c>
      <c r="AH690" s="26">
        <f t="shared" si="403"/>
        <v>-2.3672197117580045</v>
      </c>
      <c r="AI690" s="26">
        <f t="shared" si="404"/>
        <v>8.5706755098072337E-2</v>
      </c>
      <c r="AJ690" s="26">
        <f t="shared" si="405"/>
        <v>-2.2160625561046641</v>
      </c>
      <c r="AK690" s="26">
        <f t="shared" si="406"/>
        <v>9.8317311055232698E-2</v>
      </c>
      <c r="AL690" s="26">
        <f t="shared" si="407"/>
        <v>4.8331468265656909E-3</v>
      </c>
      <c r="AM690" s="27">
        <f t="shared" si="408"/>
        <v>2.0861505357342214E-2</v>
      </c>
    </row>
    <row r="691" spans="1:39" ht="15" customHeight="1" x14ac:dyDescent="0.2">
      <c r="A691" s="24">
        <v>680</v>
      </c>
      <c r="B691" s="29">
        <f t="shared" si="409"/>
        <v>5.6009206354751369</v>
      </c>
      <c r="C691" s="29">
        <f t="shared" si="410"/>
        <v>-5.5582716458466397</v>
      </c>
      <c r="D691" s="29">
        <f t="shared" si="411"/>
        <v>-3.4767898808267481</v>
      </c>
      <c r="E691" s="29">
        <f t="shared" si="412"/>
        <v>-4.0918657804601128</v>
      </c>
      <c r="F691" s="29">
        <f t="shared" si="413"/>
        <v>3.7660228004332246</v>
      </c>
      <c r="G691" s="29">
        <f t="shared" si="414"/>
        <v>-2.0438444687385746</v>
      </c>
      <c r="H691" s="29">
        <f t="shared" si="415"/>
        <v>5.926643169463957</v>
      </c>
      <c r="I691" s="29">
        <f t="shared" si="416"/>
        <v>5.8970051065668692</v>
      </c>
      <c r="J691" s="29">
        <f t="shared" si="417"/>
        <v>-2.9088373806410535</v>
      </c>
      <c r="K691" s="26">
        <f t="shared" si="380"/>
        <v>-3.4767898808267481</v>
      </c>
      <c r="L691" s="26">
        <f t="shared" si="381"/>
        <v>2.9979892874944524E-2</v>
      </c>
      <c r="M691" s="26">
        <f t="shared" si="382"/>
        <v>-2.0438444687385746</v>
      </c>
      <c r="N691" s="26">
        <f t="shared" si="383"/>
        <v>0.11467584265841112</v>
      </c>
      <c r="O691" s="26">
        <f t="shared" si="384"/>
        <v>-2.0549132235559933</v>
      </c>
      <c r="P691" s="26">
        <f t="shared" si="385"/>
        <v>0.11355686799092934</v>
      </c>
      <c r="Q691" s="26">
        <f t="shared" si="386"/>
        <v>6.4475811339546772E-3</v>
      </c>
      <c r="R691" s="26">
        <f t="shared" si="387"/>
        <v>-9.0350615266733882</v>
      </c>
      <c r="S691" s="26">
        <f t="shared" si="388"/>
        <v>1.1914364673408597E-4</v>
      </c>
      <c r="T691" s="26">
        <f t="shared" si="389"/>
        <v>1.72217833169465</v>
      </c>
      <c r="U691" s="26">
        <f t="shared" si="390"/>
        <v>0.8484092064913008</v>
      </c>
      <c r="V691" s="26">
        <f t="shared" si="391"/>
        <v>2.0949421643765942</v>
      </c>
      <c r="W691" s="26">
        <f t="shared" si="392"/>
        <v>0.89041061114675057</v>
      </c>
      <c r="X691" s="26">
        <f t="shared" si="393"/>
        <v>6.0049170746143549E-3</v>
      </c>
      <c r="Y691" s="26">
        <f t="shared" si="394"/>
        <v>2.1241307546483887</v>
      </c>
      <c r="Z691" s="26">
        <f t="shared" si="395"/>
        <v>0.89322653194151436</v>
      </c>
      <c r="AA691" s="26">
        <f t="shared" si="396"/>
        <v>-6.1357102491986879</v>
      </c>
      <c r="AB691" s="26">
        <f t="shared" si="397"/>
        <v>2.1595139661492457E-3</v>
      </c>
      <c r="AC691" s="26">
        <f t="shared" si="398"/>
        <v>2.3977322085601869</v>
      </c>
      <c r="AD691" s="26">
        <f t="shared" si="399"/>
        <v>0.91665420952434096</v>
      </c>
      <c r="AE691" s="26">
        <f t="shared" si="400"/>
        <v>3.4732603950062288E-3</v>
      </c>
      <c r="AF691" s="26">
        <f t="shared" si="401"/>
        <v>-3.4341408911982509</v>
      </c>
      <c r="AG691" s="26">
        <f t="shared" si="402"/>
        <v>3.1245347710059376E-2</v>
      </c>
      <c r="AH691" s="26">
        <f t="shared" si="403"/>
        <v>-2.3696874487654629</v>
      </c>
      <c r="AI691" s="26">
        <f t="shared" si="404"/>
        <v>8.5513578089606385E-2</v>
      </c>
      <c r="AJ691" s="26">
        <f t="shared" si="405"/>
        <v>-2.2193833473824904</v>
      </c>
      <c r="AK691" s="26">
        <f t="shared" si="406"/>
        <v>9.8023311966718943E-2</v>
      </c>
      <c r="AL691" s="26">
        <f t="shared" si="407"/>
        <v>4.8042848444623523E-3</v>
      </c>
      <c r="AM691" s="27">
        <f t="shared" si="408"/>
        <v>2.0730043448037614E-2</v>
      </c>
    </row>
    <row r="692" spans="1:39" ht="15" customHeight="1" x14ac:dyDescent="0.2">
      <c r="A692" s="24">
        <v>681</v>
      </c>
      <c r="B692" s="29">
        <f t="shared" si="409"/>
        <v>5.6029650856463737</v>
      </c>
      <c r="C692" s="29">
        <f t="shared" si="410"/>
        <v>-5.5598188508404016</v>
      </c>
      <c r="D692" s="29">
        <f t="shared" si="411"/>
        <v>-3.4767080213994714</v>
      </c>
      <c r="E692" s="29">
        <f t="shared" si="412"/>
        <v>-4.0957815332816079</v>
      </c>
      <c r="F692" s="29">
        <f t="shared" si="413"/>
        <v>3.7701364362653775</v>
      </c>
      <c r="G692" s="29">
        <f t="shared" si="414"/>
        <v>-2.0464935009035159</v>
      </c>
      <c r="H692" s="29">
        <f t="shared" si="415"/>
        <v>5.9317186256342698</v>
      </c>
      <c r="I692" s="29">
        <f t="shared" si="416"/>
        <v>5.9040395162882531</v>
      </c>
      <c r="J692" s="29">
        <f t="shared" si="417"/>
        <v>-2.9118736732460384</v>
      </c>
      <c r="K692" s="26">
        <f t="shared" si="380"/>
        <v>-3.4767080213994714</v>
      </c>
      <c r="L692" s="26">
        <f t="shared" si="381"/>
        <v>2.9982273528640597E-2</v>
      </c>
      <c r="M692" s="26">
        <f t="shared" si="382"/>
        <v>-2.0464935009035159</v>
      </c>
      <c r="N692" s="26">
        <f t="shared" si="383"/>
        <v>0.11440717328729713</v>
      </c>
      <c r="O692" s="26">
        <f t="shared" si="384"/>
        <v>-2.0585627908822994</v>
      </c>
      <c r="P692" s="26">
        <f t="shared" si="385"/>
        <v>0.11319001411834281</v>
      </c>
      <c r="Q692" s="26">
        <f t="shared" si="386"/>
        <v>6.4059896480553229E-3</v>
      </c>
      <c r="R692" s="26">
        <f t="shared" si="387"/>
        <v>-9.0365268722398735</v>
      </c>
      <c r="S692" s="26">
        <f t="shared" si="388"/>
        <v>1.18969208727194E-4</v>
      </c>
      <c r="T692" s="26">
        <f t="shared" si="389"/>
        <v>1.7236429353618616</v>
      </c>
      <c r="U692" s="26">
        <f t="shared" si="390"/>
        <v>0.84859747456656243</v>
      </c>
      <c r="V692" s="26">
        <f t="shared" si="391"/>
        <v>2.0989850418886453</v>
      </c>
      <c r="W692" s="26">
        <f t="shared" si="392"/>
        <v>0.89080449110446114</v>
      </c>
      <c r="X692" s="26">
        <f t="shared" si="393"/>
        <v>5.9618295814778538E-3</v>
      </c>
      <c r="Y692" s="26">
        <f t="shared" si="394"/>
        <v>2.1262570642469023</v>
      </c>
      <c r="Z692" s="26">
        <f t="shared" si="395"/>
        <v>0.89342915474909523</v>
      </c>
      <c r="AA692" s="26">
        <f t="shared" si="396"/>
        <v>-6.1422750341851238</v>
      </c>
      <c r="AB692" s="26">
        <f t="shared" si="397"/>
        <v>2.1454139686369451E-3</v>
      </c>
      <c r="AC692" s="26">
        <f t="shared" si="398"/>
        <v>2.4003632935134815</v>
      </c>
      <c r="AD692" s="26">
        <f t="shared" si="399"/>
        <v>0.91685500225785888</v>
      </c>
      <c r="AE692" s="26">
        <f t="shared" si="400"/>
        <v>3.4565453247703262E-3</v>
      </c>
      <c r="AF692" s="26">
        <f t="shared" si="401"/>
        <v>-3.4335617865934993</v>
      </c>
      <c r="AG692" s="26">
        <f t="shared" si="402"/>
        <v>3.1262881430505665E-2</v>
      </c>
      <c r="AH692" s="26">
        <f t="shared" si="403"/>
        <v>-2.3721385979197462</v>
      </c>
      <c r="AI692" s="26">
        <f t="shared" si="404"/>
        <v>8.5322090401003872E-2</v>
      </c>
      <c r="AJ692" s="26">
        <f t="shared" si="405"/>
        <v>-2.2226860638338666</v>
      </c>
      <c r="AK692" s="26">
        <f t="shared" si="406"/>
        <v>9.7731690568884241E-2</v>
      </c>
      <c r="AL692" s="26">
        <f t="shared" si="407"/>
        <v>4.7757416707260684E-3</v>
      </c>
      <c r="AM692" s="27">
        <f t="shared" si="408"/>
        <v>2.0600106225029571E-2</v>
      </c>
    </row>
    <row r="693" spans="1:39" ht="15" customHeight="1" x14ac:dyDescent="0.2">
      <c r="A693" s="24">
        <v>682</v>
      </c>
      <c r="B693" s="29">
        <f t="shared" si="409"/>
        <v>5.6049966477608733</v>
      </c>
      <c r="C693" s="29">
        <f t="shared" si="410"/>
        <v>-5.5613595381156911</v>
      </c>
      <c r="D693" s="29">
        <f t="shared" si="411"/>
        <v>-3.4766290345470825</v>
      </c>
      <c r="E693" s="29">
        <f t="shared" si="412"/>
        <v>-4.0996722888215986</v>
      </c>
      <c r="F693" s="29">
        <f t="shared" si="413"/>
        <v>3.7742226182239316</v>
      </c>
      <c r="G693" s="29">
        <f t="shared" si="414"/>
        <v>-2.0491236763982967</v>
      </c>
      <c r="H693" s="29">
        <f t="shared" si="415"/>
        <v>5.9367726369865466</v>
      </c>
      <c r="I693" s="29">
        <f t="shared" si="416"/>
        <v>5.9110314429497972</v>
      </c>
      <c r="J693" s="29">
        <f t="shared" si="417"/>
        <v>-2.9148935142759367</v>
      </c>
      <c r="K693" s="26">
        <f t="shared" si="380"/>
        <v>-3.4766290345470825</v>
      </c>
      <c r="L693" s="26">
        <f t="shared" si="381"/>
        <v>2.9984570815157686E-2</v>
      </c>
      <c r="M693" s="26">
        <f t="shared" si="382"/>
        <v>-2.0491236763982967</v>
      </c>
      <c r="N693" s="26">
        <f t="shared" si="383"/>
        <v>0.11414095885612868</v>
      </c>
      <c r="O693" s="26">
        <f t="shared" si="384"/>
        <v>-2.0621911380017073</v>
      </c>
      <c r="P693" s="26">
        <f t="shared" si="385"/>
        <v>0.11282631860355273</v>
      </c>
      <c r="Q693" s="26">
        <f t="shared" si="386"/>
        <v>6.3648890848151942E-3</v>
      </c>
      <c r="R693" s="26">
        <f t="shared" si="387"/>
        <v>-9.0379885726627727</v>
      </c>
      <c r="S693" s="26">
        <f t="shared" si="388"/>
        <v>1.1879545905861781E-4</v>
      </c>
      <c r="T693" s="26">
        <f t="shared" si="389"/>
        <v>1.7250989418256348</v>
      </c>
      <c r="U693" s="26">
        <f t="shared" si="390"/>
        <v>0.84878444705406386</v>
      </c>
      <c r="V693" s="26">
        <f t="shared" si="391"/>
        <v>2.1030033021781298</v>
      </c>
      <c r="W693" s="26">
        <f t="shared" si="392"/>
        <v>0.89119474135931709</v>
      </c>
      <c r="X693" s="26">
        <f t="shared" si="393"/>
        <v>5.9192921539329519E-3</v>
      </c>
      <c r="Y693" s="26">
        <f t="shared" si="394"/>
        <v>2.1283676132137908</v>
      </c>
      <c r="Z693" s="26">
        <f t="shared" si="395"/>
        <v>0.89362994070611046</v>
      </c>
      <c r="AA693" s="26">
        <f t="shared" si="396"/>
        <v>-6.1487959652198949</v>
      </c>
      <c r="AB693" s="26">
        <f t="shared" si="397"/>
        <v>2.1314991102087139E-3</v>
      </c>
      <c r="AC693" s="26">
        <f t="shared" si="398"/>
        <v>2.4029836235610729</v>
      </c>
      <c r="AD693" s="26">
        <f t="shared" si="399"/>
        <v>0.91705453694914774</v>
      </c>
      <c r="AE693" s="26">
        <f t="shared" si="400"/>
        <v>3.4399749203601489E-3</v>
      </c>
      <c r="AF693" s="26">
        <f t="shared" si="401"/>
        <v>-3.4329919249019003</v>
      </c>
      <c r="AG693" s="26">
        <f t="shared" si="402"/>
        <v>3.1280144595348294E-2</v>
      </c>
      <c r="AH693" s="26">
        <f t="shared" si="403"/>
        <v>-2.3745733469959638</v>
      </c>
      <c r="AI693" s="26">
        <f t="shared" si="404"/>
        <v>8.5132268894985805E-2</v>
      </c>
      <c r="AJ693" s="26">
        <f t="shared" si="405"/>
        <v>-2.2259708895133721</v>
      </c>
      <c r="AK693" s="26">
        <f t="shared" si="406"/>
        <v>9.744241646125551E-2</v>
      </c>
      <c r="AL693" s="26">
        <f t="shared" si="407"/>
        <v>4.7475122629043794E-3</v>
      </c>
      <c r="AM693" s="27">
        <f t="shared" si="408"/>
        <v>2.0471668422012673E-2</v>
      </c>
    </row>
    <row r="694" spans="1:39" ht="15" customHeight="1" x14ac:dyDescent="0.2">
      <c r="A694" s="24">
        <v>683</v>
      </c>
      <c r="B694" s="29">
        <f t="shared" si="409"/>
        <v>5.607015463755415</v>
      </c>
      <c r="C694" s="29">
        <f t="shared" si="410"/>
        <v>-5.5628937573542165</v>
      </c>
      <c r="D694" s="29">
        <f t="shared" si="411"/>
        <v>-3.4765528763358771</v>
      </c>
      <c r="E694" s="29">
        <f t="shared" si="412"/>
        <v>-4.10353832672401</v>
      </c>
      <c r="F694" s="29">
        <f t="shared" si="413"/>
        <v>3.7782816705457005</v>
      </c>
      <c r="G694" s="29">
        <f t="shared" si="414"/>
        <v>-2.0517352246831937</v>
      </c>
      <c r="H694" s="29">
        <f t="shared" si="415"/>
        <v>5.941805363825539</v>
      </c>
      <c r="I694" s="29">
        <f t="shared" si="416"/>
        <v>5.9179813572515627</v>
      </c>
      <c r="J694" s="29">
        <f t="shared" si="417"/>
        <v>-2.9178970715339787</v>
      </c>
      <c r="K694" s="26">
        <f t="shared" si="380"/>
        <v>-3.4765528763358771</v>
      </c>
      <c r="L694" s="26">
        <f t="shared" si="381"/>
        <v>2.9986785993822495E-2</v>
      </c>
      <c r="M694" s="26">
        <f t="shared" si="382"/>
        <v>-2.0517352246831937</v>
      </c>
      <c r="N694" s="26">
        <f t="shared" si="383"/>
        <v>0.11387716386911832</v>
      </c>
      <c r="O694" s="26">
        <f t="shared" si="384"/>
        <v>-2.0657984928778719</v>
      </c>
      <c r="P694" s="26">
        <f t="shared" si="385"/>
        <v>0.11246573886328988</v>
      </c>
      <c r="Q694" s="26">
        <f t="shared" si="386"/>
        <v>6.3242712090328555E-3</v>
      </c>
      <c r="R694" s="26">
        <f t="shared" si="387"/>
        <v>-9.039446633690094</v>
      </c>
      <c r="S694" s="26">
        <f t="shared" si="388"/>
        <v>1.1862239477605197E-4</v>
      </c>
      <c r="T694" s="26">
        <f t="shared" si="389"/>
        <v>1.7265464458625068</v>
      </c>
      <c r="U694" s="26">
        <f t="shared" si="390"/>
        <v>0.84897013956001344</v>
      </c>
      <c r="V694" s="26">
        <f t="shared" si="391"/>
        <v>2.1069972184269883</v>
      </c>
      <c r="W694" s="26">
        <f t="shared" si="392"/>
        <v>0.89158141348538067</v>
      </c>
      <c r="X694" s="26">
        <f t="shared" si="393"/>
        <v>5.8772949509139985E-3</v>
      </c>
      <c r="Y694" s="26">
        <f t="shared" si="394"/>
        <v>2.130462587419538</v>
      </c>
      <c r="Z694" s="26">
        <f t="shared" si="395"/>
        <v>0.89382891530731567</v>
      </c>
      <c r="AA694" s="26">
        <f t="shared" si="396"/>
        <v>-6.1552735514072037</v>
      </c>
      <c r="AB694" s="26">
        <f t="shared" si="397"/>
        <v>2.1177659079627984E-3</v>
      </c>
      <c r="AC694" s="26">
        <f t="shared" si="398"/>
        <v>2.40559327094374</v>
      </c>
      <c r="AD694" s="26">
        <f t="shared" si="399"/>
        <v>0.91725282519403351</v>
      </c>
      <c r="AE694" s="26">
        <f t="shared" si="400"/>
        <v>3.4235474691845882E-3</v>
      </c>
      <c r="AF694" s="26">
        <f t="shared" si="401"/>
        <v>-3.4324311699346786</v>
      </c>
      <c r="AG694" s="26">
        <f t="shared" si="402"/>
        <v>3.1297140889349435E-2</v>
      </c>
      <c r="AH694" s="26">
        <f t="shared" si="403"/>
        <v>-2.3769918808615031</v>
      </c>
      <c r="AI694" s="26">
        <f t="shared" si="404"/>
        <v>8.494409085579728E-2</v>
      </c>
      <c r="AJ694" s="26">
        <f t="shared" si="405"/>
        <v>-2.2292380058319474</v>
      </c>
      <c r="AK694" s="26">
        <f t="shared" si="406"/>
        <v>9.7155459763288488E-2</v>
      </c>
      <c r="AL694" s="26">
        <f t="shared" si="407"/>
        <v>4.7195916809079841E-3</v>
      </c>
      <c r="AM694" s="27">
        <f t="shared" si="408"/>
        <v>2.0344705310039429E-2</v>
      </c>
    </row>
    <row r="695" spans="1:39" ht="15" customHeight="1" x14ac:dyDescent="0.2">
      <c r="A695" s="24">
        <v>684</v>
      </c>
      <c r="B695" s="29">
        <f t="shared" si="409"/>
        <v>5.6090216734511529</v>
      </c>
      <c r="C695" s="29">
        <f t="shared" si="410"/>
        <v>-5.564421557708382</v>
      </c>
      <c r="D695" s="29">
        <f t="shared" si="411"/>
        <v>-3.4764795035493128</v>
      </c>
      <c r="E695" s="29">
        <f t="shared" si="412"/>
        <v>-4.1073799222862517</v>
      </c>
      <c r="F695" s="29">
        <f t="shared" si="413"/>
        <v>3.7823139121227713</v>
      </c>
      <c r="G695" s="29">
        <f t="shared" si="414"/>
        <v>-2.0543283713687006</v>
      </c>
      <c r="H695" s="29">
        <f t="shared" si="415"/>
        <v>5.9468169649236113</v>
      </c>
      <c r="I695" s="29">
        <f t="shared" si="416"/>
        <v>5.9248897225520407</v>
      </c>
      <c r="J695" s="29">
        <f t="shared" si="417"/>
        <v>-2.920884510389758</v>
      </c>
      <c r="K695" s="26">
        <f t="shared" si="380"/>
        <v>-3.4764795035493128</v>
      </c>
      <c r="L695" s="26">
        <f t="shared" si="381"/>
        <v>2.9988920304126403E-2</v>
      </c>
      <c r="M695" s="26">
        <f t="shared" si="382"/>
        <v>-2.0543283713687006</v>
      </c>
      <c r="N695" s="26">
        <f t="shared" si="383"/>
        <v>0.11361575351686158</v>
      </c>
      <c r="O695" s="26">
        <f t="shared" si="384"/>
        <v>-2.0693850800333777</v>
      </c>
      <c r="P695" s="26">
        <f t="shared" si="385"/>
        <v>0.11210823307822773</v>
      </c>
      <c r="Q695" s="26">
        <f t="shared" si="386"/>
        <v>6.2841279619611171E-3</v>
      </c>
      <c r="R695" s="26">
        <f t="shared" si="387"/>
        <v>-9.0409010612576957</v>
      </c>
      <c r="S695" s="26">
        <f t="shared" si="388"/>
        <v>1.1845001291971028E-4</v>
      </c>
      <c r="T695" s="26">
        <f t="shared" si="389"/>
        <v>1.7279855407540707</v>
      </c>
      <c r="U695" s="26">
        <f t="shared" si="390"/>
        <v>0.84915456742747919</v>
      </c>
      <c r="V695" s="26">
        <f t="shared" si="391"/>
        <v>2.1109670595657635</v>
      </c>
      <c r="W695" s="26">
        <f t="shared" si="392"/>
        <v>0.89196455808817066</v>
      </c>
      <c r="X695" s="26">
        <f t="shared" si="393"/>
        <v>5.8358283545421261E-3</v>
      </c>
      <c r="Y695" s="26">
        <f t="shared" si="394"/>
        <v>2.1325421699018401</v>
      </c>
      <c r="Z695" s="26">
        <f t="shared" si="395"/>
        <v>0.89402610359095425</v>
      </c>
      <c r="AA695" s="26">
        <f t="shared" si="396"/>
        <v>-6.1617082936549519</v>
      </c>
      <c r="AB695" s="26">
        <f t="shared" si="397"/>
        <v>2.1042109629311762E-3</v>
      </c>
      <c r="AC695" s="26">
        <f t="shared" si="398"/>
        <v>2.4081923074378357</v>
      </c>
      <c r="AD695" s="26">
        <f t="shared" si="399"/>
        <v>0.91744987846512172</v>
      </c>
      <c r="AE695" s="26">
        <f t="shared" si="400"/>
        <v>3.4072612827115876E-3</v>
      </c>
      <c r="AF695" s="26">
        <f t="shared" si="401"/>
        <v>-3.4318793878065419</v>
      </c>
      <c r="AG695" s="26">
        <f t="shared" si="402"/>
        <v>3.1313873942783343E-2</v>
      </c>
      <c r="AH695" s="26">
        <f t="shared" si="403"/>
        <v>-2.379394381532181</v>
      </c>
      <c r="AI695" s="26">
        <f t="shared" si="404"/>
        <v>8.4757533979748848E-2</v>
      </c>
      <c r="AJ695" s="26">
        <f t="shared" si="405"/>
        <v>-2.2324875916038653</v>
      </c>
      <c r="AK695" s="26">
        <f t="shared" si="406"/>
        <v>9.6870791103479931E-2</v>
      </c>
      <c r="AL695" s="26">
        <f t="shared" si="407"/>
        <v>4.691975084507023E-3</v>
      </c>
      <c r="AM695" s="27">
        <f t="shared" si="408"/>
        <v>2.0219192683721854E-2</v>
      </c>
    </row>
    <row r="696" spans="1:39" ht="15" customHeight="1" x14ac:dyDescent="0.2">
      <c r="A696" s="24">
        <v>685</v>
      </c>
      <c r="B696" s="29">
        <f t="shared" si="409"/>
        <v>5.6110154145917246</v>
      </c>
      <c r="C696" s="29">
        <f t="shared" si="410"/>
        <v>-5.5659429878082989</v>
      </c>
      <c r="D696" s="29">
        <f t="shared" si="411"/>
        <v>-3.4764088736757963</v>
      </c>
      <c r="E696" s="29">
        <f t="shared" si="412"/>
        <v>-4.1111973465438698</v>
      </c>
      <c r="F696" s="29">
        <f t="shared" si="413"/>
        <v>3.7863196566132351</v>
      </c>
      <c r="G696" s="29">
        <f t="shared" si="414"/>
        <v>-2.056903338296483</v>
      </c>
      <c r="H696" s="29">
        <f t="shared" si="415"/>
        <v>5.9518075975346187</v>
      </c>
      <c r="I696" s="29">
        <f t="shared" si="416"/>
        <v>5.9317569950122104</v>
      </c>
      <c r="J696" s="29">
        <f t="shared" si="417"/>
        <v>-2.92385599382352</v>
      </c>
      <c r="K696" s="26">
        <f t="shared" si="380"/>
        <v>-3.4764088736757963</v>
      </c>
      <c r="L696" s="26">
        <f t="shared" si="381"/>
        <v>2.9990974966040397E-2</v>
      </c>
      <c r="M696" s="26">
        <f t="shared" si="382"/>
        <v>-2.056903338296483</v>
      </c>
      <c r="N696" s="26">
        <f t="shared" si="383"/>
        <v>0.11335669365994068</v>
      </c>
      <c r="O696" s="26">
        <f t="shared" si="384"/>
        <v>-2.0729511206143609</v>
      </c>
      <c r="P696" s="26">
        <f t="shared" si="385"/>
        <v>0.11175376017621814</v>
      </c>
      <c r="Q696" s="26">
        <f t="shared" si="386"/>
        <v>6.24445145676184E-3</v>
      </c>
      <c r="R696" s="26">
        <f t="shared" si="387"/>
        <v>-9.0423518614840948</v>
      </c>
      <c r="S696" s="26">
        <f t="shared" si="388"/>
        <v>1.1827831052301328E-4</v>
      </c>
      <c r="T696" s="26">
        <f t="shared" si="389"/>
        <v>1.7294163183167521</v>
      </c>
      <c r="U696" s="26">
        <f t="shared" si="390"/>
        <v>0.84933774574196308</v>
      </c>
      <c r="V696" s="26">
        <f t="shared" si="391"/>
        <v>2.1149130903564659</v>
      </c>
      <c r="W696" s="26">
        <f t="shared" si="392"/>
        <v>0.89234422482689013</v>
      </c>
      <c r="X696" s="26">
        <f t="shared" si="393"/>
        <v>5.7948829640615896E-3</v>
      </c>
      <c r="Y696" s="26">
        <f t="shared" si="394"/>
        <v>2.1346065409159283</v>
      </c>
      <c r="Z696" s="26">
        <f t="shared" si="395"/>
        <v>0.8942215301484745</v>
      </c>
      <c r="AA696" s="26">
        <f t="shared" si="396"/>
        <v>-6.1681006848403523</v>
      </c>
      <c r="AB696" s="26">
        <f t="shared" si="397"/>
        <v>2.0908309576362738E-3</v>
      </c>
      <c r="AC696" s="26">
        <f t="shared" si="398"/>
        <v>2.4107808043515497</v>
      </c>
      <c r="AD696" s="26">
        <f t="shared" si="399"/>
        <v>0.91764570811277268</v>
      </c>
      <c r="AE696" s="26">
        <f t="shared" si="400"/>
        <v>3.3911146961233176E-3</v>
      </c>
      <c r="AF696" s="26">
        <f t="shared" si="401"/>
        <v>-3.4313364468923706</v>
      </c>
      <c r="AG696" s="26">
        <f t="shared" si="402"/>
        <v>3.1330347332250583E-2</v>
      </c>
      <c r="AH696" s="26">
        <f t="shared" si="403"/>
        <v>-2.3817810282271177</v>
      </c>
      <c r="AI696" s="26">
        <f t="shared" si="404"/>
        <v>8.4572576366007096E-2</v>
      </c>
      <c r="AJ696" s="26">
        <f t="shared" si="405"/>
        <v>-2.2357198230927655</v>
      </c>
      <c r="AK696" s="26">
        <f t="shared" si="406"/>
        <v>9.6588381608742419E-2</v>
      </c>
      <c r="AL696" s="26">
        <f t="shared" si="407"/>
        <v>4.6646577308980253E-3</v>
      </c>
      <c r="AM696" s="27">
        <f t="shared" si="408"/>
        <v>2.0095106847844775E-2</v>
      </c>
    </row>
    <row r="697" spans="1:39" ht="15" customHeight="1" x14ac:dyDescent="0.2">
      <c r="A697" s="24">
        <v>686</v>
      </c>
      <c r="B697" s="29">
        <f t="shared" si="409"/>
        <v>5.6129968228805902</v>
      </c>
      <c r="C697" s="29">
        <f t="shared" si="410"/>
        <v>-5.5674580957686919</v>
      </c>
      <c r="D697" s="29">
        <f t="shared" si="411"/>
        <v>-3.4763409448966573</v>
      </c>
      <c r="E697" s="29">
        <f t="shared" si="412"/>
        <v>-4.1149908663532591</v>
      </c>
      <c r="F697" s="29">
        <f t="shared" si="413"/>
        <v>3.7902992125492116</v>
      </c>
      <c r="G697" s="29">
        <f t="shared" si="414"/>
        <v>-2.059460343618313</v>
      </c>
      <c r="H697" s="29">
        <f t="shared" si="415"/>
        <v>5.9567774174078112</v>
      </c>
      <c r="I697" s="29">
        <f t="shared" si="416"/>
        <v>5.9385836237362755</v>
      </c>
      <c r="J697" s="29">
        <f t="shared" si="417"/>
        <v>-2.9268116824695181</v>
      </c>
      <c r="K697" s="26">
        <f t="shared" si="380"/>
        <v>-3.4763409448966573</v>
      </c>
      <c r="L697" s="26">
        <f t="shared" si="381"/>
        <v>2.9992951180325949E-2</v>
      </c>
      <c r="M697" s="26">
        <f t="shared" si="382"/>
        <v>-2.059460343618313</v>
      </c>
      <c r="N697" s="26">
        <f t="shared" si="383"/>
        <v>0.11309995081298972</v>
      </c>
      <c r="O697" s="26">
        <f t="shared" si="384"/>
        <v>-2.0764968324537385</v>
      </c>
      <c r="P697" s="26">
        <f t="shared" si="385"/>
        <v>0.1114022798159529</v>
      </c>
      <c r="Q697" s="26">
        <f t="shared" si="386"/>
        <v>6.2052339740959334E-3</v>
      </c>
      <c r="R697" s="26">
        <f t="shared" si="387"/>
        <v>-9.0437990406653483</v>
      </c>
      <c r="S697" s="26">
        <f t="shared" si="388"/>
        <v>1.1810728461326034E-4</v>
      </c>
      <c r="T697" s="26">
        <f t="shared" si="389"/>
        <v>1.7308388689308987</v>
      </c>
      <c r="U697" s="26">
        <f t="shared" si="390"/>
        <v>0.84951968933683886</v>
      </c>
      <c r="V697" s="26">
        <f t="shared" si="391"/>
        <v>2.1188355714735767</v>
      </c>
      <c r="W697" s="26">
        <f t="shared" si="392"/>
        <v>0.89272046243606562</v>
      </c>
      <c r="X697" s="26">
        <f t="shared" si="393"/>
        <v>5.7544495899658037E-3</v>
      </c>
      <c r="Y697" s="26">
        <f t="shared" si="394"/>
        <v>2.1366558779839329</v>
      </c>
      <c r="Z697" s="26">
        <f t="shared" si="395"/>
        <v>0.89441521913401445</v>
      </c>
      <c r="AA697" s="26">
        <f t="shared" si="396"/>
        <v>-6.174451209971572</v>
      </c>
      <c r="AB697" s="26">
        <f t="shared" si="397"/>
        <v>2.0776226537305245E-3</v>
      </c>
      <c r="AC697" s="26">
        <f t="shared" si="398"/>
        <v>2.4133588325215856</v>
      </c>
      <c r="AD697" s="26">
        <f t="shared" si="399"/>
        <v>0.9178403253660995</v>
      </c>
      <c r="AE697" s="26">
        <f t="shared" si="400"/>
        <v>3.3751060679741971E-3</v>
      </c>
      <c r="AF697" s="26">
        <f t="shared" si="401"/>
        <v>-3.430802217784759</v>
      </c>
      <c r="AG697" s="26">
        <f t="shared" si="402"/>
        <v>3.134656458148264E-2</v>
      </c>
      <c r="AH697" s="26">
        <f t="shared" si="403"/>
        <v>-2.3841519974223604</v>
      </c>
      <c r="AI697" s="26">
        <f t="shared" si="404"/>
        <v>8.4389196507627856E-2</v>
      </c>
      <c r="AJ697" s="26">
        <f t="shared" si="405"/>
        <v>-2.2389348740567652</v>
      </c>
      <c r="AK697" s="26">
        <f t="shared" si="406"/>
        <v>9.6308202894035619E-2</v>
      </c>
      <c r="AL697" s="26">
        <f t="shared" si="407"/>
        <v>4.6376349723393651E-3</v>
      </c>
      <c r="AM697" s="27">
        <f t="shared" si="408"/>
        <v>1.9972424604375299E-2</v>
      </c>
    </row>
    <row r="698" spans="1:39" ht="15" customHeight="1" x14ac:dyDescent="0.2">
      <c r="A698" s="24">
        <v>687</v>
      </c>
      <c r="B698" s="29">
        <f t="shared" si="409"/>
        <v>5.6149660320176258</v>
      </c>
      <c r="C698" s="29">
        <f t="shared" si="410"/>
        <v>-5.5689669291957031</v>
      </c>
      <c r="D698" s="29">
        <f t="shared" si="411"/>
        <v>-3.4762756760743057</v>
      </c>
      <c r="E698" s="29">
        <f t="shared" si="412"/>
        <v>-4.1187607444724854</v>
      </c>
      <c r="F698" s="29">
        <f t="shared" si="413"/>
        <v>3.7942528834422378</v>
      </c>
      <c r="G698" s="29">
        <f t="shared" si="414"/>
        <v>-2.061999601873048</v>
      </c>
      <c r="H698" s="29">
        <f t="shared" si="415"/>
        <v>5.9617265788017493</v>
      </c>
      <c r="I698" s="29">
        <f t="shared" si="416"/>
        <v>5.9453700509091574</v>
      </c>
      <c r="J698" s="29">
        <f t="shared" si="417"/>
        <v>-2.9297517346584607</v>
      </c>
      <c r="K698" s="26">
        <f t="shared" si="380"/>
        <v>-3.4762756760743057</v>
      </c>
      <c r="L698" s="26">
        <f t="shared" si="381"/>
        <v>2.9994850128842069E-2</v>
      </c>
      <c r="M698" s="26">
        <f t="shared" si="382"/>
        <v>-2.061999601873048</v>
      </c>
      <c r="N698" s="26">
        <f t="shared" si="383"/>
        <v>0.1128454921292065</v>
      </c>
      <c r="O698" s="26">
        <f t="shared" si="384"/>
        <v>-2.0800224301330785</v>
      </c>
      <c r="P698" s="26">
        <f t="shared" si="385"/>
        <v>0.11105375237103879</v>
      </c>
      <c r="Q698" s="26">
        <f t="shared" si="386"/>
        <v>6.1664679578440013E-3</v>
      </c>
      <c r="R698" s="26">
        <f t="shared" si="387"/>
        <v>-9.0452426052700083</v>
      </c>
      <c r="S698" s="26">
        <f t="shared" si="388"/>
        <v>1.1793693221228685E-4</v>
      </c>
      <c r="T698" s="26">
        <f t="shared" si="389"/>
        <v>1.7322532815691898</v>
      </c>
      <c r="U698" s="26">
        <f t="shared" si="390"/>
        <v>0.84970041279865383</v>
      </c>
      <c r="V698" s="26">
        <f t="shared" si="391"/>
        <v>2.1227347595831967</v>
      </c>
      <c r="W698" s="26">
        <f t="shared" si="392"/>
        <v>0.8930933187466078</v>
      </c>
      <c r="X698" s="26">
        <f t="shared" si="393"/>
        <v>5.7145192483071998E-3</v>
      </c>
      <c r="Y698" s="26">
        <f t="shared" si="394"/>
        <v>2.1386903559433201</v>
      </c>
      <c r="Z698" s="26">
        <f t="shared" si="395"/>
        <v>0.89460719427365876</v>
      </c>
      <c r="AA698" s="26">
        <f t="shared" si="396"/>
        <v>-6.180760346345533</v>
      </c>
      <c r="AB698" s="26">
        <f t="shared" si="397"/>
        <v>2.064582889715541E-3</v>
      </c>
      <c r="AC698" s="26">
        <f t="shared" si="398"/>
        <v>2.415926462310205</v>
      </c>
      <c r="AD698" s="26">
        <f t="shared" si="399"/>
        <v>0.91803374133397808</v>
      </c>
      <c r="AE698" s="26">
        <f t="shared" si="400"/>
        <v>3.3592337798526066E-3</v>
      </c>
      <c r="AF698" s="26">
        <f t="shared" si="401"/>
        <v>-3.430276573252383</v>
      </c>
      <c r="AG698" s="26">
        <f t="shared" si="402"/>
        <v>3.1362529162137144E-2</v>
      </c>
      <c r="AH698" s="26">
        <f t="shared" si="403"/>
        <v>-2.3865074629032956</v>
      </c>
      <c r="AI698" s="26">
        <f t="shared" si="404"/>
        <v>8.4207373282824044E-2</v>
      </c>
      <c r="AJ698" s="26">
        <f t="shared" si="405"/>
        <v>-2.2421329157926726</v>
      </c>
      <c r="AK698" s="26">
        <f t="shared" si="406"/>
        <v>9.6030227052246064E-2</v>
      </c>
      <c r="AL698" s="26">
        <f t="shared" si="407"/>
        <v>4.6109022538529656E-3</v>
      </c>
      <c r="AM698" s="27">
        <f t="shared" si="408"/>
        <v>1.9851123239856775E-2</v>
      </c>
    </row>
    <row r="699" spans="1:39" ht="15" customHeight="1" x14ac:dyDescent="0.2">
      <c r="A699" s="24">
        <v>688</v>
      </c>
      <c r="B699" s="29">
        <f t="shared" si="409"/>
        <v>5.6169231737349792</v>
      </c>
      <c r="C699" s="29">
        <f t="shared" si="410"/>
        <v>-5.5704695351935882</v>
      </c>
      <c r="D699" s="29">
        <f t="shared" si="411"/>
        <v>-3.4762130267405715</v>
      </c>
      <c r="E699" s="29">
        <f t="shared" si="412"/>
        <v>-4.12250723964027</v>
      </c>
      <c r="F699" s="29">
        <f t="shared" si="413"/>
        <v>3.7981809678860943</v>
      </c>
      <c r="G699" s="29">
        <f t="shared" si="414"/>
        <v>-2.0645213240617046</v>
      </c>
      <c r="H699" s="29">
        <f t="shared" si="415"/>
        <v>5.9666552344982273</v>
      </c>
      <c r="I699" s="29">
        <f t="shared" si="416"/>
        <v>5.9521167119308389</v>
      </c>
      <c r="J699" s="29">
        <f t="shared" si="417"/>
        <v>-2.9326763064590682</v>
      </c>
      <c r="K699" s="26">
        <f t="shared" si="380"/>
        <v>-3.4762130267405715</v>
      </c>
      <c r="L699" s="26">
        <f t="shared" si="381"/>
        <v>2.999667297484827E-2</v>
      </c>
      <c r="M699" s="26">
        <f t="shared" si="382"/>
        <v>-2.0645213240617046</v>
      </c>
      <c r="N699" s="26">
        <f t="shared" si="383"/>
        <v>0.11259328538529632</v>
      </c>
      <c r="O699" s="26">
        <f t="shared" si="384"/>
        <v>-2.0835281250431379</v>
      </c>
      <c r="P699" s="26">
        <f t="shared" si="385"/>
        <v>0.11070813891447542</v>
      </c>
      <c r="Q699" s="26">
        <f t="shared" si="386"/>
        <v>6.1281460109533937E-3</v>
      </c>
      <c r="R699" s="26">
        <f t="shared" si="387"/>
        <v>-9.0466825619341602</v>
      </c>
      <c r="S699" s="26">
        <f t="shared" si="388"/>
        <v>1.177672503371048E-4</v>
      </c>
      <c r="T699" s="26">
        <f t="shared" si="389"/>
        <v>1.7336596438243896</v>
      </c>
      <c r="U699" s="26">
        <f t="shared" si="390"/>
        <v>0.84987993047229915</v>
      </c>
      <c r="V699" s="26">
        <f t="shared" si="391"/>
        <v>2.1266109074203992</v>
      </c>
      <c r="W699" s="26">
        <f t="shared" si="392"/>
        <v>0.89346284070631521</v>
      </c>
      <c r="X699" s="26">
        <f t="shared" si="393"/>
        <v>5.6750831551839838E-3</v>
      </c>
      <c r="Y699" s="26">
        <f t="shared" si="394"/>
        <v>2.1407101469944076</v>
      </c>
      <c r="Z699" s="26">
        <f t="shared" si="395"/>
        <v>0.89479747887447758</v>
      </c>
      <c r="AA699" s="26">
        <f t="shared" si="396"/>
        <v>-6.1870285637019746</v>
      </c>
      <c r="AB699" s="26">
        <f t="shared" si="397"/>
        <v>2.0517085787378491E-3</v>
      </c>
      <c r="AC699" s="26">
        <f t="shared" si="398"/>
        <v>2.4184837636026679</v>
      </c>
      <c r="AD699" s="26">
        <f t="shared" si="399"/>
        <v>0.91822596700607795</v>
      </c>
      <c r="AE699" s="26">
        <f t="shared" si="400"/>
        <v>3.3434962360455261E-3</v>
      </c>
      <c r="AF699" s="26">
        <f t="shared" si="401"/>
        <v>-3.4297593881991806</v>
      </c>
      <c r="AG699" s="26">
        <f t="shared" si="402"/>
        <v>3.1378244494583749E-2</v>
      </c>
      <c r="AH699" s="26">
        <f t="shared" si="403"/>
        <v>-2.3888475958158804</v>
      </c>
      <c r="AI699" s="26">
        <f t="shared" si="404"/>
        <v>8.4027085946461078E-2</v>
      </c>
      <c r="AJ699" s="26">
        <f t="shared" si="405"/>
        <v>-2.2453141171793147</v>
      </c>
      <c r="AK699" s="26">
        <f t="shared" si="406"/>
        <v>9.5754426644309887E-2</v>
      </c>
      <c r="AL699" s="26">
        <f t="shared" si="407"/>
        <v>4.5844551109902616E-3</v>
      </c>
      <c r="AM699" s="27">
        <f t="shared" si="408"/>
        <v>1.9731180513173165E-2</v>
      </c>
    </row>
    <row r="700" spans="1:39" ht="15" customHeight="1" x14ac:dyDescent="0.2">
      <c r="A700" s="24">
        <v>689</v>
      </c>
      <c r="B700" s="29">
        <f t="shared" si="409"/>
        <v>5.6188683778322073</v>
      </c>
      <c r="C700" s="29">
        <f t="shared" si="410"/>
        <v>-5.5719659603713145</v>
      </c>
      <c r="D700" s="29">
        <f t="shared" si="411"/>
        <v>-3.4761529570852274</v>
      </c>
      <c r="E700" s="29">
        <f t="shared" si="412"/>
        <v>-4.1262306066531753</v>
      </c>
      <c r="F700" s="29">
        <f t="shared" si="413"/>
        <v>3.8020837596571444</v>
      </c>
      <c r="G700" s="29">
        <f t="shared" si="414"/>
        <v>-2.0670257177206857</v>
      </c>
      <c r="H700" s="29">
        <f t="shared" si="415"/>
        <v>5.9715635358161911</v>
      </c>
      <c r="I700" s="29">
        <f t="shared" si="416"/>
        <v>5.9588240355476279</v>
      </c>
      <c r="J700" s="29">
        <f t="shared" si="417"/>
        <v>-2.9355855517187601</v>
      </c>
      <c r="K700" s="26">
        <f t="shared" si="380"/>
        <v>-3.4761529570852274</v>
      </c>
      <c r="L700" s="26">
        <f t="shared" si="381"/>
        <v>2.9998420863303558E-2</v>
      </c>
      <c r="M700" s="26">
        <f t="shared" si="382"/>
        <v>-2.0670257177206857</v>
      </c>
      <c r="N700" s="26">
        <f t="shared" si="383"/>
        <v>0.11234329896683444</v>
      </c>
      <c r="O700" s="26">
        <f t="shared" si="384"/>
        <v>-2.0870141254431029</v>
      </c>
      <c r="P700" s="26">
        <f t="shared" si="385"/>
        <v>0.11036540120352341</v>
      </c>
      <c r="Q700" s="26">
        <f t="shared" si="386"/>
        <v>6.090260891407343E-3</v>
      </c>
      <c r="R700" s="26">
        <f t="shared" si="387"/>
        <v>-9.0481189174565415</v>
      </c>
      <c r="S700" s="26">
        <f t="shared" si="388"/>
        <v>1.1759823600052824E-4</v>
      </c>
      <c r="T700" s="26">
        <f t="shared" si="389"/>
        <v>1.7350580419364587</v>
      </c>
      <c r="U700" s="26">
        <f t="shared" si="390"/>
        <v>0.85005825646605371</v>
      </c>
      <c r="V700" s="26">
        <f t="shared" si="391"/>
        <v>2.1304642638648472</v>
      </c>
      <c r="W700" s="26">
        <f t="shared" si="392"/>
        <v>0.89382907439983439</v>
      </c>
      <c r="X700" s="26">
        <f t="shared" si="393"/>
        <v>5.6361327213979504E-3</v>
      </c>
      <c r="Y700" s="26">
        <f t="shared" si="394"/>
        <v>2.1427154207469798</v>
      </c>
      <c r="Z700" s="26">
        <f t="shared" si="395"/>
        <v>0.89498609583334798</v>
      </c>
      <c r="AA700" s="26">
        <f t="shared" si="396"/>
        <v>-6.193256324373861</v>
      </c>
      <c r="AB700" s="26">
        <f t="shared" si="397"/>
        <v>2.0389967064583054E-3</v>
      </c>
      <c r="AC700" s="26">
        <f t="shared" si="398"/>
        <v>2.4210308058050014</v>
      </c>
      <c r="AD700" s="26">
        <f t="shared" si="399"/>
        <v>0.91841701325390235</v>
      </c>
      <c r="AE700" s="26">
        <f t="shared" si="400"/>
        <v>3.3278918632069724E-3</v>
      </c>
      <c r="AF700" s="26">
        <f t="shared" si="401"/>
        <v>-3.4292505396243347</v>
      </c>
      <c r="AG700" s="26">
        <f t="shared" si="402"/>
        <v>3.1393713948680242E-2</v>
      </c>
      <c r="AH700" s="26">
        <f t="shared" si="403"/>
        <v>-2.3911725647167166</v>
      </c>
      <c r="AI700" s="26">
        <f t="shared" si="404"/>
        <v>8.3848314121773848E-2</v>
      </c>
      <c r="AJ700" s="26">
        <f t="shared" si="405"/>
        <v>-2.2484786447200036</v>
      </c>
      <c r="AK700" s="26">
        <f t="shared" si="406"/>
        <v>9.5480774689571446E-2</v>
      </c>
      <c r="AL700" s="26">
        <f t="shared" si="407"/>
        <v>4.5582891676603536E-3</v>
      </c>
      <c r="AM700" s="27">
        <f t="shared" si="408"/>
        <v>1.9612574643672619E-2</v>
      </c>
    </row>
    <row r="701" spans="1:39" ht="15" customHeight="1" x14ac:dyDescent="0.2">
      <c r="A701" s="24">
        <v>690</v>
      </c>
      <c r="B701" s="29">
        <f t="shared" si="409"/>
        <v>5.620801772210708</v>
      </c>
      <c r="C701" s="29">
        <f t="shared" si="410"/>
        <v>-5.5734562508490599</v>
      </c>
      <c r="D701" s="29">
        <f t="shared" si="411"/>
        <v>-3.4760954279446943</v>
      </c>
      <c r="E701" s="29">
        <f t="shared" si="412"/>
        <v>-4.1299310964410472</v>
      </c>
      <c r="F701" s="29">
        <f t="shared" si="413"/>
        <v>3.8059615478122466</v>
      </c>
      <c r="G701" s="29">
        <f t="shared" si="414"/>
        <v>-2.0695129869932072</v>
      </c>
      <c r="H701" s="29">
        <f t="shared" si="415"/>
        <v>5.9764516326256469</v>
      </c>
      <c r="I701" s="29">
        <f t="shared" si="416"/>
        <v>5.9654924439804251</v>
      </c>
      <c r="J701" s="29">
        <f t="shared" si="417"/>
        <v>-2.9384796221034919</v>
      </c>
      <c r="K701" s="26">
        <f t="shared" si="380"/>
        <v>-3.4760954279446943</v>
      </c>
      <c r="L701" s="26">
        <f t="shared" si="381"/>
        <v>3.0000094921161364E-2</v>
      </c>
      <c r="M701" s="26">
        <f t="shared" si="382"/>
        <v>-2.0695129869932072</v>
      </c>
      <c r="N701" s="26">
        <f t="shared" si="383"/>
        <v>0.11209550185403348</v>
      </c>
      <c r="O701" s="26">
        <f t="shared" si="384"/>
        <v>-2.0904806365185622</v>
      </c>
      <c r="P701" s="26">
        <f t="shared" si="385"/>
        <v>0.11002550166495255</v>
      </c>
      <c r="Q701" s="26">
        <f t="shared" si="386"/>
        <v>6.0528055083122383E-3</v>
      </c>
      <c r="R701" s="26">
        <f t="shared" si="387"/>
        <v>-9.0495516787937547</v>
      </c>
      <c r="S701" s="26">
        <f t="shared" si="388"/>
        <v>1.1742988621178125E-4</v>
      </c>
      <c r="T701" s="26">
        <f t="shared" si="389"/>
        <v>1.7364485608190394</v>
      </c>
      <c r="U701" s="26">
        <f t="shared" si="390"/>
        <v>0.85023540465650205</v>
      </c>
      <c r="V701" s="26">
        <f t="shared" si="391"/>
        <v>2.13429507401468</v>
      </c>
      <c r="W701" s="26">
        <f t="shared" si="392"/>
        <v>0.89419206506809612</v>
      </c>
      <c r="X701" s="26">
        <f t="shared" si="393"/>
        <v>5.5976595472770029E-3</v>
      </c>
      <c r="Y701" s="26">
        <f t="shared" si="394"/>
        <v>2.1447063442660137</v>
      </c>
      <c r="Z701" s="26">
        <f t="shared" si="395"/>
        <v>0.8951730676455667</v>
      </c>
      <c r="AA701" s="26">
        <f t="shared" si="396"/>
        <v>-6.1994440834342548</v>
      </c>
      <c r="AB701" s="26">
        <f t="shared" si="397"/>
        <v>2.0264443289923447E-3</v>
      </c>
      <c r="AC701" s="26">
        <f t="shared" si="398"/>
        <v>2.4235676578421148</v>
      </c>
      <c r="AD701" s="26">
        <f t="shared" si="399"/>
        <v>0.91860689083184266</v>
      </c>
      <c r="AE701" s="26">
        <f t="shared" si="400"/>
        <v>3.3124191100297891E-3</v>
      </c>
      <c r="AF701" s="26">
        <f t="shared" si="401"/>
        <v>-3.4287499065830462</v>
      </c>
      <c r="AG701" s="26">
        <f t="shared" si="402"/>
        <v>3.1408940844538998E-2</v>
      </c>
      <c r="AH701" s="26">
        <f t="shared" si="403"/>
        <v>-2.3934825356220077</v>
      </c>
      <c r="AI701" s="26">
        <f t="shared" si="404"/>
        <v>8.3671037792297717E-2</v>
      </c>
      <c r="AJ701" s="26">
        <f t="shared" si="405"/>
        <v>-2.2516266625841519</v>
      </c>
      <c r="AK701" s="26">
        <f t="shared" si="406"/>
        <v>9.5209244656372108E-2</v>
      </c>
      <c r="AL701" s="26">
        <f t="shared" si="407"/>
        <v>4.5324001340184602E-3</v>
      </c>
      <c r="AM701" s="27">
        <f t="shared" si="408"/>
        <v>1.949528429963749E-2</v>
      </c>
    </row>
    <row r="702" spans="1:39" ht="15" customHeight="1" x14ac:dyDescent="0.2">
      <c r="A702" s="24">
        <v>691</v>
      </c>
      <c r="B702" s="29">
        <f t="shared" si="409"/>
        <v>5.622723482907463</v>
      </c>
      <c r="C702" s="29">
        <f t="shared" si="410"/>
        <v>-5.5749404522646113</v>
      </c>
      <c r="D702" s="29">
        <f t="shared" si="411"/>
        <v>-3.4760404007909238</v>
      </c>
      <c r="E702" s="29">
        <f t="shared" si="412"/>
        <v>-4.1336089561407503</v>
      </c>
      <c r="F702" s="29">
        <f t="shared" si="413"/>
        <v>3.8098146167843128</v>
      </c>
      <c r="G702" s="29">
        <f t="shared" si="414"/>
        <v>-2.0719833326989789</v>
      </c>
      <c r="H702" s="29">
        <f t="shared" si="415"/>
        <v>5.981319673361547</v>
      </c>
      <c r="I702" s="29">
        <f t="shared" si="416"/>
        <v>5.9721223530500787</v>
      </c>
      <c r="J702" s="29">
        <f t="shared" si="417"/>
        <v>-2.9413586671367593</v>
      </c>
      <c r="K702" s="26">
        <f t="shared" si="380"/>
        <v>-3.4760404007909238</v>
      </c>
      <c r="L702" s="26">
        <f t="shared" si="381"/>
        <v>3.0001696257660509E-2</v>
      </c>
      <c r="M702" s="26">
        <f t="shared" si="382"/>
        <v>-2.0719833326989789</v>
      </c>
      <c r="N702" s="26">
        <f t="shared" si="383"/>
        <v>0.11184986360790337</v>
      </c>
      <c r="O702" s="26">
        <f t="shared" si="384"/>
        <v>-2.0939278604382348</v>
      </c>
      <c r="P702" s="26">
        <f t="shared" si="385"/>
        <v>0.10968840338065991</v>
      </c>
      <c r="Q702" s="26">
        <f t="shared" si="386"/>
        <v>6.0157729180991826E-3</v>
      </c>
      <c r="R702" s="26">
        <f t="shared" si="387"/>
        <v>-9.0509808530555347</v>
      </c>
      <c r="S702" s="26">
        <f t="shared" si="388"/>
        <v>1.1726219797709391E-4</v>
      </c>
      <c r="T702" s="26">
        <f t="shared" si="389"/>
        <v>1.7378312840853338</v>
      </c>
      <c r="U702" s="26">
        <f t="shared" si="390"/>
        <v>0.85041138869333421</v>
      </c>
      <c r="V702" s="26">
        <f t="shared" si="391"/>
        <v>2.1381035792587628</v>
      </c>
      <c r="W702" s="26">
        <f t="shared" si="392"/>
        <v>0.89455185712724028</v>
      </c>
      <c r="X702" s="26">
        <f t="shared" si="393"/>
        <v>5.5596554176569734E-3</v>
      </c>
      <c r="Y702" s="26">
        <f t="shared" si="394"/>
        <v>2.1466830821165392</v>
      </c>
      <c r="Z702" s="26">
        <f t="shared" si="395"/>
        <v>0.89535841641325897</v>
      </c>
      <c r="AA702" s="26">
        <f t="shared" si="396"/>
        <v>-6.2055922888397292</v>
      </c>
      <c r="AB702" s="26">
        <f t="shared" si="397"/>
        <v>2.0140485709184393E-3</v>
      </c>
      <c r="AC702" s="26">
        <f t="shared" si="398"/>
        <v>2.4260943881562174</v>
      </c>
      <c r="AD702" s="26">
        <f t="shared" si="399"/>
        <v>0.91879561037824331</v>
      </c>
      <c r="AE702" s="26">
        <f t="shared" si="400"/>
        <v>3.2970764469210326E-3</v>
      </c>
      <c r="AF702" s="26">
        <f t="shared" si="401"/>
        <v>-3.4282573701480721</v>
      </c>
      <c r="AG702" s="26">
        <f t="shared" si="402"/>
        <v>3.1423928453283921E-2</v>
      </c>
      <c r="AH702" s="26">
        <f t="shared" si="403"/>
        <v>-2.3957776720554165</v>
      </c>
      <c r="AI702" s="26">
        <f t="shared" si="404"/>
        <v>8.3495237294008054E-2</v>
      </c>
      <c r="AJ702" s="26">
        <f t="shared" si="405"/>
        <v>-2.2547583326480605</v>
      </c>
      <c r="AK702" s="26">
        <f t="shared" si="406"/>
        <v>9.4939810452862844E-2</v>
      </c>
      <c r="AL702" s="26">
        <f t="shared" si="407"/>
        <v>4.5067838044127624E-3</v>
      </c>
      <c r="AM702" s="27">
        <f t="shared" si="408"/>
        <v>1.9379288587089951E-2</v>
      </c>
    </row>
    <row r="703" spans="1:39" ht="15" customHeight="1" x14ac:dyDescent="0.2">
      <c r="A703" s="24">
        <v>692</v>
      </c>
      <c r="B703" s="29">
        <f t="shared" si="409"/>
        <v>5.6246336341281022</v>
      </c>
      <c r="C703" s="29">
        <f t="shared" si="410"/>
        <v>-5.5764186097796662</v>
      </c>
      <c r="D703" s="29">
        <f t="shared" si="411"/>
        <v>-3.4759878377204627</v>
      </c>
      <c r="E703" s="29">
        <f t="shared" si="412"/>
        <v>-4.1372644291682432</v>
      </c>
      <c r="F703" s="29">
        <f t="shared" si="413"/>
        <v>3.8136432464755727</v>
      </c>
      <c r="G703" s="29">
        <f t="shared" si="414"/>
        <v>-2.0744369524021855</v>
      </c>
      <c r="H703" s="29">
        <f t="shared" si="415"/>
        <v>5.9861678050376508</v>
      </c>
      <c r="I703" s="29">
        <f t="shared" si="416"/>
        <v>5.9787141722998873</v>
      </c>
      <c r="J703" s="29">
        <f t="shared" si="417"/>
        <v>-2.9442228342377934</v>
      </c>
      <c r="K703" s="26">
        <f t="shared" si="380"/>
        <v>-3.4759878377204627</v>
      </c>
      <c r="L703" s="26">
        <f t="shared" si="381"/>
        <v>3.0003225964612031E-2</v>
      </c>
      <c r="M703" s="26">
        <f t="shared" si="382"/>
        <v>-2.0744369524021855</v>
      </c>
      <c r="N703" s="26">
        <f t="shared" si="383"/>
        <v>0.11160635435679168</v>
      </c>
      <c r="O703" s="26">
        <f t="shared" si="384"/>
        <v>-2.0973559964094894</v>
      </c>
      <c r="P703" s="26">
        <f t="shared" si="385"/>
        <v>0.10935407007364645</v>
      </c>
      <c r="Q703" s="26">
        <f t="shared" si="386"/>
        <v>5.9791563208359891E-3</v>
      </c>
      <c r="R703" s="26">
        <f t="shared" si="387"/>
        <v>-9.0524064475001289</v>
      </c>
      <c r="S703" s="26">
        <f t="shared" si="388"/>
        <v>1.1709516830027934E-4</v>
      </c>
      <c r="T703" s="26">
        <f t="shared" si="389"/>
        <v>1.7392062940733872</v>
      </c>
      <c r="U703" s="26">
        <f t="shared" si="390"/>
        <v>0.85058622200402512</v>
      </c>
      <c r="V703" s="26">
        <f t="shared" si="391"/>
        <v>2.1418900173472943</v>
      </c>
      <c r="W703" s="26">
        <f t="shared" si="392"/>
        <v>0.8949084941870451</v>
      </c>
      <c r="X703" s="26">
        <f t="shared" si="393"/>
        <v>5.522112297017167E-3</v>
      </c>
      <c r="Y703" s="26">
        <f t="shared" si="394"/>
        <v>2.1486457964076395</v>
      </c>
      <c r="Z703" s="26">
        <f t="shared" si="395"/>
        <v>0.89554216385358776</v>
      </c>
      <c r="AA703" s="26">
        <f t="shared" si="396"/>
        <v>-6.2117013815704283</v>
      </c>
      <c r="AB703" s="26">
        <f t="shared" si="397"/>
        <v>2.0018066233521564E-3</v>
      </c>
      <c r="AC703" s="26">
        <f t="shared" si="398"/>
        <v>2.4286110647055459</v>
      </c>
      <c r="AD703" s="26">
        <f t="shared" si="399"/>
        <v>0.9189831824164737</v>
      </c>
      <c r="AE703" s="26">
        <f t="shared" si="400"/>
        <v>3.2818623656811884E-3</v>
      </c>
      <c r="AF703" s="26">
        <f t="shared" si="401"/>
        <v>-3.4277728133720267</v>
      </c>
      <c r="AG703" s="26">
        <f t="shared" si="402"/>
        <v>3.1438679997797557E-2</v>
      </c>
      <c r="AH703" s="26">
        <f t="shared" si="403"/>
        <v>-2.398058135094856</v>
      </c>
      <c r="AI703" s="26">
        <f t="shared" si="404"/>
        <v>8.3320893307661723E-2</v>
      </c>
      <c r="AJ703" s="26">
        <f t="shared" si="405"/>
        <v>-2.2578738145348924</v>
      </c>
      <c r="AK703" s="26">
        <f t="shared" si="406"/>
        <v>9.4672446418034781E-2</v>
      </c>
      <c r="AL703" s="26">
        <f t="shared" si="407"/>
        <v>4.4814360553878333E-3</v>
      </c>
      <c r="AM703" s="27">
        <f t="shared" si="408"/>
        <v>1.9264567038922178E-2</v>
      </c>
    </row>
    <row r="704" spans="1:39" ht="15" customHeight="1" x14ac:dyDescent="0.2">
      <c r="A704" s="24">
        <v>693</v>
      </c>
      <c r="B704" s="29">
        <f t="shared" si="409"/>
        <v>5.6265323482793113</v>
      </c>
      <c r="C704" s="29">
        <f t="shared" si="410"/>
        <v>-5.5778907680860437</v>
      </c>
      <c r="D704" s="29">
        <f t="shared" si="411"/>
        <v>-3.4759377014436939</v>
      </c>
      <c r="E704" s="29">
        <f t="shared" si="412"/>
        <v>-4.1408977552890383</v>
      </c>
      <c r="F704" s="29">
        <f t="shared" si="413"/>
        <v>3.8174477123486104</v>
      </c>
      <c r="G704" s="29">
        <f t="shared" si="414"/>
        <v>-2.0768740404778172</v>
      </c>
      <c r="H704" s="29">
        <f t="shared" si="415"/>
        <v>5.9909961732603545</v>
      </c>
      <c r="I704" s="29">
        <f t="shared" si="416"/>
        <v>5.9852683051153353</v>
      </c>
      <c r="J704" s="29">
        <f t="shared" si="417"/>
        <v>-2.9470722687589581</v>
      </c>
      <c r="K704" s="26">
        <f t="shared" si="380"/>
        <v>-3.4759377014436939</v>
      </c>
      <c r="L704" s="26">
        <f t="shared" si="381"/>
        <v>3.0004685116682056E-2</v>
      </c>
      <c r="M704" s="26">
        <f t="shared" si="382"/>
        <v>-2.0768740404778172</v>
      </c>
      <c r="N704" s="26">
        <f t="shared" si="383"/>
        <v>0.11136494478329137</v>
      </c>
      <c r="O704" s="26">
        <f t="shared" si="384"/>
        <v>-2.1007652407326809</v>
      </c>
      <c r="P704" s="26">
        <f t="shared" si="385"/>
        <v>0.10902246609434291</v>
      </c>
      <c r="Q704" s="26">
        <f t="shared" si="386"/>
        <v>5.9429490566460744E-3</v>
      </c>
      <c r="R704" s="26">
        <f t="shared" si="387"/>
        <v>-9.0538284695297371</v>
      </c>
      <c r="S704" s="26">
        <f t="shared" si="388"/>
        <v>1.1692879418329822E-4</v>
      </c>
      <c r="T704" s="26">
        <f t="shared" si="389"/>
        <v>1.7405736718707931</v>
      </c>
      <c r="U704" s="26">
        <f t="shared" si="390"/>
        <v>0.85075991779840332</v>
      </c>
      <c r="V704" s="26">
        <f t="shared" si="391"/>
        <v>2.145654622460849</v>
      </c>
      <c r="W704" s="26">
        <f t="shared" si="392"/>
        <v>0.89526201906887759</v>
      </c>
      <c r="X704" s="26">
        <f t="shared" si="393"/>
        <v>5.4850223247640811E-3</v>
      </c>
      <c r="Y704" s="26">
        <f t="shared" si="394"/>
        <v>2.1505946468356174</v>
      </c>
      <c r="Z704" s="26">
        <f t="shared" si="395"/>
        <v>0.89572433130676898</v>
      </c>
      <c r="AA704" s="26">
        <f t="shared" si="396"/>
        <v>-6.2177717957668559</v>
      </c>
      <c r="AB704" s="26">
        <f t="shared" si="397"/>
        <v>1.989715742083386E-3</v>
      </c>
      <c r="AC704" s="26">
        <f t="shared" si="398"/>
        <v>2.4311177549633656</v>
      </c>
      <c r="AD704" s="26">
        <f t="shared" si="399"/>
        <v>0.91916961735601133</v>
      </c>
      <c r="AE704" s="26">
        <f t="shared" si="400"/>
        <v>3.2667753791868126E-3</v>
      </c>
      <c r="AF704" s="26">
        <f t="shared" si="401"/>
        <v>-3.4272961212504263</v>
      </c>
      <c r="AG704" s="26">
        <f t="shared" si="402"/>
        <v>3.1453198653458532E-2</v>
      </c>
      <c r="AH704" s="26">
        <f t="shared" si="403"/>
        <v>-2.4003240834182451</v>
      </c>
      <c r="AI704" s="26">
        <f t="shared" si="404"/>
        <v>8.3147986851334621E-2</v>
      </c>
      <c r="AJ704" s="26">
        <f t="shared" si="405"/>
        <v>-2.2609732656538508</v>
      </c>
      <c r="AK704" s="26">
        <f t="shared" si="406"/>
        <v>9.4407127312962219E-2</v>
      </c>
      <c r="AL704" s="26">
        <f t="shared" si="407"/>
        <v>4.4563528437429282E-3</v>
      </c>
      <c r="AM704" s="27">
        <f t="shared" si="408"/>
        <v>1.9151099604339895E-2</v>
      </c>
    </row>
    <row r="705" spans="1:39" ht="15" customHeight="1" x14ac:dyDescent="0.2">
      <c r="A705" s="24">
        <v>694</v>
      </c>
      <c r="B705" s="29">
        <f t="shared" si="409"/>
        <v>5.628419746000584</v>
      </c>
      <c r="C705" s="29">
        <f t="shared" si="410"/>
        <v>-5.5793569714117961</v>
      </c>
      <c r="D705" s="29">
        <f t="shared" si="411"/>
        <v>-3.4758899552742513</v>
      </c>
      <c r="E705" s="29">
        <f t="shared" si="412"/>
        <v>-4.1445091706870807</v>
      </c>
      <c r="F705" s="29">
        <f t="shared" si="413"/>
        <v>3.8212282855152271</v>
      </c>
      <c r="G705" s="29">
        <f t="shared" si="414"/>
        <v>-2.0792947881763957</v>
      </c>
      <c r="H705" s="29">
        <f t="shared" si="415"/>
        <v>5.9958049222424767</v>
      </c>
      <c r="I705" s="29">
        <f t="shared" si="416"/>
        <v>5.9917851488411253</v>
      </c>
      <c r="J705" s="29">
        <f t="shared" si="417"/>
        <v>-2.9499071140223747</v>
      </c>
      <c r="K705" s="26">
        <f t="shared" si="380"/>
        <v>-3.4758899552742513</v>
      </c>
      <c r="L705" s="26">
        <f t="shared" si="381"/>
        <v>3.0006074771670634E-2</v>
      </c>
      <c r="M705" s="26">
        <f t="shared" si="382"/>
        <v>-2.0792947881763957</v>
      </c>
      <c r="N705" s="26">
        <f t="shared" si="383"/>
        <v>0.11112560611150575</v>
      </c>
      <c r="O705" s="26">
        <f t="shared" si="384"/>
        <v>-2.1041557868543275</v>
      </c>
      <c r="P705" s="26">
        <f t="shared" si="385"/>
        <v>0.10869355640727527</v>
      </c>
      <c r="Q705" s="26">
        <f t="shared" si="386"/>
        <v>5.9071446022307648E-3</v>
      </c>
      <c r="R705" s="26">
        <f t="shared" si="387"/>
        <v>-9.0552469266860474</v>
      </c>
      <c r="S705" s="26">
        <f t="shared" si="388"/>
        <v>1.1676307262680663E-4</v>
      </c>
      <c r="T705" s="26">
        <f t="shared" si="389"/>
        <v>1.7419334973388314</v>
      </c>
      <c r="U705" s="26">
        <f t="shared" si="390"/>
        <v>0.85093248907310515</v>
      </c>
      <c r="V705" s="26">
        <f t="shared" si="391"/>
        <v>2.1493976252778624</v>
      </c>
      <c r="W705" s="26">
        <f t="shared" si="392"/>
        <v>0.89561247382317555</v>
      </c>
      <c r="X705" s="26">
        <f t="shared" si="393"/>
        <v>5.4483778106586053E-3</v>
      </c>
      <c r="Y705" s="26">
        <f t="shared" si="394"/>
        <v>2.1525297907263328</v>
      </c>
      <c r="Z705" s="26">
        <f t="shared" si="395"/>
        <v>0.89590493974389829</v>
      </c>
      <c r="AA705" s="26">
        <f t="shared" si="396"/>
        <v>-6.2238039588634759</v>
      </c>
      <c r="AB705" s="26">
        <f t="shared" si="397"/>
        <v>1.977773245774386E-3</v>
      </c>
      <c r="AC705" s="26">
        <f t="shared" si="398"/>
        <v>2.4336145259172466</v>
      </c>
      <c r="AD705" s="26">
        <f t="shared" si="399"/>
        <v>0.91935492549352837</v>
      </c>
      <c r="AE705" s="26">
        <f t="shared" si="400"/>
        <v>3.2518140210771799E-3</v>
      </c>
      <c r="AF705" s="26">
        <f t="shared" si="401"/>
        <v>-3.4268271806854633</v>
      </c>
      <c r="AG705" s="26">
        <f t="shared" si="402"/>
        <v>3.146748754886923E-2</v>
      </c>
      <c r="AH705" s="26">
        <f t="shared" si="403"/>
        <v>-2.4025756733482493</v>
      </c>
      <c r="AI705" s="26">
        <f t="shared" si="404"/>
        <v>8.2976499273149387E-2</v>
      </c>
      <c r="AJ705" s="26">
        <f t="shared" si="405"/>
        <v>-2.2640568412385775</v>
      </c>
      <c r="AK705" s="26">
        <f t="shared" si="406"/>
        <v>9.4143828312252348E-2</v>
      </c>
      <c r="AL705" s="26">
        <f t="shared" si="407"/>
        <v>4.4315302046434232E-3</v>
      </c>
      <c r="AM705" s="27">
        <f t="shared" si="408"/>
        <v>1.9038866638609972E-2</v>
      </c>
    </row>
    <row r="706" spans="1:39" ht="15" customHeight="1" x14ac:dyDescent="0.2">
      <c r="A706" s="24">
        <v>695</v>
      </c>
      <c r="B706" s="29">
        <f t="shared" si="409"/>
        <v>5.6302959461953472</v>
      </c>
      <c r="C706" s="29">
        <f t="shared" si="410"/>
        <v>-5.5808172635272308</v>
      </c>
      <c r="D706" s="29">
        <f t="shared" si="411"/>
        <v>-3.4758445631186121</v>
      </c>
      <c r="E706" s="29">
        <f t="shared" si="412"/>
        <v>-4.148098908032094</v>
      </c>
      <c r="F706" s="29">
        <f t="shared" si="413"/>
        <v>3.8249852328231992</v>
      </c>
      <c r="G706" s="29">
        <f t="shared" si="414"/>
        <v>-2.0816993836871363</v>
      </c>
      <c r="H706" s="29">
        <f t="shared" si="415"/>
        <v>6.000594194817003</v>
      </c>
      <c r="I706" s="29">
        <f t="shared" si="416"/>
        <v>5.9982650948955794</v>
      </c>
      <c r="J706" s="29">
        <f t="shared" si="417"/>
        <v>-2.952727511355786</v>
      </c>
      <c r="K706" s="26">
        <f t="shared" si="380"/>
        <v>-3.4758445631186121</v>
      </c>
      <c r="L706" s="26">
        <f t="shared" si="381"/>
        <v>3.0007395970786502E-2</v>
      </c>
      <c r="M706" s="26">
        <f t="shared" si="382"/>
        <v>-2.0816993836871363</v>
      </c>
      <c r="N706" s="26">
        <f t="shared" si="383"/>
        <v>0.11088831009465872</v>
      </c>
      <c r="O706" s="26">
        <f t="shared" si="384"/>
        <v>-2.1075278254191607</v>
      </c>
      <c r="P706" s="26">
        <f t="shared" si="385"/>
        <v>0.10836730657805993</v>
      </c>
      <c r="Q706" s="26">
        <f t="shared" si="386"/>
        <v>5.8717365674916151E-3</v>
      </c>
      <c r="R706" s="26">
        <f t="shared" si="387"/>
        <v>-9.0566618266458434</v>
      </c>
      <c r="S706" s="26">
        <f t="shared" si="388"/>
        <v>1.1659800063069062E-4</v>
      </c>
      <c r="T706" s="26">
        <f t="shared" si="389"/>
        <v>1.743285849136063</v>
      </c>
      <c r="U706" s="26">
        <f t="shared" si="390"/>
        <v>0.85110394861592387</v>
      </c>
      <c r="V706" s="26">
        <f t="shared" si="391"/>
        <v>2.1531192530406229</v>
      </c>
      <c r="W706" s="26">
        <f t="shared" si="392"/>
        <v>0.89595989974647738</v>
      </c>
      <c r="X706" s="26">
        <f t="shared" si="393"/>
        <v>5.412171230381518E-3</v>
      </c>
      <c r="Y706" s="26">
        <f t="shared" si="394"/>
        <v>2.1544513830767351</v>
      </c>
      <c r="Z706" s="26">
        <f t="shared" si="395"/>
        <v>0.89608400977459246</v>
      </c>
      <c r="AA706" s="26">
        <f t="shared" si="396"/>
        <v>-6.2297982917192307</v>
      </c>
      <c r="AB706" s="26">
        <f t="shared" si="397"/>
        <v>1.9659765142163474E-3</v>
      </c>
      <c r="AC706" s="26">
        <f t="shared" si="398"/>
        <v>2.436101444068584</v>
      </c>
      <c r="AD706" s="26">
        <f t="shared" si="399"/>
        <v>0.91953911701398516</v>
      </c>
      <c r="AE706" s="26">
        <f t="shared" si="400"/>
        <v>3.2369768454445858E-3</v>
      </c>
      <c r="AF706" s="26">
        <f t="shared" si="401"/>
        <v>-3.4263658804504957</v>
      </c>
      <c r="AG706" s="26">
        <f t="shared" si="402"/>
        <v>3.1481549766573899E-2</v>
      </c>
      <c r="AH706" s="26">
        <f t="shared" si="403"/>
        <v>-2.404813058896031</v>
      </c>
      <c r="AI706" s="26">
        <f t="shared" si="404"/>
        <v>8.2806412244188443E-2</v>
      </c>
      <c r="AJ706" s="26">
        <f t="shared" si="405"/>
        <v>-2.2671246943847905</v>
      </c>
      <c r="AK706" s="26">
        <f t="shared" si="406"/>
        <v>9.3882524995695993E-2</v>
      </c>
      <c r="AL706" s="26">
        <f t="shared" si="407"/>
        <v>4.4069642497837416E-3</v>
      </c>
      <c r="AM706" s="27">
        <f t="shared" si="408"/>
        <v>1.8927848893101461E-2</v>
      </c>
    </row>
    <row r="707" spans="1:39" ht="15" customHeight="1" x14ac:dyDescent="0.2">
      <c r="A707" s="24">
        <v>696</v>
      </c>
      <c r="B707" s="29">
        <f t="shared" si="409"/>
        <v>5.6321610660614612</v>
      </c>
      <c r="C707" s="29">
        <f t="shared" si="410"/>
        <v>-5.5822716877508434</v>
      </c>
      <c r="D707" s="29">
        <f t="shared" si="411"/>
        <v>-3.4758014894658595</v>
      </c>
      <c r="E707" s="29">
        <f t="shared" si="412"/>
        <v>-4.1516671965454224</v>
      </c>
      <c r="F707" s="29">
        <f t="shared" si="413"/>
        <v>3.8287188169409769</v>
      </c>
      <c r="G707" s="29">
        <f t="shared" si="414"/>
        <v>-2.0840880121995928</v>
      </c>
      <c r="H707" s="29">
        <f t="shared" si="415"/>
        <v>6.0053641324507758</v>
      </c>
      <c r="I707" s="29">
        <f t="shared" si="416"/>
        <v>6.0047085288824738</v>
      </c>
      <c r="J707" s="29">
        <f t="shared" si="417"/>
        <v>-2.9555336001276795</v>
      </c>
      <c r="K707" s="26">
        <f t="shared" si="380"/>
        <v>-3.4758014894658595</v>
      </c>
      <c r="L707" s="26">
        <f t="shared" si="381"/>
        <v>3.0008649738917901E-2</v>
      </c>
      <c r="M707" s="26">
        <f t="shared" si="382"/>
        <v>-2.0840880121995928</v>
      </c>
      <c r="N707" s="26">
        <f t="shared" si="383"/>
        <v>0.1106530290030401</v>
      </c>
      <c r="O707" s="26">
        <f t="shared" si="384"/>
        <v>-2.1108815443210691</v>
      </c>
      <c r="P707" s="26">
        <f t="shared" si="385"/>
        <v>0.10804368276072009</v>
      </c>
      <c r="Q707" s="26">
        <f t="shared" si="386"/>
        <v>5.8367186922495618E-3</v>
      </c>
      <c r="R707" s="26">
        <f t="shared" si="387"/>
        <v>-9.058073177216702</v>
      </c>
      <c r="S707" s="26">
        <f t="shared" si="388"/>
        <v>1.1643357519458486E-4</v>
      </c>
      <c r="T707" s="26">
        <f t="shared" si="389"/>
        <v>1.7446308047413841</v>
      </c>
      <c r="U707" s="26">
        <f t="shared" si="390"/>
        <v>0.85127430901005263</v>
      </c>
      <c r="V707" s="26">
        <f t="shared" si="391"/>
        <v>2.1568197296198046</v>
      </c>
      <c r="W707" s="26">
        <f t="shared" si="392"/>
        <v>0.89630433739801296</v>
      </c>
      <c r="X707" s="26">
        <f t="shared" si="393"/>
        <v>5.3763952212325669E-3</v>
      </c>
      <c r="Y707" s="26">
        <f t="shared" si="394"/>
        <v>2.1563595765956016</v>
      </c>
      <c r="Z707" s="26">
        <f t="shared" si="395"/>
        <v>0.89626156165445359</v>
      </c>
      <c r="AA707" s="26">
        <f t="shared" si="396"/>
        <v>-6.2357552087450152</v>
      </c>
      <c r="AB707" s="26">
        <f t="shared" si="397"/>
        <v>1.9543229866423985E-3</v>
      </c>
      <c r="AC707" s="26">
        <f t="shared" si="398"/>
        <v>2.4385785754323783</v>
      </c>
      <c r="AD707" s="26">
        <f t="shared" si="399"/>
        <v>0.91972220199172794</v>
      </c>
      <c r="AE707" s="26">
        <f t="shared" si="400"/>
        <v>3.2222624265284649E-3</v>
      </c>
      <c r="AF707" s="26">
        <f t="shared" si="401"/>
        <v>-3.4259121111552417</v>
      </c>
      <c r="AG707" s="26">
        <f t="shared" si="402"/>
        <v>3.1495388343766896E-2</v>
      </c>
      <c r="AH707" s="26">
        <f t="shared" si="403"/>
        <v>-2.4070363918040383</v>
      </c>
      <c r="AI707" s="26">
        <f t="shared" si="404"/>
        <v>8.2637707751586173E-2</v>
      </c>
      <c r="AJ707" s="26">
        <f t="shared" si="405"/>
        <v>-2.2701769760871668</v>
      </c>
      <c r="AK707" s="26">
        <f t="shared" si="406"/>
        <v>9.3623193340115138E-2</v>
      </c>
      <c r="AL707" s="26">
        <f t="shared" si="407"/>
        <v>4.38265116560029E-3</v>
      </c>
      <c r="AM707" s="27">
        <f t="shared" si="408"/>
        <v>1.8818027505610884E-2</v>
      </c>
    </row>
    <row r="708" spans="1:39" ht="15" customHeight="1" x14ac:dyDescent="0.2">
      <c r="A708" s="24">
        <v>697</v>
      </c>
      <c r="B708" s="29">
        <f t="shared" si="409"/>
        <v>5.6340152211211105</v>
      </c>
      <c r="C708" s="29">
        <f t="shared" si="410"/>
        <v>-5.5837202869551579</v>
      </c>
      <c r="D708" s="29">
        <f t="shared" si="411"/>
        <v>-3.4757606993776169</v>
      </c>
      <c r="E708" s="29">
        <f t="shared" si="412"/>
        <v>-4.1552142620644164</v>
      </c>
      <c r="F708" s="29">
        <f t="shared" si="413"/>
        <v>3.8324292964403868</v>
      </c>
      <c r="G708" s="29">
        <f t="shared" si="414"/>
        <v>-2.086460855963828</v>
      </c>
      <c r="H708" s="29">
        <f t="shared" si="415"/>
        <v>6.0101148752581306</v>
      </c>
      <c r="I708" s="29">
        <f t="shared" si="416"/>
        <v>6.0111158307003709</v>
      </c>
      <c r="J708" s="29">
        <f t="shared" si="417"/>
        <v>-2.9583255177816854</v>
      </c>
      <c r="K708" s="26">
        <f t="shared" si="380"/>
        <v>-3.4757606993776169</v>
      </c>
      <c r="L708" s="26">
        <f t="shared" si="381"/>
        <v>3.0009837084899339E-2</v>
      </c>
      <c r="M708" s="26">
        <f t="shared" si="382"/>
        <v>-2.086460855963828</v>
      </c>
      <c r="N708" s="26">
        <f t="shared" si="383"/>
        <v>0.11041973561227494</v>
      </c>
      <c r="O708" s="26">
        <f t="shared" si="384"/>
        <v>-2.1142171287529634</v>
      </c>
      <c r="P708" s="26">
        <f t="shared" si="385"/>
        <v>0.1077226516853141</v>
      </c>
      <c r="Q708" s="26">
        <f t="shared" si="386"/>
        <v>5.802084843057752E-3</v>
      </c>
      <c r="R708" s="26">
        <f t="shared" si="387"/>
        <v>-9.0594809863327743</v>
      </c>
      <c r="S708" s="26">
        <f t="shared" si="388"/>
        <v>1.1626979331837686E-4</v>
      </c>
      <c r="T708" s="26">
        <f t="shared" si="389"/>
        <v>1.7459684404765587</v>
      </c>
      <c r="U708" s="26">
        <f t="shared" si="390"/>
        <v>0.85144358263822517</v>
      </c>
      <c r="V708" s="26">
        <f t="shared" si="391"/>
        <v>2.1604992755775552</v>
      </c>
      <c r="W708" s="26">
        <f t="shared" si="392"/>
        <v>0.89664582661586756</v>
      </c>
      <c r="X708" s="26">
        <f t="shared" si="393"/>
        <v>5.3410425779586556E-3</v>
      </c>
      <c r="Y708" s="26">
        <f t="shared" si="394"/>
        <v>2.1582545217434936</v>
      </c>
      <c r="Z708" s="26">
        <f t="shared" si="395"/>
        <v>0.89643761529235422</v>
      </c>
      <c r="AA708" s="26">
        <f t="shared" si="396"/>
        <v>-6.2416751180282439</v>
      </c>
      <c r="AB708" s="26">
        <f t="shared" si="397"/>
        <v>1.9428101600948706E-3</v>
      </c>
      <c r="AC708" s="26">
        <f t="shared" si="398"/>
        <v>2.44104598553721</v>
      </c>
      <c r="AD708" s="26">
        <f t="shared" si="399"/>
        <v>0.91990419039158877</v>
      </c>
      <c r="AE708" s="26">
        <f t="shared" si="400"/>
        <v>3.2076693584134302E-3</v>
      </c>
      <c r="AF708" s="26">
        <f t="shared" si="401"/>
        <v>-3.4254657652116642</v>
      </c>
      <c r="AG708" s="26">
        <f t="shared" si="402"/>
        <v>3.1509006272991351E-2</v>
      </c>
      <c r="AH708" s="26">
        <f t="shared" si="403"/>
        <v>-2.4092458215878576</v>
      </c>
      <c r="AI708" s="26">
        <f t="shared" si="404"/>
        <v>8.2470368091795324E-2</v>
      </c>
      <c r="AJ708" s="26">
        <f t="shared" si="405"/>
        <v>-2.2732138352755005</v>
      </c>
      <c r="AK708" s="26">
        <f t="shared" si="406"/>
        <v>9.3365809711400904E-2</v>
      </c>
      <c r="AL708" s="26">
        <f t="shared" si="407"/>
        <v>4.3585872115327615E-3</v>
      </c>
      <c r="AM708" s="27">
        <f t="shared" si="408"/>
        <v>1.87093839909626E-2</v>
      </c>
    </row>
    <row r="709" spans="1:39" ht="15" customHeight="1" x14ac:dyDescent="0.2">
      <c r="A709" s="24">
        <v>698</v>
      </c>
      <c r="B709" s="29">
        <f t="shared" si="409"/>
        <v>5.6358585252501054</v>
      </c>
      <c r="C709" s="29">
        <f t="shared" si="410"/>
        <v>-5.5851631035724836</v>
      </c>
      <c r="D709" s="29">
        <f t="shared" si="411"/>
        <v>-3.4757221584781512</v>
      </c>
      <c r="E709" s="29">
        <f t="shared" si="412"/>
        <v>-4.1587403271053933</v>
      </c>
      <c r="F709" s="29">
        <f t="shared" si="413"/>
        <v>3.8361169258773899</v>
      </c>
      <c r="G709" s="29">
        <f t="shared" si="414"/>
        <v>-2.0888180943491448</v>
      </c>
      <c r="H709" s="29">
        <f t="shared" si="415"/>
        <v>6.0148465620144691</v>
      </c>
      <c r="I709" s="29">
        <f t="shared" si="416"/>
        <v>6.0174873746495168</v>
      </c>
      <c r="J709" s="29">
        <f t="shared" si="417"/>
        <v>-2.9611033998702676</v>
      </c>
      <c r="K709" s="26">
        <f t="shared" si="380"/>
        <v>-3.4757221584781512</v>
      </c>
      <c r="L709" s="26">
        <f t="shared" si="381"/>
        <v>3.0010959001774442E-2</v>
      </c>
      <c r="M709" s="26">
        <f t="shared" si="382"/>
        <v>-2.0888180943491448</v>
      </c>
      <c r="N709" s="26">
        <f t="shared" si="383"/>
        <v>0.11018840319190787</v>
      </c>
      <c r="O709" s="26">
        <f t="shared" si="384"/>
        <v>-2.1175347612555915</v>
      </c>
      <c r="P709" s="26">
        <f t="shared" si="385"/>
        <v>0.107404180645867</v>
      </c>
      <c r="Q709" s="26">
        <f t="shared" si="386"/>
        <v>5.7678290101050161E-3</v>
      </c>
      <c r="R709" s="26">
        <f t="shared" si="387"/>
        <v>-9.0608852620506344</v>
      </c>
      <c r="S709" s="26">
        <f t="shared" si="388"/>
        <v>1.1610665200269866E-4</v>
      </c>
      <c r="T709" s="26">
        <f t="shared" si="389"/>
        <v>1.7472988315282452</v>
      </c>
      <c r="U709" s="26">
        <f t="shared" si="390"/>
        <v>0.85161178168675733</v>
      </c>
      <c r="V709" s="26">
        <f t="shared" si="391"/>
        <v>2.1641581082292007</v>
      </c>
      <c r="W709" s="26">
        <f t="shared" si="392"/>
        <v>0.89698440653272971</v>
      </c>
      <c r="X709" s="26">
        <f t="shared" si="393"/>
        <v>5.3061062487069514E-3</v>
      </c>
      <c r="Y709" s="26">
        <f t="shared" si="394"/>
        <v>2.1601363667719542</v>
      </c>
      <c r="Z709" s="26">
        <f t="shared" si="395"/>
        <v>0.89661219025755712</v>
      </c>
      <c r="AA709" s="26">
        <f t="shared" si="396"/>
        <v>-6.2475584214545385</v>
      </c>
      <c r="AB709" s="26">
        <f t="shared" si="397"/>
        <v>1.9314355878449205E-3</v>
      </c>
      <c r="AC709" s="26">
        <f t="shared" si="398"/>
        <v>2.4435037394254686</v>
      </c>
      <c r="AD709" s="26">
        <f t="shared" si="399"/>
        <v>0.92008509206998967</v>
      </c>
      <c r="AE709" s="26">
        <f t="shared" si="400"/>
        <v>3.1931962547310138E-3</v>
      </c>
      <c r="AF709" s="26">
        <f t="shared" si="401"/>
        <v>-3.4250267368005294</v>
      </c>
      <c r="AG709" s="26">
        <f t="shared" si="402"/>
        <v>3.1522406502828157E-2</v>
      </c>
      <c r="AH709" s="26">
        <f t="shared" si="403"/>
        <v>-2.4114414955771482</v>
      </c>
      <c r="AI709" s="26">
        <f t="shared" si="404"/>
        <v>8.2304375864022825E-2</v>
      </c>
      <c r="AJ709" s="26">
        <f t="shared" si="405"/>
        <v>-2.2762354188501432</v>
      </c>
      <c r="AK709" s="26">
        <f t="shared" si="406"/>
        <v>9.3110350856737314E-2</v>
      </c>
      <c r="AL709" s="26">
        <f t="shared" si="407"/>
        <v>4.3347687183323616E-3</v>
      </c>
      <c r="AM709" s="27">
        <f t="shared" si="408"/>
        <v>1.8601900231875343E-2</v>
      </c>
    </row>
    <row r="710" spans="1:39" ht="15" customHeight="1" x14ac:dyDescent="0.2">
      <c r="A710" s="24">
        <v>699</v>
      </c>
      <c r="B710" s="29">
        <f t="shared" si="409"/>
        <v>5.6376910907065936</v>
      </c>
      <c r="C710" s="29">
        <f t="shared" si="410"/>
        <v>-5.5866001796005813</v>
      </c>
      <c r="D710" s="29">
        <f t="shared" si="411"/>
        <v>-3.4756858329446438</v>
      </c>
      <c r="E710" s="29">
        <f t="shared" si="412"/>
        <v>-4.1622456109252068</v>
      </c>
      <c r="F710" s="29">
        <f t="shared" si="413"/>
        <v>3.8397819558709458</v>
      </c>
      <c r="G710" s="29">
        <f t="shared" si="414"/>
        <v>-2.0911599039014237</v>
      </c>
      <c r="H710" s="29">
        <f t="shared" si="415"/>
        <v>6.0195593301697681</v>
      </c>
      <c r="I710" s="29">
        <f t="shared" si="416"/>
        <v>6.0238235295363607</v>
      </c>
      <c r="J710" s="29">
        <f t="shared" si="417"/>
        <v>-2.9638673800877218</v>
      </c>
      <c r="K710" s="26">
        <f t="shared" si="380"/>
        <v>-3.4756858329446438</v>
      </c>
      <c r="L710" s="26">
        <f t="shared" si="381"/>
        <v>3.0012016467054804E-2</v>
      </c>
      <c r="M710" s="26">
        <f t="shared" si="382"/>
        <v>-2.0911599039014237</v>
      </c>
      <c r="N710" s="26">
        <f t="shared" si="383"/>
        <v>0.10995900549429184</v>
      </c>
      <c r="O710" s="26">
        <f t="shared" si="384"/>
        <v>-2.12083462176532</v>
      </c>
      <c r="P710" s="26">
        <f t="shared" si="385"/>
        <v>0.10708823748859751</v>
      </c>
      <c r="Q710" s="26">
        <f t="shared" si="386"/>
        <v>5.7339453042071307E-3</v>
      </c>
      <c r="R710" s="26">
        <f t="shared" si="387"/>
        <v>-9.0622860125452256</v>
      </c>
      <c r="S710" s="26">
        <f t="shared" si="388"/>
        <v>1.1594414824940239E-4</v>
      </c>
      <c r="T710" s="26">
        <f t="shared" si="389"/>
        <v>1.7486220519695221</v>
      </c>
      <c r="U710" s="26">
        <f t="shared" si="390"/>
        <v>0.85177891814949225</v>
      </c>
      <c r="V710" s="26">
        <f t="shared" si="391"/>
        <v>2.1677964417035893</v>
      </c>
      <c r="W710" s="26">
        <f t="shared" si="392"/>
        <v>0.89732011559123948</v>
      </c>
      <c r="X710" s="26">
        <f t="shared" si="393"/>
        <v>5.2715793310982115E-3</v>
      </c>
      <c r="Y710" s="26">
        <f t="shared" si="394"/>
        <v>2.1620052577619497</v>
      </c>
      <c r="Z710" s="26">
        <f t="shared" si="395"/>
        <v>0.8967853057866646</v>
      </c>
      <c r="AA710" s="26">
        <f t="shared" si="396"/>
        <v>-6.2534055148266301</v>
      </c>
      <c r="AB710" s="26">
        <f t="shared" si="397"/>
        <v>1.920196877862579E-3</v>
      </c>
      <c r="AC710" s="26">
        <f t="shared" si="398"/>
        <v>2.4459519016537543</v>
      </c>
      <c r="AD710" s="26">
        <f t="shared" si="399"/>
        <v>0.92026491677604605</v>
      </c>
      <c r="AE710" s="26">
        <f t="shared" si="400"/>
        <v>3.1788417483654312E-3</v>
      </c>
      <c r="AF710" s="26">
        <f t="shared" si="401"/>
        <v>-3.4245949218386316</v>
      </c>
      <c r="AG710" s="26">
        <f t="shared" si="402"/>
        <v>3.1535591938575393E-2</v>
      </c>
      <c r="AH710" s="26">
        <f t="shared" si="403"/>
        <v>-2.4136235589556847</v>
      </c>
      <c r="AI710" s="26">
        <f t="shared" si="404"/>
        <v>8.2139713963829908E-2</v>
      </c>
      <c r="AJ710" s="26">
        <f t="shared" si="405"/>
        <v>-2.2792418717167386</v>
      </c>
      <c r="AK710" s="26">
        <f t="shared" si="406"/>
        <v>9.2856793897007031E-2</v>
      </c>
      <c r="AL710" s="26">
        <f t="shared" si="407"/>
        <v>4.3111920864156213E-3</v>
      </c>
      <c r="AM710" s="27">
        <f t="shared" si="408"/>
        <v>1.8495558470086396E-2</v>
      </c>
    </row>
    <row r="711" spans="1:39" ht="15" customHeight="1" x14ac:dyDescent="0.2">
      <c r="A711" s="24">
        <v>700</v>
      </c>
      <c r="B711" s="29">
        <f t="shared" si="409"/>
        <v>5.6395130281592047</v>
      </c>
      <c r="C711" s="29">
        <f t="shared" si="410"/>
        <v>-5.5880315566082475</v>
      </c>
      <c r="D711" s="29">
        <f t="shared" si="411"/>
        <v>-3.4756516894976244</v>
      </c>
      <c r="E711" s="29">
        <f t="shared" si="412"/>
        <v>-4.1657303295814661</v>
      </c>
      <c r="F711" s="29">
        <f t="shared" si="413"/>
        <v>3.8434246331800344</v>
      </c>
      <c r="G711" s="29">
        <f t="shared" si="414"/>
        <v>-2.0934864583990982</v>
      </c>
      <c r="H711" s="29">
        <f t="shared" si="415"/>
        <v>6.0242533158620173</v>
      </c>
      <c r="I711" s="29">
        <f t="shared" si="416"/>
        <v>6.0301246587757573</v>
      </c>
      <c r="J711" s="29">
        <f t="shared" si="417"/>
        <v>-2.9666175903024965</v>
      </c>
      <c r="K711" s="26">
        <f t="shared" si="380"/>
        <v>-3.4756516894976244</v>
      </c>
      <c r="L711" s="26">
        <f t="shared" si="381"/>
        <v>3.0013010442974976E-2</v>
      </c>
      <c r="M711" s="26">
        <f t="shared" si="382"/>
        <v>-2.0934864583990982</v>
      </c>
      <c r="N711" s="26">
        <f t="shared" si="383"/>
        <v>0.10973151674377279</v>
      </c>
      <c r="O711" s="26">
        <f t="shared" si="384"/>
        <v>-2.124116887660914</v>
      </c>
      <c r="P711" s="26">
        <f t="shared" si="385"/>
        <v>0.10677479060043184</v>
      </c>
      <c r="Q711" s="26">
        <f t="shared" si="386"/>
        <v>5.7004279538830334E-3</v>
      </c>
      <c r="R711" s="26">
        <f t="shared" si="387"/>
        <v>-9.0636832461058709</v>
      </c>
      <c r="S711" s="26">
        <f t="shared" si="388"/>
        <v>1.1578227906202404E-4</v>
      </c>
      <c r="T711" s="26">
        <f t="shared" si="389"/>
        <v>1.7499381747809362</v>
      </c>
      <c r="U711" s="26">
        <f t="shared" si="390"/>
        <v>0.8519450038316515</v>
      </c>
      <c r="V711" s="26">
        <f t="shared" si="391"/>
        <v>2.1714144870021097</v>
      </c>
      <c r="W711" s="26">
        <f t="shared" si="392"/>
        <v>0.8976529915589434</v>
      </c>
      <c r="X711" s="26">
        <f t="shared" si="393"/>
        <v>5.2374550684168549E-3</v>
      </c>
      <c r="Y711" s="26">
        <f t="shared" si="394"/>
        <v>2.1638613386615804</v>
      </c>
      <c r="Z711" s="26">
        <f t="shared" si="395"/>
        <v>0.89695698079040787</v>
      </c>
      <c r="AA711" s="26">
        <f t="shared" si="396"/>
        <v>-6.2592167879805647</v>
      </c>
      <c r="AB711" s="26">
        <f t="shared" si="397"/>
        <v>1.9090916913353496E-3</v>
      </c>
      <c r="AC711" s="26">
        <f t="shared" si="398"/>
        <v>2.4483905362934864</v>
      </c>
      <c r="AD711" s="26">
        <f t="shared" si="399"/>
        <v>0.9204436741526717</v>
      </c>
      <c r="AE711" s="26">
        <f t="shared" si="400"/>
        <v>3.1646044911631385E-3</v>
      </c>
      <c r="AF711" s="26">
        <f t="shared" si="401"/>
        <v>-3.4241702179466671</v>
      </c>
      <c r="AG711" s="26">
        <f t="shared" si="402"/>
        <v>3.1548565442918099E-2</v>
      </c>
      <c r="AH711" s="26">
        <f t="shared" si="403"/>
        <v>-2.4157921548005299</v>
      </c>
      <c r="AI711" s="26">
        <f t="shared" si="404"/>
        <v>8.1976365576892002E-2</v>
      </c>
      <c r="AJ711" s="26">
        <f t="shared" si="405"/>
        <v>-2.2822333368202745</v>
      </c>
      <c r="AK711" s="26">
        <f t="shared" si="406"/>
        <v>9.2605116319372724E-2</v>
      </c>
      <c r="AL711" s="26">
        <f t="shared" si="407"/>
        <v>4.2878537842622761E-3</v>
      </c>
      <c r="AM711" s="27">
        <f t="shared" si="408"/>
        <v>1.83903412977253E-2</v>
      </c>
    </row>
    <row r="712" spans="1:39" ht="15" customHeight="1" x14ac:dyDescent="0.2">
      <c r="A712" s="24">
        <v>701</v>
      </c>
      <c r="B712" s="29">
        <f t="shared" si="409"/>
        <v>5.6413244467146368</v>
      </c>
      <c r="C712" s="29">
        <f t="shared" si="410"/>
        <v>-5.5894572757408154</v>
      </c>
      <c r="D712" s="29">
        <f t="shared" si="411"/>
        <v>-3.4756196953915719</v>
      </c>
      <c r="E712" s="29">
        <f t="shared" si="412"/>
        <v>-4.1691946959914317</v>
      </c>
      <c r="F712" s="29">
        <f t="shared" si="413"/>
        <v>3.8470452007788847</v>
      </c>
      <c r="G712" s="29">
        <f t="shared" si="414"/>
        <v>-2.0957979289078117</v>
      </c>
      <c r="H712" s="29">
        <f t="shared" si="415"/>
        <v>6.0289286539305857</v>
      </c>
      <c r="I712" s="29">
        <f t="shared" si="416"/>
        <v>6.0363911204909115</v>
      </c>
      <c r="J712" s="29">
        <f t="shared" si="417"/>
        <v>-2.9693541605888534</v>
      </c>
      <c r="K712" s="26">
        <f t="shared" si="380"/>
        <v>-3.4756196953915719</v>
      </c>
      <c r="L712" s="26">
        <f t="shared" si="381"/>
        <v>3.0013941876743448E-2</v>
      </c>
      <c r="M712" s="26">
        <f t="shared" si="382"/>
        <v>-2.0957979289078117</v>
      </c>
      <c r="N712" s="26">
        <f t="shared" si="383"/>
        <v>0.10950591162616044</v>
      </c>
      <c r="O712" s="26">
        <f t="shared" si="384"/>
        <v>-2.1273817338093304</v>
      </c>
      <c r="P712" s="26">
        <f t="shared" si="385"/>
        <v>0.10646380889779684</v>
      </c>
      <c r="Q712" s="26">
        <f t="shared" si="386"/>
        <v>5.6672713025133032E-3</v>
      </c>
      <c r="R712" s="26">
        <f t="shared" si="387"/>
        <v>-9.0650769711323882</v>
      </c>
      <c r="S712" s="26">
        <f t="shared" si="388"/>
        <v>1.1562104144623071E-4</v>
      </c>
      <c r="T712" s="26">
        <f t="shared" si="389"/>
        <v>1.751247271871073</v>
      </c>
      <c r="U712" s="26">
        <f t="shared" si="390"/>
        <v>0.85211005035359366</v>
      </c>
      <c r="V712" s="26">
        <f t="shared" si="391"/>
        <v>2.175012452056416</v>
      </c>
      <c r="W712" s="26">
        <f t="shared" si="392"/>
        <v>0.89798307154287071</v>
      </c>
      <c r="X712" s="26">
        <f t="shared" si="393"/>
        <v>5.2037268459135177E-3</v>
      </c>
      <c r="Y712" s="26">
        <f t="shared" si="394"/>
        <v>2.1657047513230649</v>
      </c>
      <c r="Z712" s="26">
        <f t="shared" si="395"/>
        <v>0.89712723386027848</v>
      </c>
      <c r="AA712" s="26">
        <f t="shared" si="396"/>
        <v>-6.2649926248992429</v>
      </c>
      <c r="AB712" s="26">
        <f t="shared" si="397"/>
        <v>1.8981177412336931E-3</v>
      </c>
      <c r="AC712" s="26">
        <f t="shared" si="398"/>
        <v>2.4508197069316946</v>
      </c>
      <c r="AD712" s="26">
        <f t="shared" si="399"/>
        <v>0.92062137373768338</v>
      </c>
      <c r="AE712" s="26">
        <f t="shared" si="400"/>
        <v>3.150483153646271E-3</v>
      </c>
      <c r="AF712" s="26">
        <f t="shared" si="401"/>
        <v>-3.4237525244177505</v>
      </c>
      <c r="AG712" s="26">
        <f t="shared" si="402"/>
        <v>3.1561329836588541E-2</v>
      </c>
      <c r="AH712" s="26">
        <f t="shared" si="403"/>
        <v>-2.4179474241203587</v>
      </c>
      <c r="AI712" s="26">
        <f t="shared" si="404"/>
        <v>8.1814314172913585E-2</v>
      </c>
      <c r="AJ712" s="26">
        <f t="shared" si="405"/>
        <v>-2.2852099551784608</v>
      </c>
      <c r="AK712" s="26">
        <f t="shared" si="406"/>
        <v>9.2355295970030865E-2</v>
      </c>
      <c r="AL712" s="26">
        <f t="shared" si="407"/>
        <v>4.264750346856E-3</v>
      </c>
      <c r="AM712" s="27">
        <f t="shared" si="408"/>
        <v>1.8286231648929091E-2</v>
      </c>
    </row>
    <row r="713" spans="1:39" ht="15" customHeight="1" x14ac:dyDescent="0.2">
      <c r="A713" s="24">
        <v>702</v>
      </c>
      <c r="B713" s="29">
        <f t="shared" si="409"/>
        <v>5.6431254539446956</v>
      </c>
      <c r="C713" s="29">
        <f t="shared" si="410"/>
        <v>-5.5908773777255707</v>
      </c>
      <c r="D713" s="29">
        <f t="shared" si="411"/>
        <v>-3.4755898184056728</v>
      </c>
      <c r="E713" s="29">
        <f t="shared" si="412"/>
        <v>-4.1726389199896277</v>
      </c>
      <c r="F713" s="29">
        <f t="shared" si="413"/>
        <v>3.8506438979304582</v>
      </c>
      <c r="G713" s="29">
        <f t="shared" si="414"/>
        <v>-2.0980944838337852</v>
      </c>
      <c r="H713" s="29">
        <f t="shared" si="415"/>
        <v>6.0335854779295088</v>
      </c>
      <c r="I713" s="29">
        <f t="shared" si="416"/>
        <v>6.0426232676111225</v>
      </c>
      <c r="J713" s="29">
        <f t="shared" si="417"/>
        <v>-2.9720772192578804</v>
      </c>
      <c r="K713" s="26">
        <f t="shared" si="380"/>
        <v>-3.4755898184056728</v>
      </c>
      <c r="L713" s="26">
        <f t="shared" si="381"/>
        <v>3.001481170078988E-2</v>
      </c>
      <c r="M713" s="26">
        <f t="shared" si="382"/>
        <v>-2.0980944838337852</v>
      </c>
      <c r="N713" s="26">
        <f t="shared" si="383"/>
        <v>0.10928216527847734</v>
      </c>
      <c r="O713" s="26">
        <f t="shared" si="384"/>
        <v>-2.1306293326105541</v>
      </c>
      <c r="P713" s="26">
        <f t="shared" si="385"/>
        <v>0.1061552618156847</v>
      </c>
      <c r="Q713" s="26">
        <f t="shared" si="386"/>
        <v>5.6344698055782834E-3</v>
      </c>
      <c r="R713" s="26">
        <f t="shared" si="387"/>
        <v>-9.066467196131244</v>
      </c>
      <c r="S713" s="26">
        <f t="shared" si="388"/>
        <v>1.1546043241025933E-4</v>
      </c>
      <c r="T713" s="26">
        <f t="shared" si="389"/>
        <v>1.7525494140966731</v>
      </c>
      <c r="U713" s="26">
        <f t="shared" si="390"/>
        <v>0.85227406915448556</v>
      </c>
      <c r="V713" s="26">
        <f t="shared" si="391"/>
        <v>2.178590541784891</v>
      </c>
      <c r="W713" s="26">
        <f t="shared" si="392"/>
        <v>0.89831039200374208</v>
      </c>
      <c r="X713" s="26">
        <f t="shared" si="393"/>
        <v>5.1703881872163021E-3</v>
      </c>
      <c r="Y713" s="26">
        <f t="shared" si="394"/>
        <v>2.1675356355390227</v>
      </c>
      <c r="Z713" s="26">
        <f t="shared" si="395"/>
        <v>0.89729608327500443</v>
      </c>
      <c r="AA713" s="26">
        <f t="shared" si="396"/>
        <v>-6.2707334038234128</v>
      </c>
      <c r="AB713" s="26">
        <f t="shared" si="397"/>
        <v>1.8872727909216051E-3</v>
      </c>
      <c r="AC713" s="26">
        <f t="shared" si="398"/>
        <v>2.4532394766719654</v>
      </c>
      <c r="AD713" s="26">
        <f t="shared" si="399"/>
        <v>0.92079802496490393</v>
      </c>
      <c r="AE713" s="26">
        <f t="shared" si="400"/>
        <v>3.1364764247299908E-3</v>
      </c>
      <c r="AF713" s="26">
        <f t="shared" si="401"/>
        <v>-3.423341742186548</v>
      </c>
      <c r="AG713" s="26">
        <f t="shared" si="402"/>
        <v>3.1573887899017154E-2</v>
      </c>
      <c r="AH713" s="26">
        <f t="shared" si="403"/>
        <v>-2.4200895058929546</v>
      </c>
      <c r="AI713" s="26">
        <f t="shared" si="404"/>
        <v>8.1653543499693865E-2</v>
      </c>
      <c r="AJ713" s="26">
        <f t="shared" si="405"/>
        <v>-2.2881718659144492</v>
      </c>
      <c r="AK713" s="26">
        <f t="shared" si="406"/>
        <v>9.2107311047132726E-2</v>
      </c>
      <c r="AL713" s="26">
        <f t="shared" si="407"/>
        <v>4.2418783741666292E-3</v>
      </c>
      <c r="AM713" s="27">
        <f t="shared" si="408"/>
        <v>1.8183212791691206E-2</v>
      </c>
    </row>
    <row r="714" spans="1:39" ht="15" customHeight="1" x14ac:dyDescent="0.2">
      <c r="A714" s="24">
        <v>703</v>
      </c>
      <c r="B714" s="29">
        <f t="shared" si="409"/>
        <v>5.6449161559127994</v>
      </c>
      <c r="C714" s="29">
        <f t="shared" si="410"/>
        <v>-5.5922919028770899</v>
      </c>
      <c r="D714" s="29">
        <f t="shared" si="411"/>
        <v>-3.4755620268347402</v>
      </c>
      <c r="E714" s="29">
        <f t="shared" si="412"/>
        <v>-4.1760632083841953</v>
      </c>
      <c r="F714" s="29">
        <f t="shared" si="413"/>
        <v>3.8542209602582331</v>
      </c>
      <c r="G714" s="29">
        <f t="shared" si="414"/>
        <v>-2.1003762889759363</v>
      </c>
      <c r="H714" s="29">
        <f t="shared" si="415"/>
        <v>6.0382239201406929</v>
      </c>
      <c r="I714" s="29">
        <f t="shared" si="416"/>
        <v>6.0488214479673799</v>
      </c>
      <c r="J714" s="29">
        <f t="shared" si="417"/>
        <v>-2.9747868928878756</v>
      </c>
      <c r="K714" s="26">
        <f t="shared" si="380"/>
        <v>-3.4755620268347402</v>
      </c>
      <c r="L714" s="26">
        <f t="shared" si="381"/>
        <v>3.0015620833008457E-2</v>
      </c>
      <c r="M714" s="26">
        <f t="shared" si="382"/>
        <v>-2.1003762889759363</v>
      </c>
      <c r="N714" s="26">
        <f t="shared" si="383"/>
        <v>0.10906025327897691</v>
      </c>
      <c r="O714" s="26">
        <f t="shared" si="384"/>
        <v>-2.1338598540415004</v>
      </c>
      <c r="P714" s="26">
        <f t="shared" si="385"/>
        <v>0.10584911929698135</v>
      </c>
      <c r="Q714" s="26">
        <f t="shared" si="386"/>
        <v>5.602018027973295E-3</v>
      </c>
      <c r="R714" s="26">
        <f t="shared" si="387"/>
        <v>-9.0678539297118306</v>
      </c>
      <c r="S714" s="26">
        <f t="shared" si="388"/>
        <v>1.1530044896533694E-4</v>
      </c>
      <c r="T714" s="26">
        <f t="shared" si="389"/>
        <v>1.7538446712822968</v>
      </c>
      <c r="U714" s="26">
        <f t="shared" si="390"/>
        <v>0.85243707149588577</v>
      </c>
      <c r="V714" s="26">
        <f t="shared" si="391"/>
        <v>2.182148958147887</v>
      </c>
      <c r="W714" s="26">
        <f t="shared" si="392"/>
        <v>0.89863498876981818</v>
      </c>
      <c r="X714" s="26">
        <f t="shared" si="393"/>
        <v>5.1374327508474432E-3</v>
      </c>
      <c r="Y714" s="26">
        <f t="shared" si="394"/>
        <v>2.1693541290780591</v>
      </c>
      <c r="Z714" s="26">
        <f t="shared" si="395"/>
        <v>0.89746354700687936</v>
      </c>
      <c r="AA714" s="26">
        <f t="shared" si="396"/>
        <v>-6.2764394973601316</v>
      </c>
      <c r="AB714" s="26">
        <f t="shared" si="397"/>
        <v>1.8765546528107745E-3</v>
      </c>
      <c r="AC714" s="26">
        <f t="shared" si="398"/>
        <v>2.4556499081355794</v>
      </c>
      <c r="AD714" s="26">
        <f t="shared" si="399"/>
        <v>0.92097363716526504</v>
      </c>
      <c r="AE714" s="26">
        <f t="shared" si="400"/>
        <v>3.12258301144359E-3</v>
      </c>
      <c r="AF714" s="26">
        <f t="shared" si="401"/>
        <v>-3.4229377737990307</v>
      </c>
      <c r="AG714" s="26">
        <f t="shared" si="402"/>
        <v>3.158624236897397E-2</v>
      </c>
      <c r="AH714" s="26">
        <f t="shared" si="403"/>
        <v>-2.4222185371018985</v>
      </c>
      <c r="AI714" s="26">
        <f t="shared" si="404"/>
        <v>8.149403757733896E-2</v>
      </c>
      <c r="AJ714" s="26">
        <f t="shared" si="405"/>
        <v>-2.2911192062889079</v>
      </c>
      <c r="AK714" s="26">
        <f t="shared" si="406"/>
        <v>9.1861140093868643E-2</v>
      </c>
      <c r="AL714" s="26">
        <f t="shared" si="407"/>
        <v>4.2192345296726804E-3</v>
      </c>
      <c r="AM714" s="27">
        <f t="shared" si="408"/>
        <v>1.8081268319937008E-2</v>
      </c>
    </row>
    <row r="715" spans="1:39" ht="15" customHeight="1" x14ac:dyDescent="0.2">
      <c r="A715" s="24">
        <v>704</v>
      </c>
      <c r="B715" s="29">
        <f t="shared" si="409"/>
        <v>5.6466966571999588</v>
      </c>
      <c r="C715" s="29">
        <f t="shared" si="410"/>
        <v>-5.5937008911024959</v>
      </c>
      <c r="D715" s="29">
        <f t="shared" si="411"/>
        <v>-3.4755362894802913</v>
      </c>
      <c r="E715" s="29">
        <f t="shared" si="412"/>
        <v>-4.1794677650120251</v>
      </c>
      <c r="F715" s="29">
        <f t="shared" si="413"/>
        <v>3.8577766198163315</v>
      </c>
      <c r="G715" s="29">
        <f t="shared" si="414"/>
        <v>-2.102643507576778</v>
      </c>
      <c r="H715" s="29">
        <f t="shared" si="415"/>
        <v>6.0428441115870415</v>
      </c>
      <c r="I715" s="29">
        <f t="shared" si="416"/>
        <v>6.0549860043858663</v>
      </c>
      <c r="J715" s="29">
        <f t="shared" si="417"/>
        <v>-2.9774833063541095</v>
      </c>
      <c r="K715" s="26">
        <f t="shared" si="380"/>
        <v>-3.4755362894802913</v>
      </c>
      <c r="L715" s="26">
        <f t="shared" si="381"/>
        <v>3.0016370176997365E-2</v>
      </c>
      <c r="M715" s="26">
        <f t="shared" si="382"/>
        <v>-2.102643507576778</v>
      </c>
      <c r="N715" s="26">
        <f t="shared" si="383"/>
        <v>0.10884015163742332</v>
      </c>
      <c r="O715" s="26">
        <f t="shared" si="384"/>
        <v>-2.1370734656989905</v>
      </c>
      <c r="P715" s="26">
        <f t="shared" si="385"/>
        <v>0.1055453517820529</v>
      </c>
      <c r="Q715" s="26">
        <f t="shared" si="386"/>
        <v>5.5699106413986494E-3</v>
      </c>
      <c r="R715" s="26">
        <f t="shared" si="387"/>
        <v>-9.0692371805827872</v>
      </c>
      <c r="S715" s="26">
        <f t="shared" si="388"/>
        <v>1.1514108812609206E-4</v>
      </c>
      <c r="T715" s="26">
        <f t="shared" si="389"/>
        <v>1.7551331122395535</v>
      </c>
      <c r="U715" s="26">
        <f t="shared" si="390"/>
        <v>0.85259906846524403</v>
      </c>
      <c r="V715" s="26">
        <f t="shared" si="391"/>
        <v>2.1856879002017546</v>
      </c>
      <c r="W715" s="26">
        <f t="shared" si="392"/>
        <v>0.89895689705040194</v>
      </c>
      <c r="X715" s="26">
        <f t="shared" si="393"/>
        <v>5.1048543268415363E-3</v>
      </c>
      <c r="Y715" s="26">
        <f t="shared" si="394"/>
        <v>2.1711603677196676</v>
      </c>
      <c r="Z715" s="26">
        <f t="shared" si="395"/>
        <v>0.89762964272794188</v>
      </c>
      <c r="AA715" s="26">
        <f t="shared" si="396"/>
        <v>-6.2821112725888035</v>
      </c>
      <c r="AB715" s="26">
        <f t="shared" si="397"/>
        <v>1.8659611870566854E-3</v>
      </c>
      <c r="AC715" s="26">
        <f t="shared" si="398"/>
        <v>2.4580510634627695</v>
      </c>
      <c r="AD715" s="26">
        <f t="shared" si="399"/>
        <v>0.92114821956790482</v>
      </c>
      <c r="AE715" s="26">
        <f t="shared" si="400"/>
        <v>3.1088016386556739E-3</v>
      </c>
      <c r="AF715" s="26">
        <f t="shared" si="401"/>
        <v>-3.4225405233828283</v>
      </c>
      <c r="AG715" s="26">
        <f t="shared" si="402"/>
        <v>3.1598395945200704E-2</v>
      </c>
      <c r="AH715" s="26">
        <f t="shared" si="403"/>
        <v>-2.4243346527724716</v>
      </c>
      <c r="AI715" s="26">
        <f t="shared" si="404"/>
        <v>8.1335780692616058E-2</v>
      </c>
      <c r="AJ715" s="26">
        <f t="shared" si="405"/>
        <v>-2.2940521117314692</v>
      </c>
      <c r="AK715" s="26">
        <f t="shared" si="406"/>
        <v>9.1616761991710913E-2</v>
      </c>
      <c r="AL715" s="26">
        <f t="shared" si="407"/>
        <v>4.1968155389229024E-3</v>
      </c>
      <c r="AM715" s="27">
        <f t="shared" si="408"/>
        <v>1.7980382145818763E-2</v>
      </c>
    </row>
    <row r="716" spans="1:39" ht="15" customHeight="1" x14ac:dyDescent="0.2">
      <c r="A716" s="24">
        <v>705</v>
      </c>
      <c r="B716" s="29">
        <f t="shared" si="409"/>
        <v>5.6484670609302459</v>
      </c>
      <c r="C716" s="29">
        <f t="shared" si="410"/>
        <v>-5.5951043819066388</v>
      </c>
      <c r="D716" s="29">
        <f t="shared" si="411"/>
        <v>-3.4755125756417762</v>
      </c>
      <c r="E716" s="29">
        <f t="shared" si="412"/>
        <v>-4.1828527907926931</v>
      </c>
      <c r="F716" s="29">
        <f t="shared" si="413"/>
        <v>3.8613111051580389</v>
      </c>
      <c r="G716" s="29">
        <f t="shared" si="414"/>
        <v>-2.1048963003721344</v>
      </c>
      <c r="H716" s="29">
        <f t="shared" si="415"/>
        <v>6.0474461820454906</v>
      </c>
      <c r="I716" s="29">
        <f t="shared" si="416"/>
        <v>6.0611172747794191</v>
      </c>
      <c r="J716" s="29">
        <f t="shared" si="417"/>
        <v>-2.9801665828579869</v>
      </c>
      <c r="K716" s="26">
        <f t="shared" ref="K716:K779" si="418">0*B716+0*C716+D716</f>
        <v>-3.4755125756417762</v>
      </c>
      <c r="L716" s="26">
        <f t="shared" ref="L716:L779" si="419">1/(1+EXP(-K716))</f>
        <v>3.001706062229461E-2</v>
      </c>
      <c r="M716" s="26">
        <f t="shared" ref="M716:M779" si="420">0*E716+0*F716+G716</f>
        <v>-2.1048963003721344</v>
      </c>
      <c r="N716" s="26">
        <f t="shared" ref="N716:N779" si="421">1/(1+EXP(-M716))</f>
        <v>0.10862183678562431</v>
      </c>
      <c r="O716" s="26">
        <f t="shared" ref="O716:O779" si="422">L716*H716+N716*I716+J716</f>
        <v>-2.1402703328418453</v>
      </c>
      <c r="P716" s="26">
        <f t="shared" ref="P716:P779" si="423">1/(1+EXP(-O716))</f>
        <v>0.10524393019858089</v>
      </c>
      <c r="Q716" s="26">
        <f t="shared" ref="Q716:Q779" si="424">0.5*(0-P716)^2</f>
        <v>5.5381424218218832E-3</v>
      </c>
      <c r="R716" s="26">
        <f t="shared" ref="R716:R779" si="425">0*B716+1*C716+D716</f>
        <v>-9.070616957548415</v>
      </c>
      <c r="S716" s="26">
        <f t="shared" ref="S716:S779" si="426">1/(1+EXP(-R716))</f>
        <v>1.1498234691095141E-4</v>
      </c>
      <c r="T716" s="26">
        <f t="shared" ref="T716:T779" si="427">0*E716+1*F716+G716</f>
        <v>1.7564148047859045</v>
      </c>
      <c r="U716" s="26">
        <f t="shared" ref="U716:U779" si="428">1/(1+EXP(-T716))</f>
        <v>0.85276007097931816</v>
      </c>
      <c r="V716" s="26">
        <f t="shared" ref="V716:V779" si="429">S716*H716+U716*I716+J716</f>
        <v>2.1892075641517112</v>
      </c>
      <c r="W716" s="26">
        <f t="shared" ref="W716:W779" si="430">1/(1+EXP(-V716))</f>
        <v>0.89927615144900241</v>
      </c>
      <c r="X716" s="26">
        <f t="shared" ref="X716:X779" si="431">0.5*(1-W716)^2</f>
        <v>5.0726468334621492E-3</v>
      </c>
      <c r="Y716" s="26">
        <f t="shared" ref="Y716:Y779" si="432">1*B716+0*C716+D716</f>
        <v>2.1729544852884697</v>
      </c>
      <c r="Z716" s="26">
        <f t="shared" ref="Z716:Z779" si="433">1/(1+EXP(-Y716))</f>
        <v>0.89779438781601517</v>
      </c>
      <c r="AA716" s="26">
        <f t="shared" ref="AA716:AA779" si="434">1*E716+0*F716+G716</f>
        <v>-6.2877490911648275</v>
      </c>
      <c r="AB716" s="26">
        <f t="shared" ref="AB716:AB779" si="435">1/(1+EXP(-AA716))</f>
        <v>1.8554903002952247E-3</v>
      </c>
      <c r="AC716" s="26">
        <f t="shared" ref="AC716:AC779" si="436">Z716*H716+AB716*I716+J716</f>
        <v>2.4604430043141474</v>
      </c>
      <c r="AD716" s="26">
        <f t="shared" ref="AD716:AD779" si="437">1/(1+EXP(-AC716))</f>
        <v>0.92132178130126574</v>
      </c>
      <c r="AE716" s="26">
        <f t="shared" ref="AE716:AE779" si="438">0.5*(1-AD716)^2</f>
        <v>3.0951310488029288E-3</v>
      </c>
      <c r="AF716" s="26">
        <f t="shared" ref="AF716:AF779" si="439">1*B716+1*C716+D716</f>
        <v>-3.4221498966181692</v>
      </c>
      <c r="AG716" s="26">
        <f t="shared" ref="AG716:AG779" si="440">1/(1+EXP(-AF716))</f>
        <v>3.1610351287033663E-2</v>
      </c>
      <c r="AH716" s="26">
        <f t="shared" ref="AH716:AH779" si="441">1*E716+1*F716+G716</f>
        <v>-2.4264379860067886</v>
      </c>
      <c r="AI716" s="26">
        <f t="shared" ref="AI716:AI779" si="442">1/(1+EXP(-AH716))</f>
        <v>8.1178757393446321E-2</v>
      </c>
      <c r="AJ716" s="26">
        <f t="shared" ref="AJ716:AJ779" si="443">AG716*H716+AI716*I716+J716</f>
        <v>-2.2969707158715535</v>
      </c>
      <c r="AK716" s="26">
        <f t="shared" ref="AK716:AK779" si="444">1/(1+EXP(-AJ716))</f>
        <v>9.137415595381207E-2</v>
      </c>
      <c r="AL716" s="26">
        <f t="shared" ref="AL716:AL779" si="445">0.5*(0-AK716)^2</f>
        <v>4.1746181881357845E-3</v>
      </c>
      <c r="AM716" s="27">
        <f t="shared" ref="AM716:AM779" si="446">Q716+X716+AE716+AL716</f>
        <v>1.7880538492222743E-2</v>
      </c>
    </row>
    <row r="717" spans="1:39" ht="15" customHeight="1" x14ac:dyDescent="0.2">
      <c r="A717" s="24">
        <v>706</v>
      </c>
      <c r="B717" s="29">
        <f t="shared" ref="B717:B780" si="447">B716-$C$6*(((((P716)-0)*(P716)*(1-(P716)))*H716*(L716)*(1-(L716))*0)+((((W716)-1)*(W716)*(1-(W716)))*H716*(S716)*(1-(S716))*0)+((((AD716)-1)*(AD716)*(1-(AD716)))*H716*(Z716)*(1-(Z716))*1)+((((AK716)-0)*(AK716)*(1-(AK716)))*H716*(AG716)*(1-(AG716))*1))</f>
        <v>5.6502274687957588</v>
      </c>
      <c r="C717" s="29">
        <f t="shared" ref="C717:C780" si="448">C716-$C$6*(((((P716)-0)*(P716)*(1-(P716)))*H716*(L716)*(1-(L716))*0)+((((W716)-1)*(W716)*(1-(W716)))*H716*(S716)*(1-(S716))*1)+((((AD716)-1)*(AD716)*(1-(AD716)))*H716*(Z716)*(1-(Z716))*0)+((((AK716)-0)*(AK716)*(1-(AK716)))*H716*(AG716)*(1-(AG716))*1))</f>
        <v>-5.5965024143971958</v>
      </c>
      <c r="D717" s="29">
        <f t="shared" ref="D717:D780" si="449">D716-$C$6*(((((P716)-0)*(P716)*(1-(P716)))*H716*(L716)*(1-(L716)))+((((W716)-1)*(W716)*(1-(W716)))*H716*(S716)*(1-(S716)))+((((AD716)-1)*(AD716)*(1-(AD716)))*H716*(Z716)*(1-(Z716)))+((((AK716)-0)*(AK716)*(1-(AK716)))*H716*(AG716)*(1-(AG716))))</f>
        <v>-3.4754908551079637</v>
      </c>
      <c r="E717" s="29">
        <f t="shared" ref="E717:E780" si="450">E716-$C$6*(((((P716)-0)*(P716)*(1-(P716)))*I716*(N716)*(1-(N716))*0)+((((W716)-1)*(W716)*(1-(W716)))*I716*(U716)*(1-(U716))*0)+((((AD716)-1)*(AD716)*(1-(AD716)))*I716*(AB716)*(1-(AB716))*1)+((((AK716)-0)*(AK716)*(1-(AK716)))*I716*(AI716)*(1-(AI716))*1))</f>
        <v>-4.186218483781234</v>
      </c>
      <c r="F717" s="29">
        <f t="shared" ref="F717:F780" si="451">F716-$C$6*(((((P716)-0)*(P716)*(1-(P716)))*I716*(N716)*(1-(N716))*0)+((((W716)-1)*(W716)*(1-(W716)))*I716*(U716)*(1-(U716))*1)+((((AD716)-1)*(AD716)*(1-(AD716)))*I716*(AB716)*(1-(AB716))*0)+((((AK716)-0)*(AK716)*(1-(AK716)))*I716*(AI716)*(1-(AI716))*1))</f>
        <v>3.8648246414027532</v>
      </c>
      <c r="G717" s="29">
        <f t="shared" ref="G717:G780" si="452">G716-$C$6*(((((P716)-0)*(P716)*(1-(P716)))*I716*(N716)*(1-(N716)))+((((W716)-1)*(W716)*(1-(W716)))*I716*(U716)*(1-(U716)))+((((AD716)-1)*(AD716)*(1-(AD716)))*I716*(AB716)*(1-(AB716)))+((((AK716)-0)*(AK716)*(1-(AK716)))*I716*(AI716)*(1-(AI716))))</f>
        <v>-2.1071348256397009</v>
      </c>
      <c r="H717" s="29">
        <f t="shared" ref="H717:H780" si="453">H716-$C$6*((((P716)-0)*(P716)*(1-(P716))*L716)+(((W716)-1)*(W716)*(1-(W716))*S716)+(((AD716)-1)*(AD716)*(1-(AD716))*Z716)+(((AK716)-0)*(AK716)*(1-(AK716))*AG716))</f>
        <v>6.0520302600599534</v>
      </c>
      <c r="I717" s="29">
        <f t="shared" ref="I717:I780" si="454">I716-$C$6*((((P716)-0)*(P716)*(1-(P716))*N716)+(((W716)-1)*(W716)*(1-(W716))*U716)+(((AD716)-1)*(AD716)*(1-(AD716))*AB716)+(((AK716)-0)*(AK716)*(1-(AK716))*AI716))</f>
        <v>6.0672155922370026</v>
      </c>
      <c r="J717" s="29">
        <f t="shared" ref="J717:J780" si="455">J716-$C$6*((((P716)-0)*(P716)*(1-(P716)))+(((W716)-1)*(W716)*(1-(W716)))+(((AD716)-1)*(AD716)*(1-(AD716)))+(((AK716)-0)*(AK716)*(1-(AK716))))</f>
        <v>-2.9828368439556181</v>
      </c>
      <c r="K717" s="26">
        <f t="shared" si="418"/>
        <v>-3.4754908551079637</v>
      </c>
      <c r="L717" s="26">
        <f t="shared" si="419"/>
        <v>3.0017693044610022E-2</v>
      </c>
      <c r="M717" s="26">
        <f t="shared" si="420"/>
        <v>-2.1071348256397009</v>
      </c>
      <c r="N717" s="26">
        <f t="shared" si="421"/>
        <v>0.10840528556821052</v>
      </c>
      <c r="O717" s="26">
        <f t="shared" si="422"/>
        <v>-2.1434506184320954</v>
      </c>
      <c r="P717" s="26">
        <f t="shared" si="423"/>
        <v>0.10494482595164176</v>
      </c>
      <c r="Q717" s="26">
        <f t="shared" si="424"/>
        <v>5.5067082470101909E-3</v>
      </c>
      <c r="R717" s="26">
        <f t="shared" si="425"/>
        <v>-9.0719932695051604</v>
      </c>
      <c r="S717" s="26">
        <f t="shared" si="426"/>
        <v>1.1482422234252521E-4</v>
      </c>
      <c r="T717" s="26">
        <f t="shared" si="427"/>
        <v>1.7576898157630523</v>
      </c>
      <c r="U717" s="26">
        <f t="shared" si="428"/>
        <v>0.85292008978751244</v>
      </c>
      <c r="V717" s="26">
        <f t="shared" si="429"/>
        <v>2.1927081434035669</v>
      </c>
      <c r="W717" s="26">
        <f t="shared" si="430"/>
        <v>0.89959278597616898</v>
      </c>
      <c r="X717" s="26">
        <f t="shared" si="431"/>
        <v>5.0408043140137042E-3</v>
      </c>
      <c r="Y717" s="26">
        <f t="shared" si="432"/>
        <v>2.174736613687795</v>
      </c>
      <c r="Z717" s="26">
        <f t="shared" si="433"/>
        <v>0.8979577993606066</v>
      </c>
      <c r="AA717" s="26">
        <f t="shared" si="434"/>
        <v>-6.2933533094209348</v>
      </c>
      <c r="AB717" s="26">
        <f t="shared" si="435"/>
        <v>1.8451399444183391E-3</v>
      </c>
      <c r="AC717" s="26">
        <f t="shared" si="436"/>
        <v>2.4628257918722518</v>
      </c>
      <c r="AD717" s="26">
        <f t="shared" si="437"/>
        <v>0.92149433139418624</v>
      </c>
      <c r="AE717" s="26">
        <f t="shared" si="438"/>
        <v>3.0815700016229262E-3</v>
      </c>
      <c r="AF717" s="26">
        <f t="shared" si="439"/>
        <v>-3.4217658007094007</v>
      </c>
      <c r="AG717" s="26">
        <f t="shared" si="440"/>
        <v>3.1622111015017357E-2</v>
      </c>
      <c r="AH717" s="26">
        <f t="shared" si="441"/>
        <v>-2.4285286680181817</v>
      </c>
      <c r="AI717" s="26">
        <f t="shared" si="442"/>
        <v>8.1022952483531904E-2</v>
      </c>
      <c r="AJ717" s="26">
        <f t="shared" si="443"/>
        <v>-2.2998751505685955</v>
      </c>
      <c r="AK717" s="26">
        <f t="shared" si="444"/>
        <v>9.1133301518553381E-2</v>
      </c>
      <c r="AL717" s="26">
        <f t="shared" si="445"/>
        <v>4.152639322835782E-3</v>
      </c>
      <c r="AM717" s="27">
        <f t="shared" si="446"/>
        <v>1.7781721885482604E-2</v>
      </c>
    </row>
    <row r="718" spans="1:39" ht="15" customHeight="1" x14ac:dyDescent="0.2">
      <c r="A718" s="24">
        <v>707</v>
      </c>
      <c r="B718" s="29">
        <f t="shared" si="447"/>
        <v>5.6519779810810977</v>
      </c>
      <c r="C718" s="29">
        <f t="shared" si="448"/>
        <v>-5.5978950272897006</v>
      </c>
      <c r="D718" s="29">
        <f t="shared" si="449"/>
        <v>-3.4754710981484749</v>
      </c>
      <c r="E718" s="29">
        <f t="shared" si="450"/>
        <v>-4.1895650392197785</v>
      </c>
      <c r="F718" s="29">
        <f t="shared" si="451"/>
        <v>3.8683174503014071</v>
      </c>
      <c r="G718" s="29">
        <f t="shared" si="452"/>
        <v>-2.1093592392464835</v>
      </c>
      <c r="H718" s="29">
        <f t="shared" si="453"/>
        <v>6.0565964729541788</v>
      </c>
      <c r="I718" s="29">
        <f t="shared" si="454"/>
        <v>6.0732812851112374</v>
      </c>
      <c r="J718" s="29">
        <f t="shared" si="455"/>
        <v>-2.9854942095858124</v>
      </c>
      <c r="K718" s="26">
        <f t="shared" si="418"/>
        <v>-3.4754710981484749</v>
      </c>
      <c r="L718" s="26">
        <f t="shared" si="419"/>
        <v>3.0018268306053614E-2</v>
      </c>
      <c r="M718" s="26">
        <f t="shared" si="420"/>
        <v>-2.1093592392464835</v>
      </c>
      <c r="N718" s="26">
        <f t="shared" si="421"/>
        <v>0.10819047523365286</v>
      </c>
      <c r="O718" s="26">
        <f t="shared" si="422"/>
        <v>-2.1466144831753411</v>
      </c>
      <c r="P718" s="26">
        <f t="shared" si="423"/>
        <v>0.10464801091402251</v>
      </c>
      <c r="Q718" s="26">
        <f t="shared" si="424"/>
        <v>5.4756030941306875E-3</v>
      </c>
      <c r="R718" s="26">
        <f t="shared" si="425"/>
        <v>-9.0733661254381754</v>
      </c>
      <c r="S718" s="26">
        <f t="shared" si="426"/>
        <v>1.1466671144797989E-4</v>
      </c>
      <c r="T718" s="26">
        <f t="shared" si="427"/>
        <v>1.7589582110549236</v>
      </c>
      <c r="U718" s="26">
        <f t="shared" si="428"/>
        <v>0.85307913547513714</v>
      </c>
      <c r="V718" s="26">
        <f t="shared" si="429"/>
        <v>2.1961898286143327</v>
      </c>
      <c r="W718" s="26">
        <f t="shared" si="430"/>
        <v>0.89990683406200878</v>
      </c>
      <c r="X718" s="26">
        <f t="shared" si="431"/>
        <v>5.0093209337451232E-3</v>
      </c>
      <c r="Y718" s="26">
        <f t="shared" si="432"/>
        <v>2.1765068829326228</v>
      </c>
      <c r="Z718" s="26">
        <f t="shared" si="433"/>
        <v>0.89811989416867166</v>
      </c>
      <c r="AA718" s="26">
        <f t="shared" si="434"/>
        <v>-6.298924278466262</v>
      </c>
      <c r="AB718" s="26">
        <f t="shared" si="435"/>
        <v>1.8349081153873773E-3</v>
      </c>
      <c r="AC718" s="26">
        <f t="shared" si="436"/>
        <v>2.4651994868432259</v>
      </c>
      <c r="AD718" s="26">
        <f t="shared" si="437"/>
        <v>0.92166587877698958</v>
      </c>
      <c r="AE718" s="26">
        <f t="shared" si="438"/>
        <v>3.0681172738906458E-3</v>
      </c>
      <c r="AF718" s="26">
        <f t="shared" si="439"/>
        <v>-3.4213881443570777</v>
      </c>
      <c r="AG718" s="26">
        <f t="shared" si="440"/>
        <v>3.1633677711509017E-2</v>
      </c>
      <c r="AH718" s="26">
        <f t="shared" si="441"/>
        <v>-2.430606828164855</v>
      </c>
      <c r="AI718" s="26">
        <f t="shared" si="442"/>
        <v>8.0868351017113732E-2</v>
      </c>
      <c r="AJ718" s="26">
        <f t="shared" si="443"/>
        <v>-2.3027655459416745</v>
      </c>
      <c r="AK718" s="26">
        <f t="shared" si="444"/>
        <v>9.0894178543240792E-2</v>
      </c>
      <c r="AL718" s="26">
        <f t="shared" si="445"/>
        <v>4.1308758465252674E-3</v>
      </c>
      <c r="AM718" s="27">
        <f t="shared" si="446"/>
        <v>1.7683917148291727E-2</v>
      </c>
    </row>
    <row r="719" spans="1:39" ht="15" customHeight="1" x14ac:dyDescent="0.2">
      <c r="A719" s="24">
        <v>708</v>
      </c>
      <c r="B719" s="29">
        <f t="shared" si="447"/>
        <v>5.6537186966873607</v>
      </c>
      <c r="C719" s="29">
        <f t="shared" si="448"/>
        <v>-5.599282258912492</v>
      </c>
      <c r="D719" s="29">
        <f t="shared" si="449"/>
        <v>-3.4754532755054659</v>
      </c>
      <c r="E719" s="29">
        <f t="shared" si="450"/>
        <v>-4.1928926495880816</v>
      </c>
      <c r="F719" s="29">
        <f t="shared" si="451"/>
        <v>3.8717897503004002</v>
      </c>
      <c r="G719" s="29">
        <f t="shared" si="452"/>
        <v>-2.1115696946951443</v>
      </c>
      <c r="H719" s="29">
        <f t="shared" si="453"/>
        <v>6.0611449468445091</v>
      </c>
      <c r="I719" s="29">
        <f t="shared" si="454"/>
        <v>6.0793146771040387</v>
      </c>
      <c r="J719" s="29">
        <f t="shared" si="455"/>
        <v>-2.9881387980975087</v>
      </c>
      <c r="K719" s="26">
        <f t="shared" si="418"/>
        <v>-3.4754532755054659</v>
      </c>
      <c r="L719" s="26">
        <f t="shared" si="419"/>
        <v>3.0018787255360221E-2</v>
      </c>
      <c r="M719" s="26">
        <f t="shared" si="420"/>
        <v>-2.1115696946951443</v>
      </c>
      <c r="N719" s="26">
        <f t="shared" si="421"/>
        <v>0.10797738342551172</v>
      </c>
      <c r="O719" s="26">
        <f t="shared" si="422"/>
        <v>-2.1497620855602779</v>
      </c>
      <c r="P719" s="26">
        <f t="shared" si="423"/>
        <v>0.10435345741676695</v>
      </c>
      <c r="Q719" s="26">
        <f t="shared" si="424"/>
        <v>5.4448220374164963E-3</v>
      </c>
      <c r="R719" s="26">
        <f t="shared" si="425"/>
        <v>-9.0747355344179574</v>
      </c>
      <c r="S719" s="26">
        <f t="shared" si="426"/>
        <v>1.1450981125939846E-4</v>
      </c>
      <c r="T719" s="26">
        <f t="shared" si="427"/>
        <v>1.7602200556052559</v>
      </c>
      <c r="U719" s="26">
        <f t="shared" si="428"/>
        <v>0.85323721846659184</v>
      </c>
      <c r="V719" s="26">
        <f t="shared" si="429"/>
        <v>2.1996528077417472</v>
      </c>
      <c r="W719" s="26">
        <f t="shared" si="430"/>
        <v>0.90021832856839257</v>
      </c>
      <c r="X719" s="26">
        <f t="shared" si="431"/>
        <v>4.9781909768426315E-3</v>
      </c>
      <c r="Y719" s="26">
        <f t="shared" si="432"/>
        <v>2.1782654211818948</v>
      </c>
      <c r="Z719" s="26">
        <f t="shared" si="433"/>
        <v>0.89828068877024736</v>
      </c>
      <c r="AA719" s="26">
        <f t="shared" si="434"/>
        <v>-6.3044623442832259</v>
      </c>
      <c r="AB719" s="26">
        <f t="shared" si="435"/>
        <v>1.8247928520827921E-3</v>
      </c>
      <c r="AC719" s="26">
        <f t="shared" si="436"/>
        <v>2.4675641494586222</v>
      </c>
      <c r="AD719" s="26">
        <f t="shared" si="437"/>
        <v>0.92183643228256751</v>
      </c>
      <c r="AE719" s="26">
        <f t="shared" si="438"/>
        <v>3.0547716591588273E-3</v>
      </c>
      <c r="AF719" s="26">
        <f t="shared" si="439"/>
        <v>-3.4210168377305972</v>
      </c>
      <c r="AG719" s="26">
        <f t="shared" si="440"/>
        <v>3.164505392127423E-2</v>
      </c>
      <c r="AH719" s="26">
        <f t="shared" si="441"/>
        <v>-2.4326725939828258</v>
      </c>
      <c r="AI719" s="26">
        <f t="shared" si="442"/>
        <v>8.0714938293856217E-2</v>
      </c>
      <c r="AJ719" s="26">
        <f t="shared" si="443"/>
        <v>-2.3056420303985687</v>
      </c>
      <c r="AK719" s="26">
        <f t="shared" si="444"/>
        <v>9.0656767197943897E-2</v>
      </c>
      <c r="AL719" s="26">
        <f t="shared" si="445"/>
        <v>4.109324719391098E-3</v>
      </c>
      <c r="AM719" s="27">
        <f t="shared" si="446"/>
        <v>1.7587109392809053E-2</v>
      </c>
    </row>
    <row r="720" spans="1:39" ht="15" customHeight="1" x14ac:dyDescent="0.2">
      <c r="A720" s="24">
        <v>709</v>
      </c>
      <c r="B720" s="29">
        <f t="shared" si="447"/>
        <v>5.655449713155666</v>
      </c>
      <c r="C720" s="29">
        <f t="shared" si="448"/>
        <v>-5.600664147211595</v>
      </c>
      <c r="D720" s="29">
        <f t="shared" si="449"/>
        <v>-3.4754373583854581</v>
      </c>
      <c r="E720" s="29">
        <f t="shared" si="450"/>
        <v>-4.1962015046529695</v>
      </c>
      <c r="F720" s="29">
        <f t="shared" si="451"/>
        <v>3.875241756604086</v>
      </c>
      <c r="G720" s="29">
        <f t="shared" si="452"/>
        <v>-2.1137663431692832</v>
      </c>
      <c r="H720" s="29">
        <f t="shared" si="453"/>
        <v>6.0656758066525489</v>
      </c>
      <c r="I720" s="29">
        <f t="shared" si="454"/>
        <v>6.0853160873504066</v>
      </c>
      <c r="J720" s="29">
        <f t="shared" si="455"/>
        <v>-2.9907707262766552</v>
      </c>
      <c r="K720" s="26">
        <f t="shared" si="418"/>
        <v>-3.4754373583854581</v>
      </c>
      <c r="L720" s="26">
        <f t="shared" si="419"/>
        <v>3.0019250728110604E-2</v>
      </c>
      <c r="M720" s="26">
        <f t="shared" si="420"/>
        <v>-2.1137663431692832</v>
      </c>
      <c r="N720" s="26">
        <f t="shared" si="421"/>
        <v>0.10776598817391085</v>
      </c>
      <c r="O720" s="26">
        <f t="shared" si="422"/>
        <v>-2.1528935818974047</v>
      </c>
      <c r="P720" s="26">
        <f t="shared" si="423"/>
        <v>0.10406113823994599</v>
      </c>
      <c r="Q720" s="26">
        <f t="shared" si="424"/>
        <v>5.4143602458965748E-3</v>
      </c>
      <c r="R720" s="26">
        <f t="shared" si="425"/>
        <v>-9.0761015055970535</v>
      </c>
      <c r="S720" s="26">
        <f t="shared" si="426"/>
        <v>1.1435351881413016E-4</v>
      </c>
      <c r="T720" s="26">
        <f t="shared" si="427"/>
        <v>1.7614754134348027</v>
      </c>
      <c r="U720" s="26">
        <f t="shared" si="428"/>
        <v>0.85339434902847655</v>
      </c>
      <c r="V720" s="26">
        <f t="shared" si="429"/>
        <v>2.2030972660927368</v>
      </c>
      <c r="W720" s="26">
        <f t="shared" si="430"/>
        <v>0.90052730180085838</v>
      </c>
      <c r="X720" s="26">
        <f t="shared" si="431"/>
        <v>4.9474088435087563E-3</v>
      </c>
      <c r="Y720" s="26">
        <f t="shared" si="432"/>
        <v>2.1800123547702079</v>
      </c>
      <c r="Z720" s="26">
        <f t="shared" si="433"/>
        <v>0.8984401994239547</v>
      </c>
      <c r="AA720" s="26">
        <f t="shared" si="434"/>
        <v>-6.3099678478222527</v>
      </c>
      <c r="AB720" s="26">
        <f t="shared" si="435"/>
        <v>1.8147922351889362E-3</v>
      </c>
      <c r="AC720" s="26">
        <f t="shared" si="436"/>
        <v>2.4699198394773116</v>
      </c>
      <c r="AD720" s="26">
        <f t="shared" si="437"/>
        <v>0.92200600064746008</v>
      </c>
      <c r="AE720" s="26">
        <f t="shared" si="438"/>
        <v>3.0415319675019988E-3</v>
      </c>
      <c r="AF720" s="26">
        <f t="shared" si="439"/>
        <v>-3.4206517924413871</v>
      </c>
      <c r="AG720" s="26">
        <f t="shared" si="440"/>
        <v>3.1656242152073348E-2</v>
      </c>
      <c r="AH720" s="26">
        <f t="shared" si="441"/>
        <v>-2.4347260912181667</v>
      </c>
      <c r="AI720" s="26">
        <f t="shared" si="442"/>
        <v>8.0562699853855682E-2</v>
      </c>
      <c r="AJ720" s="26">
        <f t="shared" si="443"/>
        <v>-2.308504730664239</v>
      </c>
      <c r="AK720" s="26">
        <f t="shared" si="444"/>
        <v>9.0421047959474643E-2</v>
      </c>
      <c r="AL720" s="26">
        <f t="shared" si="445"/>
        <v>4.0879829570448067E-3</v>
      </c>
      <c r="AM720" s="27">
        <f t="shared" si="446"/>
        <v>1.7491284013952134E-2</v>
      </c>
    </row>
    <row r="721" spans="1:39" ht="15" customHeight="1" x14ac:dyDescent="0.2">
      <c r="A721" s="24">
        <v>710</v>
      </c>
      <c r="B721" s="29">
        <f t="shared" si="447"/>
        <v>5.6571711266902165</v>
      </c>
      <c r="C721" s="29">
        <f t="shared" si="448"/>
        <v>-5.6020407297555241</v>
      </c>
      <c r="D721" s="29">
        <f t="shared" si="449"/>
        <v>-3.4754233184513108</v>
      </c>
      <c r="E721" s="29">
        <f t="shared" si="450"/>
        <v>-4.199491791516734</v>
      </c>
      <c r="F721" s="29">
        <f t="shared" si="451"/>
        <v>3.8786736812358442</v>
      </c>
      <c r="G721" s="29">
        <f t="shared" si="452"/>
        <v>-2.1159493335776842</v>
      </c>
      <c r="H721" s="29">
        <f t="shared" si="453"/>
        <v>6.0701891761177293</v>
      </c>
      <c r="I721" s="29">
        <f t="shared" si="454"/>
        <v>6.0912858305004125</v>
      </c>
      <c r="J721" s="29">
        <f t="shared" si="455"/>
        <v>-2.9933901093725495</v>
      </c>
      <c r="K721" s="26">
        <f t="shared" si="418"/>
        <v>-3.4754233184513108</v>
      </c>
      <c r="L721" s="26">
        <f t="shared" si="419"/>
        <v>3.0019659546948886E-2</v>
      </c>
      <c r="M721" s="26">
        <f t="shared" si="420"/>
        <v>-2.1159493335776842</v>
      </c>
      <c r="N721" s="26">
        <f t="shared" si="421"/>
        <v>0.10755626788722897</v>
      </c>
      <c r="O721" s="26">
        <f t="shared" si="422"/>
        <v>-2.1560091263569365</v>
      </c>
      <c r="P721" s="26">
        <f t="shared" si="423"/>
        <v>0.10377102660364633</v>
      </c>
      <c r="Q721" s="26">
        <f t="shared" si="424"/>
        <v>5.3842129811873373E-3</v>
      </c>
      <c r="R721" s="26">
        <f t="shared" si="425"/>
        <v>-9.0774640482068349</v>
      </c>
      <c r="S721" s="26">
        <f t="shared" si="426"/>
        <v>1.1419783115512869E-4</v>
      </c>
      <c r="T721" s="26">
        <f t="shared" si="427"/>
        <v>1.76272434765816</v>
      </c>
      <c r="U721" s="26">
        <f t="shared" si="428"/>
        <v>0.85355053727263086</v>
      </c>
      <c r="V721" s="26">
        <f t="shared" si="429"/>
        <v>2.2065233863708555</v>
      </c>
      <c r="W721" s="26">
        <f t="shared" si="430"/>
        <v>0.90083378552022442</v>
      </c>
      <c r="X721" s="26">
        <f t="shared" si="431"/>
        <v>4.9169690471244261E-3</v>
      </c>
      <c r="Y721" s="26">
        <f t="shared" si="432"/>
        <v>2.1817478082389057</v>
      </c>
      <c r="Z721" s="26">
        <f t="shared" si="433"/>
        <v>0.89859844212237849</v>
      </c>
      <c r="AA721" s="26">
        <f t="shared" si="434"/>
        <v>-6.3154411250944182</v>
      </c>
      <c r="AB721" s="26">
        <f t="shared" si="435"/>
        <v>1.8049043861127247E-3</v>
      </c>
      <c r="AC721" s="26">
        <f t="shared" si="436"/>
        <v>2.4722666161875027</v>
      </c>
      <c r="AD721" s="26">
        <f t="shared" si="437"/>
        <v>0.92217459251292755</v>
      </c>
      <c r="AE721" s="26">
        <f t="shared" si="438"/>
        <v>3.0283970252644363E-3</v>
      </c>
      <c r="AF721" s="26">
        <f t="shared" si="439"/>
        <v>-3.4202929215166185</v>
      </c>
      <c r="AG721" s="26">
        <f t="shared" si="440"/>
        <v>3.166724487523935E-2</v>
      </c>
      <c r="AH721" s="26">
        <f t="shared" si="441"/>
        <v>-2.436767443858574</v>
      </c>
      <c r="AI721" s="26">
        <f t="shared" si="442"/>
        <v>8.0411621472768605E-2</v>
      </c>
      <c r="AJ721" s="26">
        <f t="shared" si="443"/>
        <v>-2.311353771808764</v>
      </c>
      <c r="AK721" s="26">
        <f t="shared" si="444"/>
        <v>9.0187001605501818E-2</v>
      </c>
      <c r="AL721" s="26">
        <f t="shared" si="445"/>
        <v>4.0668476292953937E-3</v>
      </c>
      <c r="AM721" s="27">
        <f t="shared" si="446"/>
        <v>1.7396426682871592E-2</v>
      </c>
    </row>
    <row r="722" spans="1:39" ht="15" customHeight="1" x14ac:dyDescent="0.2">
      <c r="A722" s="24">
        <v>711</v>
      </c>
      <c r="B722" s="29">
        <f t="shared" si="447"/>
        <v>5.6588830321809125</v>
      </c>
      <c r="C722" s="29">
        <f t="shared" si="448"/>
        <v>-5.6034120437400228</v>
      </c>
      <c r="D722" s="29">
        <f t="shared" si="449"/>
        <v>-3.475411127814338</v>
      </c>
      <c r="E722" s="29">
        <f t="shared" si="450"/>
        <v>-4.2027636946644975</v>
      </c>
      <c r="F722" s="29">
        <f t="shared" si="451"/>
        <v>3.8820857330977798</v>
      </c>
      <c r="G722" s="29">
        <f t="shared" si="452"/>
        <v>-2.118118812597551</v>
      </c>
      <c r="H722" s="29">
        <f t="shared" si="453"/>
        <v>6.0746851778097763</v>
      </c>
      <c r="I722" s="29">
        <f t="shared" si="454"/>
        <v>6.0972242167994359</v>
      </c>
      <c r="J722" s="29">
        <f t="shared" si="455"/>
        <v>-2.9959970611236537</v>
      </c>
      <c r="K722" s="26">
        <f t="shared" si="418"/>
        <v>-3.475411127814338</v>
      </c>
      <c r="L722" s="26">
        <f t="shared" si="419"/>
        <v>3.0020014521796513E-2</v>
      </c>
      <c r="M722" s="26">
        <f t="shared" si="420"/>
        <v>-2.118118812597551</v>
      </c>
      <c r="N722" s="26">
        <f t="shared" si="421"/>
        <v>0.10734820134400354</v>
      </c>
      <c r="O722" s="26">
        <f t="shared" si="422"/>
        <v>-2.1591088710059418</v>
      </c>
      <c r="P722" s="26">
        <f t="shared" si="423"/>
        <v>0.10348309615917088</v>
      </c>
      <c r="Q722" s="26">
        <f t="shared" si="424"/>
        <v>5.3543755953441036E-3</v>
      </c>
      <c r="R722" s="26">
        <f t="shared" si="425"/>
        <v>-9.0788231715543617</v>
      </c>
      <c r="S722" s="26">
        <f t="shared" si="426"/>
        <v>1.1404274533127741E-4</v>
      </c>
      <c r="T722" s="26">
        <f t="shared" si="427"/>
        <v>1.7639669205002289</v>
      </c>
      <c r="U722" s="26">
        <f t="shared" si="428"/>
        <v>0.85370579315910122</v>
      </c>
      <c r="V722" s="26">
        <f t="shared" si="429"/>
        <v>2.209931348722689</v>
      </c>
      <c r="W722" s="26">
        <f t="shared" si="430"/>
        <v>0.90113781095391476</v>
      </c>
      <c r="X722" s="26">
        <f t="shared" si="431"/>
        <v>4.8868662114919482E-3</v>
      </c>
      <c r="Y722" s="26">
        <f t="shared" si="432"/>
        <v>2.1834719043665745</v>
      </c>
      <c r="Z722" s="26">
        <f t="shared" si="433"/>
        <v>0.89875543259732216</v>
      </c>
      <c r="AA722" s="26">
        <f t="shared" si="434"/>
        <v>-6.3208825072620485</v>
      </c>
      <c r="AB722" s="26">
        <f t="shared" si="435"/>
        <v>1.7951274659350046E-3</v>
      </c>
      <c r="AC722" s="26">
        <f t="shared" si="436"/>
        <v>2.4746045384088529</v>
      </c>
      <c r="AD722" s="26">
        <f t="shared" si="437"/>
        <v>0.92234221642601877</v>
      </c>
      <c r="AE722" s="26">
        <f t="shared" si="438"/>
        <v>3.0153656748116548E-3</v>
      </c>
      <c r="AF722" s="26">
        <f t="shared" si="439"/>
        <v>-3.4199401393734483</v>
      </c>
      <c r="AG722" s="26">
        <f t="shared" si="440"/>
        <v>3.1678064526246601E-2</v>
      </c>
      <c r="AH722" s="26">
        <f t="shared" si="441"/>
        <v>-2.4387967741642687</v>
      </c>
      <c r="AI722" s="26">
        <f t="shared" si="442"/>
        <v>8.0261689157056809E-2</v>
      </c>
      <c r="AJ722" s="26">
        <f t="shared" si="443"/>
        <v>-2.3141892772747266</v>
      </c>
      <c r="AK722" s="26">
        <f t="shared" si="444"/>
        <v>8.9954609208798358E-2</v>
      </c>
      <c r="AL722" s="26">
        <f t="shared" si="445"/>
        <v>4.0459158589538149E-3</v>
      </c>
      <c r="AM722" s="27">
        <f t="shared" si="446"/>
        <v>1.7302523340601519E-2</v>
      </c>
    </row>
    <row r="723" spans="1:39" ht="15" customHeight="1" x14ac:dyDescent="0.2">
      <c r="A723" s="24">
        <v>712</v>
      </c>
      <c r="B723" s="29">
        <f t="shared" si="447"/>
        <v>5.6605855232255244</v>
      </c>
      <c r="C723" s="29">
        <f t="shared" si="448"/>
        <v>-5.6047781259927252</v>
      </c>
      <c r="D723" s="29">
        <f t="shared" si="449"/>
        <v>-3.475400759026563</v>
      </c>
      <c r="E723" s="29">
        <f t="shared" si="450"/>
        <v>-4.2060173960105738</v>
      </c>
      <c r="F723" s="29">
        <f t="shared" si="451"/>
        <v>3.8854781180290821</v>
      </c>
      <c r="G723" s="29">
        <f t="shared" si="452"/>
        <v>-2.1202749247167634</v>
      </c>
      <c r="H723" s="29">
        <f t="shared" si="453"/>
        <v>6.0791639331410758</v>
      </c>
      <c r="I723" s="29">
        <f t="shared" si="454"/>
        <v>6.1031315521666789</v>
      </c>
      <c r="J723" s="29">
        <f t="shared" si="455"/>
        <v>-2.9985916937828927</v>
      </c>
      <c r="K723" s="26">
        <f t="shared" si="418"/>
        <v>-3.475400759026563</v>
      </c>
      <c r="L723" s="26">
        <f t="shared" si="419"/>
        <v>3.0020316450062694E-2</v>
      </c>
      <c r="M723" s="26">
        <f t="shared" si="420"/>
        <v>-2.1202749247167634</v>
      </c>
      <c r="N723" s="26">
        <f t="shared" si="421"/>
        <v>0.10714176768503958</v>
      </c>
      <c r="O723" s="26">
        <f t="shared" si="422"/>
        <v>-2.1621929658447128</v>
      </c>
      <c r="P723" s="26">
        <f t="shared" si="423"/>
        <v>0.10319732098044679</v>
      </c>
      <c r="Q723" s="26">
        <f t="shared" si="424"/>
        <v>5.3248435287706819E-3</v>
      </c>
      <c r="R723" s="26">
        <f t="shared" si="425"/>
        <v>-9.0801788850192882</v>
      </c>
      <c r="S723" s="26">
        <f t="shared" si="426"/>
        <v>1.1388825839770658E-4</v>
      </c>
      <c r="T723" s="26">
        <f t="shared" si="427"/>
        <v>1.7652031933123187</v>
      </c>
      <c r="U723" s="26">
        <f t="shared" si="428"/>
        <v>0.85386012649904308</v>
      </c>
      <c r="V723" s="26">
        <f t="shared" si="429"/>
        <v>2.2133213307833088</v>
      </c>
      <c r="W723" s="26">
        <f t="shared" si="430"/>
        <v>0.90143940880701035</v>
      </c>
      <c r="X723" s="26">
        <f t="shared" si="431"/>
        <v>4.8570950681558148E-3</v>
      </c>
      <c r="Y723" s="26">
        <f t="shared" si="432"/>
        <v>2.1851847641989615</v>
      </c>
      <c r="Z723" s="26">
        <f t="shared" si="433"/>
        <v>0.89891118632494549</v>
      </c>
      <c r="AA723" s="26">
        <f t="shared" si="434"/>
        <v>-6.3262923207273367</v>
      </c>
      <c r="AB723" s="26">
        <f t="shared" si="435"/>
        <v>1.7854596743934914E-3</v>
      </c>
      <c r="AC723" s="26">
        <f t="shared" si="436"/>
        <v>2.4769336644946858</v>
      </c>
      <c r="AD723" s="26">
        <f t="shared" si="437"/>
        <v>0.92250888084063176</v>
      </c>
      <c r="AE723" s="26">
        <f t="shared" si="438"/>
        <v>3.0024367742857035E-3</v>
      </c>
      <c r="AF723" s="26">
        <f t="shared" si="439"/>
        <v>-3.4195933617937637</v>
      </c>
      <c r="AG723" s="26">
        <f t="shared" si="440"/>
        <v>3.1688703505271226E-2</v>
      </c>
      <c r="AH723" s="26">
        <f t="shared" si="441"/>
        <v>-2.4408142026982551</v>
      </c>
      <c r="AI723" s="26">
        <f t="shared" si="442"/>
        <v>8.0112889139346014E-2</v>
      </c>
      <c r="AJ723" s="26">
        <f t="shared" si="443"/>
        <v>-2.3170113689040726</v>
      </c>
      <c r="AK723" s="26">
        <f t="shared" si="444"/>
        <v>8.9723852131617751E-2</v>
      </c>
      <c r="AL723" s="26">
        <f t="shared" si="445"/>
        <v>4.0251848206682038E-3</v>
      </c>
      <c r="AM723" s="27">
        <f t="shared" si="446"/>
        <v>1.7209560191880403E-2</v>
      </c>
    </row>
    <row r="724" spans="1:39" ht="15" customHeight="1" x14ac:dyDescent="0.2">
      <c r="A724" s="24">
        <v>713</v>
      </c>
      <c r="B724" s="29">
        <f t="shared" si="447"/>
        <v>5.6622786921514301</v>
      </c>
      <c r="C724" s="29">
        <f t="shared" si="448"/>
        <v>-5.6061390129777555</v>
      </c>
      <c r="D724" s="29">
        <f t="shared" si="449"/>
        <v>-3.4753921850731118</v>
      </c>
      <c r="E724" s="29">
        <f t="shared" si="450"/>
        <v>-4.2092530749438488</v>
      </c>
      <c r="F724" s="29">
        <f t="shared" si="451"/>
        <v>3.8888510388630793</v>
      </c>
      <c r="G724" s="29">
        <f t="shared" si="452"/>
        <v>-2.1224178122751756</v>
      </c>
      <c r="H724" s="29">
        <f t="shared" si="453"/>
        <v>6.0836255623789404</v>
      </c>
      <c r="I724" s="29">
        <f t="shared" si="454"/>
        <v>6.1090081382720127</v>
      </c>
      <c r="J724" s="29">
        <f t="shared" si="455"/>
        <v>-3.0011741181424503</v>
      </c>
      <c r="K724" s="26">
        <f t="shared" si="418"/>
        <v>-3.4753921850731118</v>
      </c>
      <c r="L724" s="26">
        <f t="shared" si="419"/>
        <v>3.0020566116851395E-2</v>
      </c>
      <c r="M724" s="26">
        <f t="shared" si="420"/>
        <v>-2.1224178122751756</v>
      </c>
      <c r="N724" s="26">
        <f t="shared" si="421"/>
        <v>0.10693694640571808</v>
      </c>
      <c r="O724" s="26">
        <f t="shared" si="422"/>
        <v>-2.1652615588423965</v>
      </c>
      <c r="P724" s="26">
        <f t="shared" si="423"/>
        <v>0.10291367555563406</v>
      </c>
      <c r="Q724" s="26">
        <f t="shared" si="424"/>
        <v>5.2956123081851561E-3</v>
      </c>
      <c r="R724" s="26">
        <f t="shared" si="425"/>
        <v>-9.0815311980508682</v>
      </c>
      <c r="S724" s="26">
        <f t="shared" si="426"/>
        <v>1.137343674160966E-4</v>
      </c>
      <c r="T724" s="26">
        <f t="shared" si="427"/>
        <v>1.7664332265879037</v>
      </c>
      <c r="U724" s="26">
        <f t="shared" si="428"/>
        <v>0.85401354695755505</v>
      </c>
      <c r="V724" s="26">
        <f t="shared" si="429"/>
        <v>2.2166935077207341</v>
      </c>
      <c r="W724" s="26">
        <f t="shared" si="430"/>
        <v>0.9017386092730294</v>
      </c>
      <c r="X724" s="26">
        <f t="shared" si="431"/>
        <v>4.827650453799192E-3</v>
      </c>
      <c r="Y724" s="26">
        <f t="shared" si="432"/>
        <v>2.1868865070783183</v>
      </c>
      <c r="Z724" s="26">
        <f t="shared" si="433"/>
        <v>0.89906571853078499</v>
      </c>
      <c r="AA724" s="26">
        <f t="shared" si="434"/>
        <v>-6.3316708872190244</v>
      </c>
      <c r="AB724" s="26">
        <f t="shared" si="435"/>
        <v>1.7758992488961973E-3</v>
      </c>
      <c r="AC724" s="26">
        <f t="shared" si="436"/>
        <v>2.4792540523342801</v>
      </c>
      <c r="AD724" s="26">
        <f t="shared" si="437"/>
        <v>0.92267459411856856</v>
      </c>
      <c r="AE724" s="26">
        <f t="shared" si="438"/>
        <v>2.9896091973640559E-3</v>
      </c>
      <c r="AF724" s="26">
        <f t="shared" si="439"/>
        <v>-3.4192525058994372</v>
      </c>
      <c r="AG724" s="26">
        <f t="shared" si="440"/>
        <v>3.1699164177742635E-2</v>
      </c>
      <c r="AH724" s="26">
        <f t="shared" si="441"/>
        <v>-2.4428198483559451</v>
      </c>
      <c r="AI724" s="26">
        <f t="shared" si="442"/>
        <v>7.996520787389505E-2</v>
      </c>
      <c r="AJ724" s="26">
        <f t="shared" si="443"/>
        <v>-2.3198201669644503</v>
      </c>
      <c r="AK724" s="26">
        <f t="shared" si="444"/>
        <v>8.949471202019614E-2</v>
      </c>
      <c r="AL724" s="26">
        <f t="shared" si="445"/>
        <v>4.0046517397889199E-3</v>
      </c>
      <c r="AM724" s="27">
        <f t="shared" si="446"/>
        <v>1.7117523699137323E-2</v>
      </c>
    </row>
    <row r="725" spans="1:39" ht="15" customHeight="1" x14ac:dyDescent="0.2">
      <c r="A725" s="24">
        <v>714</v>
      </c>
      <c r="B725" s="29">
        <f t="shared" si="447"/>
        <v>5.663962630036937</v>
      </c>
      <c r="C725" s="29">
        <f t="shared" si="448"/>
        <v>-5.6074947408002567</v>
      </c>
      <c r="D725" s="29">
        <f t="shared" si="449"/>
        <v>-3.475385379364742</v>
      </c>
      <c r="E725" s="29">
        <f t="shared" si="450"/>
        <v>-4.2124709083722065</v>
      </c>
      <c r="F725" s="29">
        <f t="shared" si="451"/>
        <v>3.8922046954830214</v>
      </c>
      <c r="G725" s="29">
        <f t="shared" si="452"/>
        <v>-2.1245476155049827</v>
      </c>
      <c r="H725" s="29">
        <f t="shared" si="453"/>
        <v>6.0880701846577665</v>
      </c>
      <c r="I725" s="29">
        <f t="shared" si="454"/>
        <v>6.1148542726111943</v>
      </c>
      <c r="J725" s="29">
        <f t="shared" si="455"/>
        <v>-3.0037444435580727</v>
      </c>
      <c r="K725" s="26">
        <f t="shared" si="418"/>
        <v>-3.475385379364742</v>
      </c>
      <c r="L725" s="26">
        <f t="shared" si="419"/>
        <v>3.0020764295164929E-2</v>
      </c>
      <c r="M725" s="26">
        <f t="shared" si="420"/>
        <v>-2.1245476155049827</v>
      </c>
      <c r="N725" s="26">
        <f t="shared" si="421"/>
        <v>0.10673371734849814</v>
      </c>
      <c r="O725" s="26">
        <f t="shared" si="422"/>
        <v>-2.1683147959719014</v>
      </c>
      <c r="P725" s="26">
        <f t="shared" si="423"/>
        <v>0.10263213477892998</v>
      </c>
      <c r="Q725" s="26">
        <f t="shared" si="424"/>
        <v>5.2666775446402244E-3</v>
      </c>
      <c r="R725" s="26">
        <f t="shared" si="425"/>
        <v>-9.0828801201649991</v>
      </c>
      <c r="S725" s="26">
        <f t="shared" si="426"/>
        <v>1.1358106945497397E-4</v>
      </c>
      <c r="T725" s="26">
        <f t="shared" si="427"/>
        <v>1.7676570799780387</v>
      </c>
      <c r="U725" s="26">
        <f t="shared" si="428"/>
        <v>0.85416606405644835</v>
      </c>
      <c r="V725" s="26">
        <f t="shared" si="429"/>
        <v>2.2200480522794783</v>
      </c>
      <c r="W725" s="26">
        <f t="shared" si="430"/>
        <v>0.90203544204444641</v>
      </c>
      <c r="X725" s="26">
        <f t="shared" si="431"/>
        <v>4.7985273077135087E-3</v>
      </c>
      <c r="Y725" s="26">
        <f t="shared" si="432"/>
        <v>2.188577250672195</v>
      </c>
      <c r="Z725" s="26">
        <f t="shared" si="433"/>
        <v>0.89921904419466092</v>
      </c>
      <c r="AA725" s="26">
        <f t="shared" si="434"/>
        <v>-6.3370185238771892</v>
      </c>
      <c r="AB725" s="26">
        <f t="shared" si="435"/>
        <v>1.7664444635643133E-3</v>
      </c>
      <c r="AC725" s="26">
        <f t="shared" si="436"/>
        <v>2.4815657593552536</v>
      </c>
      <c r="AD725" s="26">
        <f t="shared" si="437"/>
        <v>0.92283936453058257</v>
      </c>
      <c r="AE725" s="26">
        <f t="shared" si="438"/>
        <v>2.9768818330221593E-3</v>
      </c>
      <c r="AF725" s="26">
        <f t="shared" si="439"/>
        <v>-3.4189174901280617</v>
      </c>
      <c r="AG725" s="26">
        <f t="shared" si="440"/>
        <v>3.1709448874886817E-2</v>
      </c>
      <c r="AH725" s="26">
        <f t="shared" si="441"/>
        <v>-2.4448138283941678</v>
      </c>
      <c r="AI725" s="26">
        <f t="shared" si="442"/>
        <v>7.9818632032172335E-2</v>
      </c>
      <c r="AJ725" s="26">
        <f t="shared" si="443"/>
        <v>-2.3226157901750346</v>
      </c>
      <c r="AK725" s="26">
        <f t="shared" si="444"/>
        <v>8.9267170799377932E-2</v>
      </c>
      <c r="AL725" s="26">
        <f t="shared" si="445"/>
        <v>3.9843138912626563E-3</v>
      </c>
      <c r="AM725" s="27">
        <f t="shared" si="446"/>
        <v>1.702640057663855E-2</v>
      </c>
    </row>
    <row r="726" spans="1:39" ht="15" customHeight="1" x14ac:dyDescent="0.2">
      <c r="A726" s="24">
        <v>715</v>
      </c>
      <c r="B726" s="29">
        <f t="shared" si="447"/>
        <v>5.6656374267321814</v>
      </c>
      <c r="C726" s="29">
        <f t="shared" si="448"/>
        <v>-5.6088453452108542</v>
      </c>
      <c r="D726" s="29">
        <f t="shared" si="449"/>
        <v>-3.4753803157305052</v>
      </c>
      <c r="E726" s="29">
        <f t="shared" si="450"/>
        <v>-4.2156710707660201</v>
      </c>
      <c r="F726" s="29">
        <f t="shared" si="451"/>
        <v>3.8955392848766253</v>
      </c>
      <c r="G726" s="29">
        <f t="shared" si="452"/>
        <v>-2.1266644725701793</v>
      </c>
      <c r="H726" s="29">
        <f t="shared" si="453"/>
        <v>6.0924979179910901</v>
      </c>
      <c r="I726" s="29">
        <f t="shared" si="454"/>
        <v>6.1206702485794864</v>
      </c>
      <c r="J726" s="29">
        <f t="shared" si="455"/>
        <v>-3.0063027779728926</v>
      </c>
      <c r="K726" s="26">
        <f t="shared" si="418"/>
        <v>-3.4753803157305052</v>
      </c>
      <c r="L726" s="26">
        <f t="shared" si="419"/>
        <v>3.0020911746104172E-2</v>
      </c>
      <c r="M726" s="26">
        <f t="shared" si="420"/>
        <v>-2.1266644725701793</v>
      </c>
      <c r="N726" s="26">
        <f t="shared" si="421"/>
        <v>0.10653206069560738</v>
      </c>
      <c r="O726" s="26">
        <f t="shared" si="422"/>
        <v>-2.1713528212440902</v>
      </c>
      <c r="P726" s="26">
        <f t="shared" si="423"/>
        <v>0.10235267394256467</v>
      </c>
      <c r="Q726" s="26">
        <f t="shared" si="424"/>
        <v>5.2380349315964787E-3</v>
      </c>
      <c r="R726" s="26">
        <f t="shared" si="425"/>
        <v>-9.0842256609413603</v>
      </c>
      <c r="S726" s="26">
        <f t="shared" si="426"/>
        <v>1.1342836158999388E-4</v>
      </c>
      <c r="T726" s="26">
        <f t="shared" si="427"/>
        <v>1.7688748123064459</v>
      </c>
      <c r="U726" s="26">
        <f t="shared" si="428"/>
        <v>0.85431768717695511</v>
      </c>
      <c r="V726" s="26">
        <f t="shared" si="429"/>
        <v>2.2233851348231615</v>
      </c>
      <c r="W726" s="26">
        <f t="shared" si="430"/>
        <v>0.90232993632295744</v>
      </c>
      <c r="X726" s="26">
        <f t="shared" si="431"/>
        <v>4.7697206693387744E-3</v>
      </c>
      <c r="Y726" s="26">
        <f t="shared" si="432"/>
        <v>2.1902571110016762</v>
      </c>
      <c r="Z726" s="26">
        <f t="shared" si="433"/>
        <v>0.89937117805547506</v>
      </c>
      <c r="AA726" s="26">
        <f t="shared" si="434"/>
        <v>-6.3423355433361994</v>
      </c>
      <c r="AB726" s="26">
        <f t="shared" si="435"/>
        <v>1.7570936283035324E-3</v>
      </c>
      <c r="AC726" s="26">
        <f t="shared" si="436"/>
        <v>2.4838688425260096</v>
      </c>
      <c r="AD726" s="26">
        <f t="shared" si="437"/>
        <v>0.92300320025741911</v>
      </c>
      <c r="AE726" s="26">
        <f t="shared" si="438"/>
        <v>2.9642535852995523E-3</v>
      </c>
      <c r="AF726" s="26">
        <f t="shared" si="439"/>
        <v>-3.418588234209178</v>
      </c>
      <c r="AG726" s="26">
        <f t="shared" si="440"/>
        <v>3.1719559894260875E-2</v>
      </c>
      <c r="AH726" s="26">
        <f t="shared" si="441"/>
        <v>-2.4467962584595742</v>
      </c>
      <c r="AI726" s="26">
        <f t="shared" si="442"/>
        <v>7.967314849853728E-2</v>
      </c>
      <c r="AJ726" s="26">
        <f t="shared" si="443"/>
        <v>-2.325398355731862</v>
      </c>
      <c r="AK726" s="26">
        <f t="shared" si="444"/>
        <v>8.9041210667360121E-2</v>
      </c>
      <c r="AL726" s="26">
        <f t="shared" si="445"/>
        <v>3.9641685985546031E-3</v>
      </c>
      <c r="AM726" s="27">
        <f t="shared" si="446"/>
        <v>1.6936177784789407E-2</v>
      </c>
    </row>
    <row r="727" spans="1:39" ht="15" customHeight="1" x14ac:dyDescent="0.2">
      <c r="A727" s="24">
        <v>716</v>
      </c>
      <c r="B727" s="29">
        <f t="shared" si="447"/>
        <v>5.66730317087963</v>
      </c>
      <c r="C727" s="29">
        <f t="shared" si="448"/>
        <v>-5.6101908616100538</v>
      </c>
      <c r="D727" s="29">
        <f t="shared" si="449"/>
        <v>-3.4753769684105404</v>
      </c>
      <c r="E727" s="29">
        <f t="shared" si="450"/>
        <v>-4.2188537342007359</v>
      </c>
      <c r="F727" s="29">
        <f t="shared" si="451"/>
        <v>3.8988550011894101</v>
      </c>
      <c r="G727" s="29">
        <f t="shared" si="452"/>
        <v>-2.1287685196051371</v>
      </c>
      <c r="H727" s="29">
        <f t="shared" si="453"/>
        <v>6.0969088792835375</v>
      </c>
      <c r="I727" s="29">
        <f t="shared" si="454"/>
        <v>6.1264563555437279</v>
      </c>
      <c r="J727" s="29">
        <f t="shared" si="455"/>
        <v>-3.0088492279407806</v>
      </c>
      <c r="K727" s="26">
        <f t="shared" si="418"/>
        <v>-3.4753769684105404</v>
      </c>
      <c r="L727" s="26">
        <f t="shared" si="419"/>
        <v>3.0021009219065427E-2</v>
      </c>
      <c r="M727" s="26">
        <f t="shared" si="420"/>
        <v>-2.1287685196051371</v>
      </c>
      <c r="N727" s="26">
        <f t="shared" si="421"/>
        <v>0.10633195696191444</v>
      </c>
      <c r="O727" s="26">
        <f t="shared" si="422"/>
        <v>-2.174375776741285</v>
      </c>
      <c r="P727" s="26">
        <f t="shared" si="423"/>
        <v>0.10207526872898172</v>
      </c>
      <c r="Q727" s="26">
        <f t="shared" si="424"/>
        <v>5.2096802430469163E-3</v>
      </c>
      <c r="R727" s="26">
        <f t="shared" si="425"/>
        <v>-9.0855678300205938</v>
      </c>
      <c r="S727" s="26">
        <f t="shared" si="426"/>
        <v>1.1327624090421555E-4</v>
      </c>
      <c r="T727" s="26">
        <f t="shared" si="427"/>
        <v>1.770086481584273</v>
      </c>
      <c r="U727" s="26">
        <f t="shared" si="428"/>
        <v>0.8544684255623739</v>
      </c>
      <c r="V727" s="26">
        <f t="shared" si="429"/>
        <v>2.226704923376249</v>
      </c>
      <c r="W727" s="26">
        <f t="shared" si="430"/>
        <v>0.90262212082949711</v>
      </c>
      <c r="X727" s="26">
        <f t="shared" si="431"/>
        <v>4.7412256758725306E-3</v>
      </c>
      <c r="Y727" s="26">
        <f t="shared" si="432"/>
        <v>2.1919262024690895</v>
      </c>
      <c r="Z727" s="26">
        <f t="shared" si="433"/>
        <v>0.89952213461589881</v>
      </c>
      <c r="AA727" s="26">
        <f t="shared" si="434"/>
        <v>-6.3476222538058735</v>
      </c>
      <c r="AB727" s="26">
        <f t="shared" si="435"/>
        <v>1.7478450879028482E-3</v>
      </c>
      <c r="AC727" s="26">
        <f t="shared" si="436"/>
        <v>2.4861633583582625</v>
      </c>
      <c r="AD727" s="26">
        <f t="shared" si="437"/>
        <v>0.92316610939084787</v>
      </c>
      <c r="AE727" s="26">
        <f t="shared" si="438"/>
        <v>2.9517233730695781E-3</v>
      </c>
      <c r="AF727" s="26">
        <f t="shared" si="439"/>
        <v>-3.4182646591409642</v>
      </c>
      <c r="AG727" s="26">
        <f t="shared" si="440"/>
        <v>3.1729499500279618E-2</v>
      </c>
      <c r="AH727" s="26">
        <f t="shared" si="441"/>
        <v>-2.448767252616463</v>
      </c>
      <c r="AI727" s="26">
        <f t="shared" si="442"/>
        <v>7.9528744366022558E-2</v>
      </c>
      <c r="AJ727" s="26">
        <f t="shared" si="443"/>
        <v>-2.3281679793326719</v>
      </c>
      <c r="AK727" s="26">
        <f t="shared" si="444"/>
        <v>8.8816814090553906E-2</v>
      </c>
      <c r="AL727" s="26">
        <f t="shared" si="445"/>
        <v>3.9442132325980071E-3</v>
      </c>
      <c r="AM727" s="27">
        <f t="shared" si="446"/>
        <v>1.6846842524587034E-2</v>
      </c>
    </row>
    <row r="728" spans="1:39" ht="15" customHeight="1" x14ac:dyDescent="0.2">
      <c r="A728" s="24">
        <v>717</v>
      </c>
      <c r="B728" s="29">
        <f t="shared" si="447"/>
        <v>5.668959949934183</v>
      </c>
      <c r="C728" s="29">
        <f t="shared" si="448"/>
        <v>-5.6115313250525727</v>
      </c>
      <c r="D728" s="29">
        <f t="shared" si="449"/>
        <v>-3.4753753120489961</v>
      </c>
      <c r="E728" s="29">
        <f t="shared" si="450"/>
        <v>-4.2220190683985663</v>
      </c>
      <c r="F728" s="29">
        <f t="shared" si="451"/>
        <v>3.9021520357768584</v>
      </c>
      <c r="G728" s="29">
        <f t="shared" si="452"/>
        <v>-2.1308598907523182</v>
      </c>
      <c r="H728" s="29">
        <f t="shared" si="453"/>
        <v>6.1013031843426662</v>
      </c>
      <c r="I728" s="29">
        <f t="shared" si="454"/>
        <v>6.1322128789128865</v>
      </c>
      <c r="J728" s="29">
        <f t="shared" si="455"/>
        <v>-3.0113838986492381</v>
      </c>
      <c r="K728" s="26">
        <f t="shared" si="418"/>
        <v>-3.4753753120489961</v>
      </c>
      <c r="L728" s="26">
        <f t="shared" si="419"/>
        <v>3.0021057451934119E-2</v>
      </c>
      <c r="M728" s="26">
        <f t="shared" si="420"/>
        <v>-2.1308598907523182</v>
      </c>
      <c r="N728" s="26">
        <f t="shared" si="421"/>
        <v>0.10613338698797958</v>
      </c>
      <c r="O728" s="26">
        <f t="shared" si="422"/>
        <v>-2.1773838026500845</v>
      </c>
      <c r="P728" s="26">
        <f t="shared" si="423"/>
        <v>0.10179989520320047</v>
      </c>
      <c r="Q728" s="26">
        <f t="shared" si="424"/>
        <v>5.1816093316912988E-3</v>
      </c>
      <c r="R728" s="26">
        <f t="shared" si="425"/>
        <v>-9.0869066371015688</v>
      </c>
      <c r="S728" s="26">
        <f t="shared" si="426"/>
        <v>1.1312470448836543E-4</v>
      </c>
      <c r="T728" s="26">
        <f t="shared" si="427"/>
        <v>1.7712921450245402</v>
      </c>
      <c r="U728" s="26">
        <f t="shared" si="428"/>
        <v>0.85461828832065523</v>
      </c>
      <c r="V728" s="26">
        <f t="shared" si="429"/>
        <v>2.2300075836648929</v>
      </c>
      <c r="W728" s="26">
        <f t="shared" si="430"/>
        <v>0.90291202381401392</v>
      </c>
      <c r="X728" s="26">
        <f t="shared" si="431"/>
        <v>4.7130375599453E-3</v>
      </c>
      <c r="Y728" s="26">
        <f t="shared" si="432"/>
        <v>2.1935846378851869</v>
      </c>
      <c r="Z728" s="26">
        <f t="shared" si="433"/>
        <v>0.89967192814695762</v>
      </c>
      <c r="AA728" s="26">
        <f t="shared" si="434"/>
        <v>-6.3528789591508845</v>
      </c>
      <c r="AB728" s="26">
        <f t="shared" si="435"/>
        <v>1.7386972211599241E-3</v>
      </c>
      <c r="AC728" s="26">
        <f t="shared" si="436"/>
        <v>2.4884493629096278</v>
      </c>
      <c r="AD728" s="26">
        <f t="shared" si="437"/>
        <v>0.92332809993468867</v>
      </c>
      <c r="AE728" s="26">
        <f t="shared" si="438"/>
        <v>2.9392901298125437E-3</v>
      </c>
      <c r="AF728" s="26">
        <f t="shared" si="439"/>
        <v>-3.4179466871673858</v>
      </c>
      <c r="AG728" s="26">
        <f t="shared" si="440"/>
        <v>3.1739269924733776E-2</v>
      </c>
      <c r="AH728" s="26">
        <f t="shared" si="441"/>
        <v>-2.4507269233740261</v>
      </c>
      <c r="AI728" s="26">
        <f t="shared" si="442"/>
        <v>7.938540693221606E-2</v>
      </c>
      <c r="AJ728" s="26">
        <f t="shared" si="443"/>
        <v>-2.3309247752012729</v>
      </c>
      <c r="AK728" s="26">
        <f t="shared" si="444"/>
        <v>8.8593963798559744E-2</v>
      </c>
      <c r="AL728" s="26">
        <f t="shared" si="445"/>
        <v>3.9244452107702575E-3</v>
      </c>
      <c r="AM728" s="27">
        <f t="shared" si="446"/>
        <v>1.6758382232219399E-2</v>
      </c>
    </row>
    <row r="729" spans="1:39" ht="15" customHeight="1" x14ac:dyDescent="0.2">
      <c r="A729" s="24">
        <v>718</v>
      </c>
      <c r="B729" s="29">
        <f t="shared" si="447"/>
        <v>5.6706078501828872</v>
      </c>
      <c r="C729" s="29">
        <f t="shared" si="448"/>
        <v>-5.6128667702516131</v>
      </c>
      <c r="D729" s="29">
        <f t="shared" si="449"/>
        <v>-3.4753753216870815</v>
      </c>
      <c r="E729" s="29">
        <f t="shared" si="450"/>
        <v>-4.2251672407693173</v>
      </c>
      <c r="F729" s="29">
        <f t="shared" si="451"/>
        <v>3.9054305772554296</v>
      </c>
      <c r="G729" s="29">
        <f t="shared" si="452"/>
        <v>-2.1329387181991497</v>
      </c>
      <c r="H729" s="29">
        <f t="shared" si="453"/>
        <v>6.1056809478907006</v>
      </c>
      <c r="I729" s="29">
        <f t="shared" si="454"/>
        <v>6.1379401002071319</v>
      </c>
      <c r="J729" s="29">
        <f t="shared" si="455"/>
        <v>-3.0139068939418396</v>
      </c>
      <c r="K729" s="26">
        <f t="shared" si="418"/>
        <v>-3.4753753216870815</v>
      </c>
      <c r="L729" s="26">
        <f t="shared" si="419"/>
        <v>3.002105717127506E-2</v>
      </c>
      <c r="M729" s="26">
        <f t="shared" si="420"/>
        <v>-2.1329387181991497</v>
      </c>
      <c r="N729" s="26">
        <f t="shared" si="421"/>
        <v>0.10593633193327726</v>
      </c>
      <c r="O729" s="26">
        <f t="shared" si="422"/>
        <v>-2.1803770372935323</v>
      </c>
      <c r="P729" s="26">
        <f t="shared" si="423"/>
        <v>0.10152652980535332</v>
      </c>
      <c r="Q729" s="26">
        <f t="shared" si="424"/>
        <v>5.1538181271586474E-3</v>
      </c>
      <c r="R729" s="26">
        <f t="shared" si="425"/>
        <v>-9.0882420919386941</v>
      </c>
      <c r="S729" s="26">
        <f t="shared" si="426"/>
        <v>1.1297374944109281E-4</v>
      </c>
      <c r="T729" s="26">
        <f t="shared" si="427"/>
        <v>1.7724918590562799</v>
      </c>
      <c r="U729" s="26">
        <f t="shared" si="428"/>
        <v>0.85476728442693195</v>
      </c>
      <c r="V729" s="26">
        <f t="shared" si="429"/>
        <v>2.2332932791569546</v>
      </c>
      <c r="W729" s="26">
        <f t="shared" si="430"/>
        <v>0.90319967306501514</v>
      </c>
      <c r="X729" s="26">
        <f t="shared" si="431"/>
        <v>4.6851516473599775E-3</v>
      </c>
      <c r="Y729" s="26">
        <f t="shared" si="432"/>
        <v>2.1952325284958056</v>
      </c>
      <c r="Z729" s="26">
        <f t="shared" si="433"/>
        <v>0.89982057269251337</v>
      </c>
      <c r="AA729" s="26">
        <f t="shared" si="434"/>
        <v>-6.3581059589684674</v>
      </c>
      <c r="AB729" s="26">
        <f t="shared" si="435"/>
        <v>1.729648440032105E-3</v>
      </c>
      <c r="AC729" s="26">
        <f t="shared" si="436"/>
        <v>2.4907269117862723</v>
      </c>
      <c r="AD729" s="26">
        <f t="shared" si="437"/>
        <v>0.92348917980582779</v>
      </c>
      <c r="AE729" s="26">
        <f t="shared" si="438"/>
        <v>2.9269528033924754E-3</v>
      </c>
      <c r="AF729" s="26">
        <f t="shared" si="439"/>
        <v>-3.4176342417558074</v>
      </c>
      <c r="AG729" s="26">
        <f t="shared" si="440"/>
        <v>3.1748873367300007E-2</v>
      </c>
      <c r="AH729" s="26">
        <f t="shared" si="441"/>
        <v>-2.4526753817130373</v>
      </c>
      <c r="AI729" s="26">
        <f t="shared" si="442"/>
        <v>7.9243123695238712E-2</v>
      </c>
      <c r="AJ729" s="26">
        <f t="shared" si="443"/>
        <v>-2.3336688561114416</v>
      </c>
      <c r="AK729" s="26">
        <f t="shared" si="444"/>
        <v>8.8372642779253538E-2</v>
      </c>
      <c r="AL729" s="26">
        <f t="shared" si="445"/>
        <v>3.9048619958947763E-3</v>
      </c>
      <c r="AM729" s="27">
        <f t="shared" si="446"/>
        <v>1.6670784573805879E-2</v>
      </c>
    </row>
    <row r="730" spans="1:39" ht="15" customHeight="1" x14ac:dyDescent="0.2">
      <c r="A730" s="24">
        <v>719</v>
      </c>
      <c r="B730" s="29">
        <f t="shared" si="447"/>
        <v>5.6722469567642735</v>
      </c>
      <c r="C730" s="29">
        <f t="shared" si="448"/>
        <v>-5.6141972315830673</v>
      </c>
      <c r="D730" s="29">
        <f t="shared" si="449"/>
        <v>-3.4753769727562394</v>
      </c>
      <c r="E730" s="29">
        <f t="shared" si="450"/>
        <v>-4.2282984164503645</v>
      </c>
      <c r="F730" s="29">
        <f t="shared" si="451"/>
        <v>3.9086908115524555</v>
      </c>
      <c r="G730" s="29">
        <f t="shared" si="452"/>
        <v>-2.1350051322140846</v>
      </c>
      <c r="H730" s="29">
        <f t="shared" si="453"/>
        <v>6.1100422835761607</v>
      </c>
      <c r="I730" s="29">
        <f t="shared" si="454"/>
        <v>6.1436382971254693</v>
      </c>
      <c r="J730" s="29">
        <f t="shared" si="455"/>
        <v>-3.0164183163402369</v>
      </c>
      <c r="K730" s="26">
        <f t="shared" si="418"/>
        <v>-3.4753769727562394</v>
      </c>
      <c r="L730" s="26">
        <f t="shared" si="419"/>
        <v>3.0021009092519774E-2</v>
      </c>
      <c r="M730" s="26">
        <f t="shared" si="420"/>
        <v>-2.1350051322140846</v>
      </c>
      <c r="N730" s="26">
        <f t="shared" si="421"/>
        <v>0.10574077326958606</v>
      </c>
      <c r="O730" s="26">
        <f t="shared" si="422"/>
        <v>-2.1833556171626265</v>
      </c>
      <c r="P730" s="26">
        <f t="shared" si="423"/>
        <v>0.10125514934339534</v>
      </c>
      <c r="Q730" s="26">
        <f t="shared" si="424"/>
        <v>5.1263026342766469E-3</v>
      </c>
      <c r="R730" s="26">
        <f t="shared" si="425"/>
        <v>-9.0895742043393071</v>
      </c>
      <c r="S730" s="26">
        <f t="shared" si="426"/>
        <v>1.1282337286921439E-4</v>
      </c>
      <c r="T730" s="26">
        <f t="shared" si="427"/>
        <v>1.7736856793383708</v>
      </c>
      <c r="U730" s="26">
        <f t="shared" si="428"/>
        <v>0.85491542272598875</v>
      </c>
      <c r="V730" s="26">
        <f t="shared" si="429"/>
        <v>2.2365621711011641</v>
      </c>
      <c r="W730" s="26">
        <f t="shared" si="430"/>
        <v>0.90348509591887938</v>
      </c>
      <c r="X730" s="26">
        <f t="shared" si="431"/>
        <v>4.6575633548939571E-3</v>
      </c>
      <c r="Y730" s="26">
        <f t="shared" si="432"/>
        <v>2.1968699840080341</v>
      </c>
      <c r="Z730" s="26">
        <f t="shared" si="433"/>
        <v>0.8999680820736442</v>
      </c>
      <c r="AA730" s="26">
        <f t="shared" si="434"/>
        <v>-6.3633035486644491</v>
      </c>
      <c r="AB730" s="26">
        <f t="shared" si="435"/>
        <v>1.7206971888122601E-3</v>
      </c>
      <c r="AC730" s="26">
        <f t="shared" si="436"/>
        <v>2.4929960601456131</v>
      </c>
      <c r="AD730" s="26">
        <f t="shared" si="437"/>
        <v>0.92364935683522753</v>
      </c>
      <c r="AE730" s="26">
        <f t="shared" si="438"/>
        <v>2.9147103558372087E-3</v>
      </c>
      <c r="AF730" s="26">
        <f t="shared" si="439"/>
        <v>-3.4173272475750331</v>
      </c>
      <c r="AG730" s="26">
        <f t="shared" si="440"/>
        <v>3.1758311996043134E-2</v>
      </c>
      <c r="AH730" s="26">
        <f t="shared" si="441"/>
        <v>-2.4546127371119937</v>
      </c>
      <c r="AI730" s="26">
        <f t="shared" si="442"/>
        <v>7.9101882349816244E-2</v>
      </c>
      <c r="AJ730" s="26">
        <f t="shared" si="443"/>
        <v>-2.3364003334103653</v>
      </c>
      <c r="AK730" s="26">
        <f t="shared" si="444"/>
        <v>8.8152834273980657E-2</v>
      </c>
      <c r="AL730" s="26">
        <f t="shared" si="445"/>
        <v>3.8854610952679496E-3</v>
      </c>
      <c r="AM730" s="27">
        <f t="shared" si="446"/>
        <v>1.6584037440275763E-2</v>
      </c>
    </row>
    <row r="731" spans="1:39" ht="15" customHeight="1" x14ac:dyDescent="0.2">
      <c r="A731" s="24">
        <v>720</v>
      </c>
      <c r="B731" s="29">
        <f t="shared" si="447"/>
        <v>5.6738773536873186</v>
      </c>
      <c r="C731" s="29">
        <f t="shared" si="448"/>
        <v>-5.6155227430896657</v>
      </c>
      <c r="D731" s="29">
        <f t="shared" si="449"/>
        <v>-3.4753802410714449</v>
      </c>
      <c r="E731" s="29">
        <f t="shared" si="450"/>
        <v>-4.2314127583458108</v>
      </c>
      <c r="F731" s="29">
        <f t="shared" si="451"/>
        <v>3.9119329219549464</v>
      </c>
      <c r="G731" s="29">
        <f t="shared" si="452"/>
        <v>-2.1370592611818613</v>
      </c>
      <c r="H731" s="29">
        <f t="shared" si="453"/>
        <v>6.1143873039853789</v>
      </c>
      <c r="I731" s="29">
        <f t="shared" si="454"/>
        <v>6.1493077436119554</v>
      </c>
      <c r="J731" s="29">
        <f t="shared" si="455"/>
        <v>-3.0189182670657324</v>
      </c>
      <c r="K731" s="26">
        <f t="shared" si="418"/>
        <v>-3.4753802410714449</v>
      </c>
      <c r="L731" s="26">
        <f t="shared" si="419"/>
        <v>3.0020913920150442E-2</v>
      </c>
      <c r="M731" s="26">
        <f t="shared" si="420"/>
        <v>-2.1370592611818613</v>
      </c>
      <c r="N731" s="26">
        <f t="shared" si="421"/>
        <v>0.10554669277454157</v>
      </c>
      <c r="O731" s="26">
        <f t="shared" si="422"/>
        <v>-2.186319676947206</v>
      </c>
      <c r="P731" s="26">
        <f t="shared" si="423"/>
        <v>0.10098573098598003</v>
      </c>
      <c r="Q731" s="26">
        <f t="shared" si="424"/>
        <v>5.0990589313863639E-3</v>
      </c>
      <c r="R731" s="26">
        <f t="shared" si="425"/>
        <v>-9.0909029841611115</v>
      </c>
      <c r="S731" s="26">
        <f t="shared" si="426"/>
        <v>1.126735718879512E-4</v>
      </c>
      <c r="T731" s="26">
        <f t="shared" si="427"/>
        <v>1.7748736607730851</v>
      </c>
      <c r="U731" s="26">
        <f t="shared" si="428"/>
        <v>0.8550627119346802</v>
      </c>
      <c r="V731" s="26">
        <f t="shared" si="429"/>
        <v>2.2398144185654818</v>
      </c>
      <c r="W731" s="26">
        <f t="shared" si="430"/>
        <v>0.90376831926894996</v>
      </c>
      <c r="X731" s="26">
        <f t="shared" si="431"/>
        <v>4.6302681881613735E-3</v>
      </c>
      <c r="Y731" s="26">
        <f t="shared" si="432"/>
        <v>2.1984971126158737</v>
      </c>
      <c r="Z731" s="26">
        <f t="shared" si="433"/>
        <v>0.90011446989293087</v>
      </c>
      <c r="AA731" s="26">
        <f t="shared" si="434"/>
        <v>-6.3684720195276725</v>
      </c>
      <c r="AB731" s="26">
        <f t="shared" si="435"/>
        <v>1.7118419433285676E-3</v>
      </c>
      <c r="AC731" s="26">
        <f t="shared" si="436"/>
        <v>2.4952568626990841</v>
      </c>
      <c r="AD731" s="26">
        <f t="shared" si="437"/>
        <v>0.92380863876892694</v>
      </c>
      <c r="AE731" s="26">
        <f t="shared" si="438"/>
        <v>2.9025617631219316E-3</v>
      </c>
      <c r="AF731" s="26">
        <f t="shared" si="439"/>
        <v>-3.417025630473792</v>
      </c>
      <c r="AG731" s="26">
        <f t="shared" si="440"/>
        <v>3.1767587947910271E-2</v>
      </c>
      <c r="AH731" s="26">
        <f t="shared" si="441"/>
        <v>-2.4565390975727257</v>
      </c>
      <c r="AI731" s="26">
        <f t="shared" si="442"/>
        <v>7.8961670783441781E-2</v>
      </c>
      <c r="AJ731" s="26">
        <f t="shared" si="443"/>
        <v>-2.3391193170416344</v>
      </c>
      <c r="AK731" s="26">
        <f t="shared" si="444"/>
        <v>8.7934521772855628E-2</v>
      </c>
      <c r="AL731" s="26">
        <f t="shared" si="445"/>
        <v>3.8662400597104102E-3</v>
      </c>
      <c r="AM731" s="27">
        <f t="shared" si="446"/>
        <v>1.6498128942380078E-2</v>
      </c>
    </row>
    <row r="732" spans="1:39" ht="15" customHeight="1" x14ac:dyDescent="0.2">
      <c r="A732" s="24">
        <v>721</v>
      </c>
      <c r="B732" s="29">
        <f t="shared" si="447"/>
        <v>5.6754991238500461</v>
      </c>
      <c r="C732" s="29">
        <f t="shared" si="448"/>
        <v>-5.6168433384850633</v>
      </c>
      <c r="D732" s="29">
        <f t="shared" si="449"/>
        <v>-3.4753851028246237</v>
      </c>
      <c r="E732" s="29">
        <f t="shared" si="450"/>
        <v>-4.2345104271648299</v>
      </c>
      <c r="F732" s="29">
        <f t="shared" si="451"/>
        <v>3.915157089157336</v>
      </c>
      <c r="G732" s="29">
        <f t="shared" si="452"/>
        <v>-2.1391012316379898</v>
      </c>
      <c r="H732" s="29">
        <f t="shared" si="453"/>
        <v>6.1187161206539109</v>
      </c>
      <c r="I732" s="29">
        <f t="shared" si="454"/>
        <v>6.1549487099205482</v>
      </c>
      <c r="J732" s="29">
        <f t="shared" si="455"/>
        <v>-3.0214068460604304</v>
      </c>
      <c r="K732" s="26">
        <f t="shared" si="418"/>
        <v>-3.4753851028246237</v>
      </c>
      <c r="L732" s="26">
        <f t="shared" si="419"/>
        <v>3.002077234788093E-2</v>
      </c>
      <c r="M732" s="26">
        <f t="shared" si="420"/>
        <v>-2.1391012316379898</v>
      </c>
      <c r="N732" s="26">
        <f t="shared" si="421"/>
        <v>0.10535407252534719</v>
      </c>
      <c r="O732" s="26">
        <f t="shared" si="422"/>
        <v>-2.1892693495662088</v>
      </c>
      <c r="P732" s="26">
        <f t="shared" si="423"/>
        <v>0.10071825225549881</v>
      </c>
      <c r="Q732" s="26">
        <f t="shared" si="424"/>
        <v>5.0720831687011457E-3</v>
      </c>
      <c r="R732" s="26">
        <f t="shared" si="425"/>
        <v>-9.0922284413096861</v>
      </c>
      <c r="S732" s="26">
        <f t="shared" si="426"/>
        <v>1.1252434362115545E-4</v>
      </c>
      <c r="T732" s="26">
        <f t="shared" si="427"/>
        <v>1.7760558575193461</v>
      </c>
      <c r="U732" s="26">
        <f t="shared" si="428"/>
        <v>0.85520916064429309</v>
      </c>
      <c r="V732" s="26">
        <f t="shared" si="429"/>
        <v>2.243050178474677</v>
      </c>
      <c r="W732" s="26">
        <f t="shared" si="430"/>
        <v>0.90404936957441373</v>
      </c>
      <c r="X732" s="26">
        <f t="shared" si="431"/>
        <v>4.6032617395337207E-3</v>
      </c>
      <c r="Y732" s="26">
        <f t="shared" si="432"/>
        <v>2.2001140210254224</v>
      </c>
      <c r="Z732" s="26">
        <f t="shared" si="433"/>
        <v>0.90025974953864396</v>
      </c>
      <c r="AA732" s="26">
        <f t="shared" si="434"/>
        <v>-6.3736116588028198</v>
      </c>
      <c r="AB732" s="26">
        <f t="shared" si="435"/>
        <v>1.7030812101675166E-3</v>
      </c>
      <c r="AC732" s="26">
        <f t="shared" si="436"/>
        <v>2.4975093737149336</v>
      </c>
      <c r="AD732" s="26">
        <f t="shared" si="437"/>
        <v>0.92396703326903307</v>
      </c>
      <c r="AE732" s="26">
        <f t="shared" si="438"/>
        <v>2.8905060149561623E-3</v>
      </c>
      <c r="AF732" s="26">
        <f t="shared" si="439"/>
        <v>-3.4167293174596409</v>
      </c>
      <c r="AG732" s="26">
        <f t="shared" si="440"/>
        <v>3.1776703329217192E-2</v>
      </c>
      <c r="AH732" s="26">
        <f t="shared" si="441"/>
        <v>-2.4584545696454838</v>
      </c>
      <c r="AI732" s="26">
        <f t="shared" si="442"/>
        <v>7.8822477072627545E-2</v>
      </c>
      <c r="AJ732" s="26">
        <f t="shared" si="443"/>
        <v>-2.3418259155678016</v>
      </c>
      <c r="AK732" s="26">
        <f t="shared" si="444"/>
        <v>8.7717689010164371E-2</v>
      </c>
      <c r="AL732" s="26">
        <f t="shared" si="445"/>
        <v>3.8471964826419557E-3</v>
      </c>
      <c r="AM732" s="27">
        <f t="shared" si="446"/>
        <v>1.6413047405832985E-2</v>
      </c>
    </row>
    <row r="733" spans="1:39" ht="15" customHeight="1" x14ac:dyDescent="0.2">
      <c r="A733" s="24">
        <v>722</v>
      </c>
      <c r="B733" s="29">
        <f t="shared" si="447"/>
        <v>5.6771123490577704</v>
      </c>
      <c r="C733" s="29">
        <f t="shared" si="448"/>
        <v>-5.6181590511578676</v>
      </c>
      <c r="D733" s="29">
        <f t="shared" si="449"/>
        <v>-3.4753915345781881</v>
      </c>
      <c r="E733" s="29">
        <f t="shared" si="450"/>
        <v>-4.2375915814592249</v>
      </c>
      <c r="F733" s="29">
        <f t="shared" si="451"/>
        <v>3.9183634913081891</v>
      </c>
      <c r="G733" s="29">
        <f t="shared" si="452"/>
        <v>-2.141131168302481</v>
      </c>
      <c r="H733" s="29">
        <f t="shared" si="453"/>
        <v>6.1230288440778349</v>
      </c>
      <c r="I733" s="29">
        <f t="shared" si="454"/>
        <v>6.1605614626786078</v>
      </c>
      <c r="J733" s="29">
        <f t="shared" si="455"/>
        <v>-3.0238841520079798</v>
      </c>
      <c r="K733" s="26">
        <f t="shared" si="418"/>
        <v>-3.4753915345781881</v>
      </c>
      <c r="L733" s="26">
        <f t="shared" si="419"/>
        <v>3.0020585058834655E-2</v>
      </c>
      <c r="M733" s="26">
        <f t="shared" si="420"/>
        <v>-2.141131168302481</v>
      </c>
      <c r="N733" s="26">
        <f t="shared" si="421"/>
        <v>0.10516289489263853</v>
      </c>
      <c r="O733" s="26">
        <f t="shared" si="422"/>
        <v>-2.1922047661973334</v>
      </c>
      <c r="P733" s="26">
        <f t="shared" si="423"/>
        <v>0.10045269102127787</v>
      </c>
      <c r="Q733" s="26">
        <f t="shared" si="424"/>
        <v>5.0453715667081594E-3</v>
      </c>
      <c r="R733" s="26">
        <f t="shared" si="425"/>
        <v>-9.0935505857360557</v>
      </c>
      <c r="S733" s="26">
        <f t="shared" si="426"/>
        <v>1.1237568520152827E-4</v>
      </c>
      <c r="T733" s="26">
        <f t="shared" si="427"/>
        <v>1.7772323230057081</v>
      </c>
      <c r="U733" s="26">
        <f t="shared" si="428"/>
        <v>0.85535477732285747</v>
      </c>
      <c r="V733" s="26">
        <f t="shared" si="429"/>
        <v>2.2462696056471203</v>
      </c>
      <c r="W733" s="26">
        <f t="shared" si="430"/>
        <v>0.90432827286896778</v>
      </c>
      <c r="X733" s="26">
        <f t="shared" si="431"/>
        <v>4.5765396861173436E-3</v>
      </c>
      <c r="Y733" s="26">
        <f t="shared" si="432"/>
        <v>2.2017208144795823</v>
      </c>
      <c r="Z733" s="26">
        <f t="shared" si="433"/>
        <v>0.90040393418884213</v>
      </c>
      <c r="AA733" s="26">
        <f t="shared" si="434"/>
        <v>-6.3787227497617058</v>
      </c>
      <c r="AB733" s="26">
        <f t="shared" si="435"/>
        <v>1.6944135259192971E-3</v>
      </c>
      <c r="AC733" s="26">
        <f t="shared" si="436"/>
        <v>2.4997536470210808</v>
      </c>
      <c r="AD733" s="26">
        <f t="shared" si="437"/>
        <v>0.92412454791470577</v>
      </c>
      <c r="AE733" s="26">
        <f t="shared" si="438"/>
        <v>2.8785421145738899E-3</v>
      </c>
      <c r="AF733" s="26">
        <f t="shared" si="439"/>
        <v>-3.4164382366782853</v>
      </c>
      <c r="AG733" s="26">
        <f t="shared" si="440"/>
        <v>3.1785660216127075E-2</v>
      </c>
      <c r="AH733" s="26">
        <f t="shared" si="441"/>
        <v>-2.4603592584535168</v>
      </c>
      <c r="AI733" s="26">
        <f t="shared" si="442"/>
        <v>7.8684289479242803E-2</v>
      </c>
      <c r="AJ733" s="26">
        <f t="shared" si="443"/>
        <v>-2.3445202361925053</v>
      </c>
      <c r="AK733" s="26">
        <f t="shared" si="444"/>
        <v>8.7502319959867195E-2</v>
      </c>
      <c r="AL733" s="26">
        <f t="shared" si="445"/>
        <v>3.8283279991794864E-3</v>
      </c>
      <c r="AM733" s="27">
        <f t="shared" si="446"/>
        <v>1.6328781366578879E-2</v>
      </c>
    </row>
    <row r="734" spans="1:39" ht="15" customHeight="1" x14ac:dyDescent="0.2">
      <c r="A734" s="24">
        <v>723</v>
      </c>
      <c r="B734" s="29">
        <f t="shared" si="447"/>
        <v>5.6787171100409903</v>
      </c>
      <c r="C734" s="29">
        <f t="shared" si="448"/>
        <v>-5.6194699141756059</v>
      </c>
      <c r="D734" s="29">
        <f t="shared" si="449"/>
        <v>-3.4753995132586928</v>
      </c>
      <c r="E734" s="29">
        <f t="shared" si="450"/>
        <v>-4.2406563776602173</v>
      </c>
      <c r="F734" s="29">
        <f t="shared" si="451"/>
        <v>3.9215523040559011</v>
      </c>
      <c r="G734" s="29">
        <f t="shared" si="452"/>
        <v>-2.143149194112838</v>
      </c>
      <c r="H734" s="29">
        <f t="shared" si="453"/>
        <v>6.1273255837249447</v>
      </c>
      <c r="I734" s="29">
        <f t="shared" si="454"/>
        <v>6.1661462649490888</v>
      </c>
      <c r="J734" s="29">
        <f t="shared" si="455"/>
        <v>-3.0263502823539143</v>
      </c>
      <c r="K734" s="26">
        <f t="shared" si="418"/>
        <v>-3.4753995132586928</v>
      </c>
      <c r="L734" s="26">
        <f t="shared" si="419"/>
        <v>3.0020352725719446E-2</v>
      </c>
      <c r="M734" s="26">
        <f t="shared" si="420"/>
        <v>-2.143149194112838</v>
      </c>
      <c r="N734" s="26">
        <f t="shared" si="421"/>
        <v>0.10497314253449708</v>
      </c>
      <c r="O734" s="26">
        <f t="shared" si="422"/>
        <v>-2.1951260563061092</v>
      </c>
      <c r="P734" s="26">
        <f t="shared" si="423"/>
        <v>0.10018902549292971</v>
      </c>
      <c r="Q734" s="26">
        <f t="shared" si="424"/>
        <v>5.0189204146114602E-3</v>
      </c>
      <c r="R734" s="26">
        <f t="shared" si="425"/>
        <v>-9.0948694274342987</v>
      </c>
      <c r="S734" s="26">
        <f t="shared" si="426"/>
        <v>1.1222759377083153E-4</v>
      </c>
      <c r="T734" s="26">
        <f t="shared" si="427"/>
        <v>1.7784031099430631</v>
      </c>
      <c r="U734" s="26">
        <f t="shared" si="428"/>
        <v>0.85549957031740542</v>
      </c>
      <c r="V734" s="26">
        <f t="shared" si="429"/>
        <v>2.2494728528308174</v>
      </c>
      <c r="W734" s="26">
        <f t="shared" si="430"/>
        <v>0.90460505476928421</v>
      </c>
      <c r="X734" s="26">
        <f t="shared" si="431"/>
        <v>4.5500977877856322E-3</v>
      </c>
      <c r="Y734" s="26">
        <f t="shared" si="432"/>
        <v>2.2033175967822975</v>
      </c>
      <c r="Z734" s="26">
        <f t="shared" si="433"/>
        <v>0.90054703681537673</v>
      </c>
      <c r="AA734" s="26">
        <f t="shared" si="434"/>
        <v>-6.3838055717730553</v>
      </c>
      <c r="AB734" s="26">
        <f t="shared" si="435"/>
        <v>1.6858374564448844E-3</v>
      </c>
      <c r="AC734" s="26">
        <f t="shared" si="436"/>
        <v>2.5019897360080021</v>
      </c>
      <c r="AD734" s="26">
        <f t="shared" si="437"/>
        <v>0.92428119020313149</v>
      </c>
      <c r="AE734" s="26">
        <f t="shared" si="438"/>
        <v>2.8666690785271757E-3</v>
      </c>
      <c r="AF734" s="26">
        <f t="shared" si="439"/>
        <v>-3.4161523173933084</v>
      </c>
      <c r="AG734" s="26">
        <f t="shared" si="440"/>
        <v>3.1794460655121475E-2</v>
      </c>
      <c r="AH734" s="26">
        <f t="shared" si="441"/>
        <v>-2.4622532677171542</v>
      </c>
      <c r="AI734" s="26">
        <f t="shared" si="442"/>
        <v>7.8547096446935874E-2</v>
      </c>
      <c r="AJ734" s="26">
        <f t="shared" si="443"/>
        <v>-2.3472023847821828</v>
      </c>
      <c r="AK734" s="26">
        <f t="shared" si="444"/>
        <v>8.7288398831198738E-2</v>
      </c>
      <c r="AL734" s="26">
        <f t="shared" si="445"/>
        <v>3.8096322852572088E-3</v>
      </c>
      <c r="AM734" s="27">
        <f t="shared" si="446"/>
        <v>1.6245319566181478E-2</v>
      </c>
    </row>
    <row r="735" spans="1:39" ht="15" customHeight="1" x14ac:dyDescent="0.2">
      <c r="A735" s="24">
        <v>724</v>
      </c>
      <c r="B735" s="29">
        <f t="shared" si="447"/>
        <v>5.6803134864729463</v>
      </c>
      <c r="C735" s="29">
        <f t="shared" si="448"/>
        <v>-5.6207759602886371</v>
      </c>
      <c r="D735" s="29">
        <f t="shared" si="449"/>
        <v>-3.4754090161506022</v>
      </c>
      <c r="E735" s="29">
        <f t="shared" si="450"/>
        <v>-4.2437049701144867</v>
      </c>
      <c r="F735" s="29">
        <f t="shared" si="451"/>
        <v>3.9247237005934124</v>
      </c>
      <c r="G735" s="29">
        <f t="shared" si="452"/>
        <v>-2.1451554302563296</v>
      </c>
      <c r="H735" s="29">
        <f t="shared" si="453"/>
        <v>6.1316064480458303</v>
      </c>
      <c r="I735" s="29">
        <f t="shared" si="454"/>
        <v>6.171703376291453</v>
      </c>
      <c r="J735" s="29">
        <f t="shared" si="455"/>
        <v>-3.0288053333255971</v>
      </c>
      <c r="K735" s="26">
        <f t="shared" si="418"/>
        <v>-3.4754090161506022</v>
      </c>
      <c r="L735" s="26">
        <f t="shared" si="419"/>
        <v>3.0020076010999507E-2</v>
      </c>
      <c r="M735" s="26">
        <f t="shared" si="420"/>
        <v>-2.1451554302563296</v>
      </c>
      <c r="N735" s="26">
        <f t="shared" si="421"/>
        <v>0.1047847983906092</v>
      </c>
      <c r="O735" s="26">
        <f t="shared" si="422"/>
        <v>-2.1980333476743845</v>
      </c>
      <c r="P735" s="26">
        <f t="shared" si="423"/>
        <v>9.9927234213855326E-2</v>
      </c>
      <c r="Q735" s="26">
        <f t="shared" si="424"/>
        <v>4.9927260688153495E-3</v>
      </c>
      <c r="R735" s="26">
        <f t="shared" si="425"/>
        <v>-9.0961849764392397</v>
      </c>
      <c r="S735" s="26">
        <f t="shared" si="426"/>
        <v>1.120800664800882E-4</v>
      </c>
      <c r="T735" s="26">
        <f t="shared" si="427"/>
        <v>1.7795682703370828</v>
      </c>
      <c r="U735" s="26">
        <f t="shared" si="428"/>
        <v>0.85564354785618169</v>
      </c>
      <c r="V735" s="26">
        <f t="shared" si="429"/>
        <v>2.2526600707387234</v>
      </c>
      <c r="W735" s="26">
        <f t="shared" si="430"/>
        <v>0.90487974048327491</v>
      </c>
      <c r="X735" s="26">
        <f t="shared" si="431"/>
        <v>4.5239318852645649E-3</v>
      </c>
      <c r="Y735" s="26">
        <f t="shared" si="432"/>
        <v>2.2049044703223442</v>
      </c>
      <c r="Z735" s="26">
        <f t="shared" si="433"/>
        <v>0.9006890701878103</v>
      </c>
      <c r="AA735" s="26">
        <f t="shared" si="434"/>
        <v>-6.3888604003708167</v>
      </c>
      <c r="AB735" s="26">
        <f t="shared" si="435"/>
        <v>1.6773515961640772E-3</v>
      </c>
      <c r="AC735" s="26">
        <f t="shared" si="436"/>
        <v>2.5042176936316571</v>
      </c>
      <c r="AD735" s="26">
        <f t="shared" si="437"/>
        <v>0.92443696755048832</v>
      </c>
      <c r="AE735" s="26">
        <f t="shared" si="438"/>
        <v>2.8548859364829777E-3</v>
      </c>
      <c r="AF735" s="26">
        <f t="shared" si="439"/>
        <v>-3.415871489966293</v>
      </c>
      <c r="AG735" s="26">
        <f t="shared" si="440"/>
        <v>3.1803106663464052E-2</v>
      </c>
      <c r="AH735" s="26">
        <f t="shared" si="441"/>
        <v>-2.4641366997774039</v>
      </c>
      <c r="AI735" s="26">
        <f t="shared" si="442"/>
        <v>7.841088659763798E-2</v>
      </c>
      <c r="AJ735" s="26">
        <f t="shared" si="443"/>
        <v>-2.3498724658873629</v>
      </c>
      <c r="AK735" s="26">
        <f t="shared" si="444"/>
        <v>8.7075910064364229E-2</v>
      </c>
      <c r="AL735" s="26">
        <f t="shared" si="445"/>
        <v>3.7911070567686238E-3</v>
      </c>
      <c r="AM735" s="27">
        <f t="shared" si="446"/>
        <v>1.6162650947331516E-2</v>
      </c>
    </row>
    <row r="736" spans="1:39" ht="15" customHeight="1" x14ac:dyDescent="0.2">
      <c r="A736" s="24">
        <v>725</v>
      </c>
      <c r="B736" s="29">
        <f t="shared" si="447"/>
        <v>5.681901556986837</v>
      </c>
      <c r="C736" s="29">
        <f t="shared" si="448"/>
        <v>-5.6220772219340098</v>
      </c>
      <c r="D736" s="29">
        <f t="shared" si="449"/>
        <v>-3.475420020890172</v>
      </c>
      <c r="E736" s="29">
        <f t="shared" si="450"/>
        <v>-4.2467375111194734</v>
      </c>
      <c r="F736" s="29">
        <f t="shared" si="451"/>
        <v>3.9278778517019615</v>
      </c>
      <c r="G736" s="29">
        <f t="shared" si="452"/>
        <v>-2.1471499962015628</v>
      </c>
      <c r="H736" s="29">
        <f t="shared" si="453"/>
        <v>6.1358715444848499</v>
      </c>
      <c r="I736" s="29">
        <f t="shared" si="454"/>
        <v>6.1772330528213315</v>
      </c>
      <c r="J736" s="29">
        <f t="shared" si="455"/>
        <v>-3.0312493999517836</v>
      </c>
      <c r="K736" s="26">
        <f t="shared" si="418"/>
        <v>-3.475420020890172</v>
      </c>
      <c r="L736" s="26">
        <f t="shared" si="419"/>
        <v>3.0019755567064405E-2</v>
      </c>
      <c r="M736" s="26">
        <f t="shared" si="420"/>
        <v>-2.1471499962015628</v>
      </c>
      <c r="N736" s="26">
        <f t="shared" si="421"/>
        <v>0.10459784567656581</v>
      </c>
      <c r="O736" s="26">
        <f t="shared" si="422"/>
        <v>-2.200926766428255</v>
      </c>
      <c r="P736" s="26">
        <f t="shared" si="423"/>
        <v>9.9667296054892315E-2</v>
      </c>
      <c r="Q736" s="26">
        <f t="shared" si="424"/>
        <v>4.9667849514467765E-3</v>
      </c>
      <c r="R736" s="26">
        <f t="shared" si="425"/>
        <v>-9.0974972428241827</v>
      </c>
      <c r="S736" s="26">
        <f t="shared" si="426"/>
        <v>1.1193310048977647E-4</v>
      </c>
      <c r="T736" s="26">
        <f t="shared" si="427"/>
        <v>1.7807278555003987</v>
      </c>
      <c r="U736" s="26">
        <f t="shared" si="428"/>
        <v>0.85578671805080442</v>
      </c>
      <c r="V736" s="26">
        <f t="shared" si="429"/>
        <v>2.2558314080833162</v>
      </c>
      <c r="W736" s="26">
        <f t="shared" si="430"/>
        <v>0.90515235481816336</v>
      </c>
      <c r="X736" s="26">
        <f t="shared" si="431"/>
        <v>4.4980378982697891E-3</v>
      </c>
      <c r="Y736" s="26">
        <f t="shared" si="432"/>
        <v>2.206481536096665</v>
      </c>
      <c r="Z736" s="26">
        <f t="shared" si="433"/>
        <v>0.90083004687724855</v>
      </c>
      <c r="AA736" s="26">
        <f t="shared" si="434"/>
        <v>-6.3938875073210362</v>
      </c>
      <c r="AB736" s="26">
        <f t="shared" si="435"/>
        <v>1.6689545673638326E-3</v>
      </c>
      <c r="AC736" s="26">
        <f t="shared" si="436"/>
        <v>2.5064375724164565</v>
      </c>
      <c r="AD736" s="26">
        <f t="shared" si="437"/>
        <v>0.92459188729290542</v>
      </c>
      <c r="AE736" s="26">
        <f t="shared" si="438"/>
        <v>2.8431917310229394E-3</v>
      </c>
      <c r="AF736" s="26">
        <f t="shared" si="439"/>
        <v>-3.4155956858373449</v>
      </c>
      <c r="AG736" s="26">
        <f t="shared" si="440"/>
        <v>3.1811600229656532E-2</v>
      </c>
      <c r="AH736" s="26">
        <f t="shared" si="441"/>
        <v>-2.4660096556190747</v>
      </c>
      <c r="AI736" s="26">
        <f t="shared" si="442"/>
        <v>7.8275648728146935E-2</v>
      </c>
      <c r="AJ736" s="26">
        <f t="shared" si="443"/>
        <v>-2.3525305827635652</v>
      </c>
      <c r="AK736" s="26">
        <f t="shared" si="444"/>
        <v>8.6864838326327937E-2</v>
      </c>
      <c r="AL736" s="26">
        <f t="shared" si="445"/>
        <v>3.7727500687295456E-3</v>
      </c>
      <c r="AM736" s="27">
        <f t="shared" si="446"/>
        <v>1.6080764649469049E-2</v>
      </c>
    </row>
    <row r="737" spans="1:39" ht="15" customHeight="1" x14ac:dyDescent="0.2">
      <c r="A737" s="24">
        <v>726</v>
      </c>
      <c r="B737" s="29">
        <f t="shared" si="447"/>
        <v>5.6834813991927167</v>
      </c>
      <c r="C737" s="29">
        <f t="shared" si="448"/>
        <v>-5.6233737312392575</v>
      </c>
      <c r="D737" s="29">
        <f t="shared" si="449"/>
        <v>-3.4754325054594415</v>
      </c>
      <c r="E737" s="29">
        <f t="shared" si="450"/>
        <v>-4.2497541509579664</v>
      </c>
      <c r="F737" s="29">
        <f t="shared" si="451"/>
        <v>3.9310149257939044</v>
      </c>
      <c r="G737" s="29">
        <f t="shared" si="452"/>
        <v>-2.1491330097293715</v>
      </c>
      <c r="H737" s="29">
        <f t="shared" si="453"/>
        <v>6.1401209794909901</v>
      </c>
      <c r="I737" s="29">
        <f t="shared" si="454"/>
        <v>6.1827355472689689</v>
      </c>
      <c r="J737" s="29">
        <f t="shared" si="455"/>
        <v>-3.033682576081806</v>
      </c>
      <c r="K737" s="26">
        <f t="shared" si="418"/>
        <v>-3.4754325054594415</v>
      </c>
      <c r="L737" s="26">
        <f t="shared" si="419"/>
        <v>3.0019392036395198E-2</v>
      </c>
      <c r="M737" s="26">
        <f t="shared" si="420"/>
        <v>-2.1491330097293715</v>
      </c>
      <c r="N737" s="26">
        <f t="shared" si="421"/>
        <v>0.10441226787829967</v>
      </c>
      <c r="O737" s="26">
        <f t="shared" si="422"/>
        <v>-2.2038064370654378</v>
      </c>
      <c r="P737" s="26">
        <f t="shared" si="423"/>
        <v>9.940919020810611E-2</v>
      </c>
      <c r="Q737" s="26">
        <f t="shared" si="424"/>
        <v>4.9410935489157095E-3</v>
      </c>
      <c r="R737" s="26">
        <f t="shared" si="425"/>
        <v>-9.0988062366986995</v>
      </c>
      <c r="S737" s="26">
        <f t="shared" si="426"/>
        <v>1.1178669297001582E-4</v>
      </c>
      <c r="T737" s="26">
        <f t="shared" si="427"/>
        <v>1.7818819160645329</v>
      </c>
      <c r="U737" s="26">
        <f t="shared" si="428"/>
        <v>0.8559290888983796</v>
      </c>
      <c r="V737" s="26">
        <f t="shared" si="429"/>
        <v>2.25898701161048</v>
      </c>
      <c r="W737" s="26">
        <f t="shared" si="430"/>
        <v>0.90542292218836928</v>
      </c>
      <c r="X737" s="26">
        <f t="shared" si="431"/>
        <v>4.4724118236936254E-3</v>
      </c>
      <c r="Y737" s="26">
        <f t="shared" si="432"/>
        <v>2.2080488937332752</v>
      </c>
      <c r="Z737" s="26">
        <f t="shared" si="433"/>
        <v>0.90096997926008793</v>
      </c>
      <c r="AA737" s="26">
        <f t="shared" si="434"/>
        <v>-6.3988871606873374</v>
      </c>
      <c r="AB737" s="26">
        <f t="shared" si="435"/>
        <v>1.6606450195262093E-3</v>
      </c>
      <c r="AC737" s="26">
        <f t="shared" si="436"/>
        <v>2.508649424458242</v>
      </c>
      <c r="AD737" s="26">
        <f t="shared" si="437"/>
        <v>0.92474595668740667</v>
      </c>
      <c r="AE737" s="26">
        <f t="shared" si="438"/>
        <v>2.8315855174468369E-3</v>
      </c>
      <c r="AF737" s="26">
        <f t="shared" si="439"/>
        <v>-3.4153248375059824</v>
      </c>
      <c r="AG737" s="26">
        <f t="shared" si="440"/>
        <v>3.1819943313887843E-2</v>
      </c>
      <c r="AH737" s="26">
        <f t="shared" si="441"/>
        <v>-2.4678722348934334</v>
      </c>
      <c r="AI737" s="26">
        <f t="shared" si="442"/>
        <v>7.814137180678854E-2</v>
      </c>
      <c r="AJ737" s="26">
        <f t="shared" si="443"/>
        <v>-2.3551768373917965</v>
      </c>
      <c r="AK737" s="26">
        <f t="shared" si="444"/>
        <v>8.6655168506693137E-2</v>
      </c>
      <c r="AL737" s="26">
        <f t="shared" si="445"/>
        <v>3.7545591144616912E-3</v>
      </c>
      <c r="AM737" s="27">
        <f t="shared" si="446"/>
        <v>1.5999650004517862E-2</v>
      </c>
    </row>
    <row r="738" spans="1:39" ht="15" customHeight="1" x14ac:dyDescent="0.2">
      <c r="A738" s="24">
        <v>727</v>
      </c>
      <c r="B738" s="29">
        <f t="shared" si="447"/>
        <v>5.6850530896940636</v>
      </c>
      <c r="C738" s="29">
        <f t="shared" si="448"/>
        <v>-5.6246655200261468</v>
      </c>
      <c r="D738" s="29">
        <f t="shared" si="449"/>
        <v>-3.4754464481803349</v>
      </c>
      <c r="E738" s="29">
        <f t="shared" si="450"/>
        <v>-4.2527550379319941</v>
      </c>
      <c r="F738" s="29">
        <f t="shared" si="451"/>
        <v>3.9341350889546192</v>
      </c>
      <c r="G738" s="29">
        <f t="shared" si="452"/>
        <v>-2.151104586963041</v>
      </c>
      <c r="H738" s="29">
        <f t="shared" si="453"/>
        <v>6.1443548585286214</v>
      </c>
      <c r="I738" s="29">
        <f t="shared" si="454"/>
        <v>6.188211109036474</v>
      </c>
      <c r="J738" s="29">
        <f t="shared" si="455"/>
        <v>-3.0361049544043923</v>
      </c>
      <c r="K738" s="26">
        <f t="shared" si="418"/>
        <v>-3.4754464481803349</v>
      </c>
      <c r="L738" s="26">
        <f t="shared" si="419"/>
        <v>3.0018986051727703E-2</v>
      </c>
      <c r="M738" s="26">
        <f t="shared" si="420"/>
        <v>-2.151104586963041</v>
      </c>
      <c r="N738" s="26">
        <f t="shared" si="421"/>
        <v>0.10422804874665564</v>
      </c>
      <c r="O738" s="26">
        <f t="shared" si="422"/>
        <v>-2.2066724824821069</v>
      </c>
      <c r="P738" s="26">
        <f t="shared" si="423"/>
        <v>9.9152896180720179E-2</v>
      </c>
      <c r="Q738" s="26">
        <f t="shared" si="424"/>
        <v>4.9156484105123376E-3</v>
      </c>
      <c r="R738" s="26">
        <f t="shared" si="425"/>
        <v>-9.1001119682064822</v>
      </c>
      <c r="S738" s="26">
        <f t="shared" si="426"/>
        <v>1.116408411007445E-4</v>
      </c>
      <c r="T738" s="26">
        <f t="shared" si="427"/>
        <v>1.7830305019915782</v>
      </c>
      <c r="U738" s="26">
        <f t="shared" si="428"/>
        <v>0.85607066828356926</v>
      </c>
      <c r="V738" s="26">
        <f t="shared" si="429"/>
        <v>2.2621270261326969</v>
      </c>
      <c r="W738" s="26">
        <f t="shared" si="430"/>
        <v>0.90569146662320865</v>
      </c>
      <c r="X738" s="26">
        <f t="shared" si="431"/>
        <v>4.4470497338406842E-3</v>
      </c>
      <c r="Y738" s="26">
        <f t="shared" si="432"/>
        <v>2.2096066415137288</v>
      </c>
      <c r="Z738" s="26">
        <f t="shared" si="433"/>
        <v>0.90110887952168162</v>
      </c>
      <c r="AA738" s="26">
        <f t="shared" si="434"/>
        <v>-6.403859624895035</v>
      </c>
      <c r="AB738" s="26">
        <f t="shared" si="435"/>
        <v>1.6524216286753028E-3</v>
      </c>
      <c r="AC738" s="26">
        <f t="shared" si="436"/>
        <v>2.5108533014273156</v>
      </c>
      <c r="AD738" s="26">
        <f t="shared" si="437"/>
        <v>0.92489918291285289</v>
      </c>
      <c r="AE738" s="26">
        <f t="shared" si="438"/>
        <v>2.8200663635785635E-3</v>
      </c>
      <c r="AF738" s="26">
        <f t="shared" si="439"/>
        <v>-3.4150588785124181</v>
      </c>
      <c r="AG738" s="26">
        <f t="shared" si="440"/>
        <v>3.1828137848475525E-2</v>
      </c>
      <c r="AH738" s="26">
        <f t="shared" si="441"/>
        <v>-2.4697245359404159</v>
      </c>
      <c r="AI738" s="26">
        <f t="shared" si="442"/>
        <v>7.8008044970153304E-2</v>
      </c>
      <c r="AJ738" s="26">
        <f t="shared" si="443"/>
        <v>-2.3578113304986736</v>
      </c>
      <c r="AK738" s="26">
        <f t="shared" si="444"/>
        <v>8.6446885713669638E-2</v>
      </c>
      <c r="AL738" s="26">
        <f t="shared" si="445"/>
        <v>3.7365320247961299E-3</v>
      </c>
      <c r="AM738" s="27">
        <f t="shared" si="446"/>
        <v>1.5919296532727716E-2</v>
      </c>
    </row>
    <row r="739" spans="1:39" ht="15" customHeight="1" x14ac:dyDescent="0.2">
      <c r="A739" s="24">
        <v>728</v>
      </c>
      <c r="B739" s="29">
        <f t="shared" si="447"/>
        <v>5.6866167041040443</v>
      </c>
      <c r="C739" s="29">
        <f t="shared" si="448"/>
        <v>-5.6259526198143686</v>
      </c>
      <c r="D739" s="29">
        <f t="shared" si="449"/>
        <v>-3.4754618277088687</v>
      </c>
      <c r="E739" s="29">
        <f t="shared" si="450"/>
        <v>-4.2557403183960272</v>
      </c>
      <c r="F739" s="29">
        <f t="shared" si="451"/>
        <v>3.9372385049835192</v>
      </c>
      <c r="G739" s="29">
        <f t="shared" si="452"/>
        <v>-2.1530648423978809</v>
      </c>
      <c r="H739" s="29">
        <f t="shared" si="453"/>
        <v>6.1485732860881388</v>
      </c>
      <c r="I739" s="29">
        <f t="shared" si="454"/>
        <v>6.1936599842539097</v>
      </c>
      <c r="J739" s="29">
        <f t="shared" si="455"/>
        <v>-3.0385166264661216</v>
      </c>
      <c r="K739" s="26">
        <f t="shared" si="418"/>
        <v>-3.4754618277088687</v>
      </c>
      <c r="L739" s="26">
        <f t="shared" si="419"/>
        <v>3.0018538236213036E-2</v>
      </c>
      <c r="M739" s="26">
        <f t="shared" si="420"/>
        <v>-2.1530648423978809</v>
      </c>
      <c r="N739" s="26">
        <f t="shared" si="421"/>
        <v>0.10404517229209084</v>
      </c>
      <c r="O739" s="26">
        <f t="shared" si="422"/>
        <v>-2.2095250239992001</v>
      </c>
      <c r="P739" s="26">
        <f t="shared" si="423"/>
        <v>9.8898393789181638E-2</v>
      </c>
      <c r="Q739" s="26">
        <f t="shared" si="424"/>
        <v>4.8904461470400205E-3</v>
      </c>
      <c r="R739" s="26">
        <f t="shared" si="425"/>
        <v>-9.1014144475232364</v>
      </c>
      <c r="S739" s="26">
        <f t="shared" si="426"/>
        <v>1.1149554207189082E-4</v>
      </c>
      <c r="T739" s="26">
        <f t="shared" si="427"/>
        <v>1.7841736625856384</v>
      </c>
      <c r="U739" s="26">
        <f t="shared" si="428"/>
        <v>0.85621146398061421</v>
      </c>
      <c r="V739" s="26">
        <f t="shared" si="429"/>
        <v>2.2652515945615677</v>
      </c>
      <c r="W739" s="26">
        <f t="shared" si="430"/>
        <v>0.90595801177441737</v>
      </c>
      <c r="X739" s="26">
        <f t="shared" si="431"/>
        <v>4.4219477747103105E-3</v>
      </c>
      <c r="Y739" s="26">
        <f t="shared" si="432"/>
        <v>2.2111548763951756</v>
      </c>
      <c r="Z739" s="26">
        <f t="shared" si="433"/>
        <v>0.90124675965992584</v>
      </c>
      <c r="AA739" s="26">
        <f t="shared" si="434"/>
        <v>-6.4088051607939081</v>
      </c>
      <c r="AB739" s="26">
        <f t="shared" si="435"/>
        <v>1.6442830967425665E-3</v>
      </c>
      <c r="AC739" s="26">
        <f t="shared" si="436"/>
        <v>2.5130492545714751</v>
      </c>
      <c r="AD739" s="26">
        <f t="shared" si="437"/>
        <v>0.92505157307086827</v>
      </c>
      <c r="AE739" s="26">
        <f t="shared" si="438"/>
        <v>2.8086333495756992E-3</v>
      </c>
      <c r="AF739" s="26">
        <f t="shared" si="439"/>
        <v>-3.414797743419193</v>
      </c>
      <c r="AG739" s="26">
        <f t="shared" si="440"/>
        <v>3.1836185738300472E-2</v>
      </c>
      <c r="AH739" s="26">
        <f t="shared" si="441"/>
        <v>-2.4715666558103888</v>
      </c>
      <c r="AI739" s="26">
        <f t="shared" si="442"/>
        <v>7.787565751990716E-2</v>
      </c>
      <c r="AJ739" s="26">
        <f t="shared" si="443"/>
        <v>-2.3604341615761562</v>
      </c>
      <c r="AK739" s="26">
        <f t="shared" si="444"/>
        <v>8.6239975270128805E-2</v>
      </c>
      <c r="AL739" s="26">
        <f t="shared" si="445"/>
        <v>3.7186666672962138E-3</v>
      </c>
      <c r="AM739" s="27">
        <f t="shared" si="446"/>
        <v>1.5839693938622244E-2</v>
      </c>
    </row>
    <row r="740" spans="1:39" ht="15" customHeight="1" x14ac:dyDescent="0.2">
      <c r="A740" s="24">
        <v>729</v>
      </c>
      <c r="B740" s="29">
        <f t="shared" si="447"/>
        <v>5.6881723170614631</v>
      </c>
      <c r="C740" s="29">
        <f t="shared" si="448"/>
        <v>-5.627235061825175</v>
      </c>
      <c r="D740" s="29">
        <f t="shared" si="449"/>
        <v>-3.4754786230294652</v>
      </c>
      <c r="E740" s="29">
        <f t="shared" si="450"/>
        <v>-4.2587101367895182</v>
      </c>
      <c r="F740" s="29">
        <f t="shared" si="451"/>
        <v>3.9403253354341992</v>
      </c>
      <c r="G740" s="29">
        <f t="shared" si="452"/>
        <v>-2.1550138889301671</v>
      </c>
      <c r="H740" s="29">
        <f t="shared" si="453"/>
        <v>6.1527763656964956</v>
      </c>
      <c r="I740" s="29">
        <f t="shared" si="454"/>
        <v>6.1990824158342432</v>
      </c>
      <c r="J740" s="29">
        <f t="shared" si="455"/>
        <v>-3.0409176826895314</v>
      </c>
      <c r="K740" s="26">
        <f t="shared" si="418"/>
        <v>-3.4754786230294652</v>
      </c>
      <c r="L740" s="26">
        <f t="shared" si="419"/>
        <v>3.0018049203575356E-2</v>
      </c>
      <c r="M740" s="26">
        <f t="shared" si="420"/>
        <v>-2.1550138889301671</v>
      </c>
      <c r="N740" s="26">
        <f t="shared" si="421"/>
        <v>0.10386362277950066</v>
      </c>
      <c r="O740" s="26">
        <f t="shared" si="422"/>
        <v>-2.2123641813882147</v>
      </c>
      <c r="P740" s="26">
        <f t="shared" si="423"/>
        <v>9.864566315335882E-2</v>
      </c>
      <c r="Q740" s="26">
        <f t="shared" si="424"/>
        <v>4.8654834294829669E-3</v>
      </c>
      <c r="R740" s="26">
        <f t="shared" si="425"/>
        <v>-9.1027136848546402</v>
      </c>
      <c r="S740" s="26">
        <f t="shared" si="426"/>
        <v>1.1135079308353572E-4</v>
      </c>
      <c r="T740" s="26">
        <f t="shared" si="427"/>
        <v>1.7853114465040321</v>
      </c>
      <c r="U740" s="26">
        <f t="shared" si="428"/>
        <v>0.85635148365531377</v>
      </c>
      <c r="V740" s="26">
        <f t="shared" si="429"/>
        <v>2.2683608579396757</v>
      </c>
      <c r="W740" s="26">
        <f t="shared" si="430"/>
        <v>0.90622258092349872</v>
      </c>
      <c r="X740" s="26">
        <f t="shared" si="431"/>
        <v>4.3971021643248731E-3</v>
      </c>
      <c r="Y740" s="26">
        <f t="shared" si="432"/>
        <v>2.2126936940319979</v>
      </c>
      <c r="Z740" s="26">
        <f t="shared" si="433"/>
        <v>0.90138363148876799</v>
      </c>
      <c r="AA740" s="26">
        <f t="shared" si="434"/>
        <v>-6.4137240257196853</v>
      </c>
      <c r="AB740" s="26">
        <f t="shared" si="435"/>
        <v>1.6362281509498971E-3</v>
      </c>
      <c r="AC740" s="26">
        <f t="shared" si="436"/>
        <v>2.5152373347190857</v>
      </c>
      <c r="AD740" s="26">
        <f t="shared" si="437"/>
        <v>0.92520313418676203</v>
      </c>
      <c r="AE740" s="26">
        <f t="shared" si="438"/>
        <v>2.7972855677417634E-3</v>
      </c>
      <c r="AF740" s="26">
        <f t="shared" si="439"/>
        <v>-3.4145413677931771</v>
      </c>
      <c r="AG740" s="26">
        <f t="shared" si="440"/>
        <v>3.1844088861234437E-2</v>
      </c>
      <c r="AH740" s="26">
        <f t="shared" si="441"/>
        <v>-2.4733986902854861</v>
      </c>
      <c r="AI740" s="26">
        <f t="shared" si="442"/>
        <v>7.774419891967356E-2</v>
      </c>
      <c r="AJ740" s="26">
        <f t="shared" si="443"/>
        <v>-2.3630454289009215</v>
      </c>
      <c r="AK740" s="26">
        <f t="shared" si="444"/>
        <v>8.6034422709741737E-2</v>
      </c>
      <c r="AL740" s="26">
        <f t="shared" si="445"/>
        <v>3.7009609454992623E-3</v>
      </c>
      <c r="AM740" s="27">
        <f t="shared" si="446"/>
        <v>1.5760832107048865E-2</v>
      </c>
    </row>
    <row r="741" spans="1:39" ht="15" customHeight="1" x14ac:dyDescent="0.2">
      <c r="A741" s="24">
        <v>730</v>
      </c>
      <c r="B741" s="29">
        <f t="shared" si="447"/>
        <v>5.6897200022464167</v>
      </c>
      <c r="C741" s="29">
        <f t="shared" si="448"/>
        <v>-5.6285128769849671</v>
      </c>
      <c r="D741" s="29">
        <f t="shared" si="449"/>
        <v>-3.4754968134493693</v>
      </c>
      <c r="E741" s="29">
        <f t="shared" si="450"/>
        <v>-4.2616646356687857</v>
      </c>
      <c r="F741" s="29">
        <f t="shared" si="451"/>
        <v>3.9433957396537327</v>
      </c>
      <c r="G741" s="29">
        <f t="shared" si="452"/>
        <v>-2.156951837885464</v>
      </c>
      <c r="H741" s="29">
        <f t="shared" si="453"/>
        <v>6.1569641999276294</v>
      </c>
      <c r="I741" s="29">
        <f t="shared" si="454"/>
        <v>6.2044786435271897</v>
      </c>
      <c r="J741" s="29">
        <f t="shared" si="455"/>
        <v>-3.0433082123908775</v>
      </c>
      <c r="K741" s="26">
        <f t="shared" si="418"/>
        <v>-3.4754968134493693</v>
      </c>
      <c r="L741" s="26">
        <f t="shared" si="419"/>
        <v>3.0017519558266873E-2</v>
      </c>
      <c r="M741" s="26">
        <f t="shared" si="420"/>
        <v>-2.156951837885464</v>
      </c>
      <c r="N741" s="26">
        <f t="shared" si="421"/>
        <v>0.10368338472316782</v>
      </c>
      <c r="O741" s="26">
        <f t="shared" si="422"/>
        <v>-2.2151900728964931</v>
      </c>
      <c r="P741" s="26">
        <f t="shared" si="423"/>
        <v>9.8394684690867831E-2</v>
      </c>
      <c r="Q741" s="26">
        <f t="shared" si="424"/>
        <v>4.8407569877076499E-3</v>
      </c>
      <c r="R741" s="26">
        <f t="shared" si="425"/>
        <v>-9.1040096904343368</v>
      </c>
      <c r="S741" s="26">
        <f t="shared" si="426"/>
        <v>1.1120659134606988E-4</v>
      </c>
      <c r="T741" s="26">
        <f t="shared" si="427"/>
        <v>1.7864439017682687</v>
      </c>
      <c r="U741" s="26">
        <f t="shared" si="428"/>
        <v>0.85649073486696237</v>
      </c>
      <c r="V741" s="26">
        <f t="shared" si="429"/>
        <v>2.2714549554718126</v>
      </c>
      <c r="W741" s="26">
        <f t="shared" si="430"/>
        <v>0.90648519698890495</v>
      </c>
      <c r="X741" s="26">
        <f t="shared" si="431"/>
        <v>4.3725091911019556E-3</v>
      </c>
      <c r="Y741" s="26">
        <f t="shared" si="432"/>
        <v>2.2142231887970474</v>
      </c>
      <c r="Z741" s="26">
        <f t="shared" si="433"/>
        <v>0.90151950664163827</v>
      </c>
      <c r="AA741" s="26">
        <f t="shared" si="434"/>
        <v>-6.4186164735542501</v>
      </c>
      <c r="AB741" s="26">
        <f t="shared" si="435"/>
        <v>1.6282555432099513E-3</v>
      </c>
      <c r="AC741" s="26">
        <f t="shared" si="436"/>
        <v>2.5174175922821589</v>
      </c>
      <c r="AD741" s="26">
        <f t="shared" si="437"/>
        <v>0.92535387321043749</v>
      </c>
      <c r="AE741" s="26">
        <f t="shared" si="438"/>
        <v>2.7860221223417205E-3</v>
      </c>
      <c r="AF741" s="26">
        <f t="shared" si="439"/>
        <v>-3.4142896881879197</v>
      </c>
      <c r="AG741" s="26">
        <f t="shared" si="440"/>
        <v>3.1851849068560735E-2</v>
      </c>
      <c r="AH741" s="26">
        <f t="shared" si="441"/>
        <v>-2.475220733900517</v>
      </c>
      <c r="AI741" s="26">
        <f t="shared" si="442"/>
        <v>7.7613658791985785E-2</v>
      </c>
      <c r="AJ741" s="26">
        <f t="shared" si="443"/>
        <v>-2.365645229553369</v>
      </c>
      <c r="AK741" s="26">
        <f t="shared" si="444"/>
        <v>8.5830213773200492E-2</v>
      </c>
      <c r="AL741" s="26">
        <f t="shared" si="445"/>
        <v>3.6834127981766477E-3</v>
      </c>
      <c r="AM741" s="27">
        <f t="shared" si="446"/>
        <v>1.5682701099327973E-2</v>
      </c>
    </row>
    <row r="742" spans="1:39" ht="15" customHeight="1" x14ac:dyDescent="0.2">
      <c r="A742" s="24">
        <v>731</v>
      </c>
      <c r="B742" s="29">
        <f t="shared" si="447"/>
        <v>5.6912598323956525</v>
      </c>
      <c r="C742" s="29">
        <f t="shared" si="448"/>
        <v>-5.6297860959288295</v>
      </c>
      <c r="D742" s="29">
        <f t="shared" si="449"/>
        <v>-3.4755163785931655</v>
      </c>
      <c r="E742" s="29">
        <f t="shared" si="450"/>
        <v>-4.2646039557382629</v>
      </c>
      <c r="F742" s="29">
        <f t="shared" si="451"/>
        <v>3.946449874821143</v>
      </c>
      <c r="G742" s="29">
        <f t="shared" si="452"/>
        <v>-2.1588787990463461</v>
      </c>
      <c r="H742" s="29">
        <f t="shared" si="453"/>
        <v>6.1611368904127763</v>
      </c>
      <c r="I742" s="29">
        <f t="shared" si="454"/>
        <v>6.2098489039719738</v>
      </c>
      <c r="J742" s="29">
        <f t="shared" si="455"/>
        <v>-3.0456883037975584</v>
      </c>
      <c r="K742" s="26">
        <f t="shared" si="418"/>
        <v>-3.4755163785931655</v>
      </c>
      <c r="L742" s="26">
        <f t="shared" si="419"/>
        <v>3.0016949895620319E-2</v>
      </c>
      <c r="M742" s="26">
        <f t="shared" si="420"/>
        <v>-2.1588787990463461</v>
      </c>
      <c r="N742" s="26">
        <f t="shared" si="421"/>
        <v>0.10350444288183028</v>
      </c>
      <c r="O742" s="26">
        <f t="shared" si="422"/>
        <v>-2.2180028152720164</v>
      </c>
      <c r="P742" s="26">
        <f t="shared" si="423"/>
        <v>9.8145439111524665E-2</v>
      </c>
      <c r="Q742" s="26">
        <f t="shared" si="424"/>
        <v>4.8162636091969978E-3</v>
      </c>
      <c r="R742" s="26">
        <f t="shared" si="425"/>
        <v>-9.105302474521995</v>
      </c>
      <c r="S742" s="26">
        <f t="shared" si="426"/>
        <v>1.1106293408034254E-4</v>
      </c>
      <c r="T742" s="26">
        <f t="shared" si="427"/>
        <v>1.7875710757747969</v>
      </c>
      <c r="U742" s="26">
        <f t="shared" si="428"/>
        <v>0.85662922507024464</v>
      </c>
      <c r="V742" s="26">
        <f t="shared" si="429"/>
        <v>2.2745340245555812</v>
      </c>
      <c r="W742" s="26">
        <f t="shared" si="430"/>
        <v>0.90674588253305244</v>
      </c>
      <c r="X742" s="26">
        <f t="shared" si="431"/>
        <v>4.3481652122696274E-3</v>
      </c>
      <c r="Y742" s="26">
        <f t="shared" si="432"/>
        <v>2.2157434538024869</v>
      </c>
      <c r="Z742" s="26">
        <f t="shared" si="433"/>
        <v>0.90165439657480828</v>
      </c>
      <c r="AA742" s="26">
        <f t="shared" si="434"/>
        <v>-6.423482754784609</v>
      </c>
      <c r="AB742" s="26">
        <f t="shared" si="435"/>
        <v>1.6203640495431263E-3</v>
      </c>
      <c r="AC742" s="26">
        <f t="shared" si="436"/>
        <v>2.5195900772594553</v>
      </c>
      <c r="AD742" s="26">
        <f t="shared" si="437"/>
        <v>0.92550379701729379</v>
      </c>
      <c r="AE742" s="26">
        <f t="shared" si="438"/>
        <v>2.7748421294202827E-3</v>
      </c>
      <c r="AF742" s="26">
        <f t="shared" si="439"/>
        <v>-3.4140426421263426</v>
      </c>
      <c r="AG742" s="26">
        <f t="shared" si="440"/>
        <v>3.1859468185388123E-2</v>
      </c>
      <c r="AH742" s="26">
        <f t="shared" si="441"/>
        <v>-2.477032879963466</v>
      </c>
      <c r="AI742" s="26">
        <f t="shared" si="442"/>
        <v>7.7484026915307175E-2</v>
      </c>
      <c r="AJ742" s="26">
        <f t="shared" si="443"/>
        <v>-2.3682336594362763</v>
      </c>
      <c r="AK742" s="26">
        <f t="shared" si="444"/>
        <v>8.5627334404519043E-2</v>
      </c>
      <c r="AL742" s="26">
        <f t="shared" si="445"/>
        <v>3.6660201986116652E-3</v>
      </c>
      <c r="AM742" s="27">
        <f t="shared" si="446"/>
        <v>1.5605291149498574E-2</v>
      </c>
    </row>
    <row r="743" spans="1:39" ht="15" customHeight="1" x14ac:dyDescent="0.2">
      <c r="A743" s="24">
        <v>732</v>
      </c>
      <c r="B743" s="29">
        <f t="shared" si="447"/>
        <v>5.6927918793176389</v>
      </c>
      <c r="C743" s="29">
        <f t="shared" si="448"/>
        <v>-5.6310547490040168</v>
      </c>
      <c r="D743" s="29">
        <f t="shared" si="449"/>
        <v>-3.4755372983973953</v>
      </c>
      <c r="E743" s="29">
        <f t="shared" si="450"/>
        <v>-4.2675282358811266</v>
      </c>
      <c r="F743" s="29">
        <f t="shared" si="451"/>
        <v>3.9494878959850666</v>
      </c>
      <c r="G743" s="29">
        <f t="shared" si="452"/>
        <v>-2.1607948806795316</v>
      </c>
      <c r="H743" s="29">
        <f t="shared" si="453"/>
        <v>6.1652945378506789</v>
      </c>
      <c r="I743" s="29">
        <f t="shared" si="454"/>
        <v>6.2151934307490251</v>
      </c>
      <c r="J743" s="29">
        <f t="shared" si="455"/>
        <v>-3.0480580440652103</v>
      </c>
      <c r="K743" s="26">
        <f t="shared" si="418"/>
        <v>-3.4755372983973953</v>
      </c>
      <c r="L743" s="26">
        <f t="shared" si="419"/>
        <v>3.0016340801998654E-2</v>
      </c>
      <c r="M743" s="26">
        <f t="shared" si="420"/>
        <v>-2.1607948806795316</v>
      </c>
      <c r="N743" s="26">
        <f t="shared" si="421"/>
        <v>0.10332678225386548</v>
      </c>
      <c r="O743" s="26">
        <f t="shared" si="422"/>
        <v>-2.2208025237877238</v>
      </c>
      <c r="P743" s="26">
        <f t="shared" si="423"/>
        <v>9.7897907411918839E-2</v>
      </c>
      <c r="Q743" s="26">
        <f t="shared" si="424"/>
        <v>4.7920001378163168E-3</v>
      </c>
      <c r="R743" s="26">
        <f t="shared" si="425"/>
        <v>-9.1065920474014117</v>
      </c>
      <c r="S743" s="26">
        <f t="shared" si="426"/>
        <v>1.1091981851780362E-4</v>
      </c>
      <c r="T743" s="26">
        <f t="shared" si="427"/>
        <v>1.7886930153055349</v>
      </c>
      <c r="U743" s="26">
        <f t="shared" si="428"/>
        <v>0.85676696161708998</v>
      </c>
      <c r="V743" s="26">
        <f t="shared" si="429"/>
        <v>2.2775982008113766</v>
      </c>
      <c r="W743" s="26">
        <f t="shared" si="430"/>
        <v>0.90700465976917621</v>
      </c>
      <c r="X743" s="26">
        <f t="shared" si="431"/>
        <v>4.3240666523233365E-3</v>
      </c>
      <c r="Y743" s="26">
        <f t="shared" si="432"/>
        <v>2.2172545809202435</v>
      </c>
      <c r="Z743" s="26">
        <f t="shared" si="433"/>
        <v>0.90178831257067626</v>
      </c>
      <c r="AA743" s="26">
        <f t="shared" si="434"/>
        <v>-6.4283231165606587</v>
      </c>
      <c r="AB743" s="26">
        <f t="shared" si="435"/>
        <v>1.6125524695106647E-3</v>
      </c>
      <c r="AC743" s="26">
        <f t="shared" si="436"/>
        <v>2.5217548392396019</v>
      </c>
      <c r="AD743" s="26">
        <f t="shared" si="437"/>
        <v>0.92565291240911773</v>
      </c>
      <c r="AE743" s="26">
        <f t="shared" si="438"/>
        <v>2.76374471662316E-3</v>
      </c>
      <c r="AF743" s="26">
        <f t="shared" si="439"/>
        <v>-3.4138001680837733</v>
      </c>
      <c r="AG743" s="26">
        <f t="shared" si="440"/>
        <v>3.1866948011057966E-2</v>
      </c>
      <c r="AH743" s="26">
        <f t="shared" si="441"/>
        <v>-2.4788352205755917</v>
      </c>
      <c r="AI743" s="26">
        <f t="shared" si="442"/>
        <v>7.7355293221117477E-2</v>
      </c>
      <c r="AJ743" s="26">
        <f t="shared" si="443"/>
        <v>-2.3708108132931089</v>
      </c>
      <c r="AK743" s="26">
        <f t="shared" si="444"/>
        <v>8.5425770747412491E-2</v>
      </c>
      <c r="AL743" s="26">
        <f t="shared" si="445"/>
        <v>3.6487811538947379E-3</v>
      </c>
      <c r="AM743" s="27">
        <f t="shared" si="446"/>
        <v>1.5528592660657552E-2</v>
      </c>
    </row>
    <row r="744" spans="1:39" ht="15" customHeight="1" x14ac:dyDescent="0.2">
      <c r="A744" s="24">
        <v>733</v>
      </c>
      <c r="B744" s="29">
        <f t="shared" si="447"/>
        <v>5.6943162139073538</v>
      </c>
      <c r="C744" s="29">
        <f t="shared" si="448"/>
        <v>-5.632318866273387</v>
      </c>
      <c r="D744" s="29">
        <f t="shared" si="449"/>
        <v>-3.4755595531052719</v>
      </c>
      <c r="E744" s="29">
        <f t="shared" si="450"/>
        <v>-4.2704376131893129</v>
      </c>
      <c r="F744" s="29">
        <f t="shared" si="451"/>
        <v>3.9525099561006307</v>
      </c>
      <c r="G744" s="29">
        <f t="shared" si="452"/>
        <v>-2.1627001895624431</v>
      </c>
      <c r="H744" s="29">
        <f t="shared" si="453"/>
        <v>6.1694372420176853</v>
      </c>
      <c r="I744" s="29">
        <f t="shared" si="454"/>
        <v>6.2205124544306489</v>
      </c>
      <c r="J744" s="29">
        <f t="shared" si="455"/>
        <v>-3.050417519294478</v>
      </c>
      <c r="K744" s="26">
        <f t="shared" si="418"/>
        <v>-3.4755595531052719</v>
      </c>
      <c r="L744" s="26">
        <f t="shared" si="419"/>
        <v>3.0015692854942332E-2</v>
      </c>
      <c r="M744" s="26">
        <f t="shared" si="420"/>
        <v>-2.1627001895624431</v>
      </c>
      <c r="N744" s="26">
        <f t="shared" si="421"/>
        <v>0.10315038807258732</v>
      </c>
      <c r="O744" s="26">
        <f t="shared" si="422"/>
        <v>-2.2235893122653483</v>
      </c>
      <c r="P744" s="26">
        <f t="shared" si="423"/>
        <v>9.7652070870107313E-2</v>
      </c>
      <c r="Q744" s="26">
        <f t="shared" si="424"/>
        <v>4.7679634726102305E-3</v>
      </c>
      <c r="R744" s="26">
        <f t="shared" si="425"/>
        <v>-9.1078784193786593</v>
      </c>
      <c r="S744" s="26">
        <f t="shared" si="426"/>
        <v>1.1077724190064033E-4</v>
      </c>
      <c r="T744" s="26">
        <f t="shared" si="427"/>
        <v>1.7898097665381876</v>
      </c>
      <c r="U744" s="26">
        <f t="shared" si="428"/>
        <v>0.85690395175848744</v>
      </c>
      <c r="V744" s="26">
        <f t="shared" si="429"/>
        <v>2.2806476181117823</v>
      </c>
      <c r="W744" s="26">
        <f t="shared" si="430"/>
        <v>0.90726155056803037</v>
      </c>
      <c r="X744" s="26">
        <f t="shared" si="431"/>
        <v>4.300210001522994E-3</v>
      </c>
      <c r="Y744" s="26">
        <f t="shared" si="432"/>
        <v>2.2187566608020819</v>
      </c>
      <c r="Z744" s="26">
        <f t="shared" si="433"/>
        <v>0.9019212657409813</v>
      </c>
      <c r="AA744" s="26">
        <f t="shared" si="434"/>
        <v>-6.4331378027517561</v>
      </c>
      <c r="AB744" s="26">
        <f t="shared" si="435"/>
        <v>1.6048196256634106E-3</v>
      </c>
      <c r="AC744" s="26">
        <f t="shared" si="436"/>
        <v>2.5239119274042148</v>
      </c>
      <c r="AD744" s="26">
        <f t="shared" si="437"/>
        <v>0.92580122611496518</v>
      </c>
      <c r="AE744" s="26">
        <f t="shared" si="438"/>
        <v>2.7527290230212626E-3</v>
      </c>
      <c r="AF744" s="26">
        <f t="shared" si="439"/>
        <v>-3.4135622054713051</v>
      </c>
      <c r="AG744" s="26">
        <f t="shared" si="440"/>
        <v>3.1874290319544848E-2</v>
      </c>
      <c r="AH744" s="26">
        <f t="shared" si="441"/>
        <v>-2.4806278466511253</v>
      </c>
      <c r="AI744" s="26">
        <f t="shared" si="442"/>
        <v>7.7227447791064177E-2</v>
      </c>
      <c r="AJ744" s="26">
        <f t="shared" si="443"/>
        <v>-2.3733767847259868</v>
      </c>
      <c r="AK744" s="26">
        <f t="shared" si="444"/>
        <v>8.5225509141752989E-2</v>
      </c>
      <c r="AL744" s="26">
        <f t="shared" si="445"/>
        <v>3.6316937042355111E-3</v>
      </c>
      <c r="AM744" s="27">
        <f t="shared" si="446"/>
        <v>1.5452596201389997E-2</v>
      </c>
    </row>
    <row r="745" spans="1:39" ht="15" customHeight="1" x14ac:dyDescent="0.2">
      <c r="A745" s="24">
        <v>734</v>
      </c>
      <c r="B745" s="29">
        <f t="shared" si="447"/>
        <v>5.6958329061607991</v>
      </c>
      <c r="C745" s="29">
        <f t="shared" si="448"/>
        <v>-5.6335784775187889</v>
      </c>
      <c r="D745" s="29">
        <f t="shared" si="449"/>
        <v>-3.4755831232614915</v>
      </c>
      <c r="E745" s="29">
        <f t="shared" si="450"/>
        <v>-4.2733322229929414</v>
      </c>
      <c r="F745" s="29">
        <f t="shared" si="451"/>
        <v>3.9555162060655604</v>
      </c>
      <c r="G745" s="29">
        <f t="shared" si="452"/>
        <v>-2.1645948310092082</v>
      </c>
      <c r="H745" s="29">
        <f t="shared" si="453"/>
        <v>6.1735651017777418</v>
      </c>
      <c r="I745" s="29">
        <f t="shared" si="454"/>
        <v>6.2258062026306815</v>
      </c>
      <c r="J745" s="29">
        <f t="shared" si="455"/>
        <v>-3.0527668145474713</v>
      </c>
      <c r="K745" s="26">
        <f t="shared" si="418"/>
        <v>-3.4755831232614915</v>
      </c>
      <c r="L745" s="26">
        <f t="shared" si="419"/>
        <v>3.0015006623313918E-2</v>
      </c>
      <c r="M745" s="26">
        <f t="shared" si="420"/>
        <v>-2.1645948310092082</v>
      </c>
      <c r="N745" s="26">
        <f t="shared" si="421"/>
        <v>0.1029752458016532</v>
      </c>
      <c r="O745" s="26">
        <f t="shared" si="422"/>
        <v>-2.2263632930988013</v>
      </c>
      <c r="P745" s="26">
        <f t="shared" si="423"/>
        <v>9.7407911040423803E-2</v>
      </c>
      <c r="Q745" s="26">
        <f t="shared" si="424"/>
        <v>4.7441505666295583E-3</v>
      </c>
      <c r="R745" s="26">
        <f t="shared" si="425"/>
        <v>-9.1091616007802809</v>
      </c>
      <c r="S745" s="26">
        <f t="shared" si="426"/>
        <v>1.1063520148190686E-4</v>
      </c>
      <c r="T745" s="26">
        <f t="shared" si="427"/>
        <v>1.7909213750563522</v>
      </c>
      <c r="U745" s="26">
        <f t="shared" si="428"/>
        <v>0.85704020264626213</v>
      </c>
      <c r="V745" s="26">
        <f t="shared" si="429"/>
        <v>2.28368240861038</v>
      </c>
      <c r="W745" s="26">
        <f t="shared" si="430"/>
        <v>0.90751657646443562</v>
      </c>
      <c r="X745" s="26">
        <f t="shared" si="431"/>
        <v>4.276591814429292E-3</v>
      </c>
      <c r="Y745" s="26">
        <f t="shared" si="432"/>
        <v>2.2202497828993075</v>
      </c>
      <c r="Z745" s="26">
        <f t="shared" si="433"/>
        <v>0.90205326702995026</v>
      </c>
      <c r="AA745" s="26">
        <f t="shared" si="434"/>
        <v>-6.4379270540021496</v>
      </c>
      <c r="AB745" s="26">
        <f t="shared" si="435"/>
        <v>1.5971643630056786E-3</v>
      </c>
      <c r="AC745" s="26">
        <f t="shared" si="436"/>
        <v>2.5260613905310496</v>
      </c>
      <c r="AD745" s="26">
        <f t="shared" si="437"/>
        <v>0.92594874479203482</v>
      </c>
      <c r="AE745" s="26">
        <f t="shared" si="438"/>
        <v>2.7417941989375952E-3</v>
      </c>
      <c r="AF745" s="26">
        <f t="shared" si="439"/>
        <v>-3.4133286946194814</v>
      </c>
      <c r="AG745" s="26">
        <f t="shared" si="440"/>
        <v>3.18814968598507E-2</v>
      </c>
      <c r="AH745" s="26">
        <f t="shared" si="441"/>
        <v>-2.4824108479365892</v>
      </c>
      <c r="AI745" s="26">
        <f t="shared" si="442"/>
        <v>7.7100480854176687E-2</v>
      </c>
      <c r="AJ745" s="26">
        <f t="shared" si="443"/>
        <v>-2.3759316662133192</v>
      </c>
      <c r="AK745" s="26">
        <f t="shared" si="444"/>
        <v>8.5026536120100166E-2</v>
      </c>
      <c r="AL745" s="26">
        <f t="shared" si="445"/>
        <v>3.6147559222913491E-3</v>
      </c>
      <c r="AM745" s="27">
        <f t="shared" si="446"/>
        <v>1.5377292502287792E-2</v>
      </c>
    </row>
    <row r="746" spans="1:39" ht="15" customHeight="1" x14ac:dyDescent="0.2">
      <c r="A746" s="24">
        <v>735</v>
      </c>
      <c r="B746" s="29">
        <f t="shared" si="447"/>
        <v>5.6973420251892417</v>
      </c>
      <c r="C746" s="29">
        <f t="shared" si="448"/>
        <v>-5.6348336122444014</v>
      </c>
      <c r="D746" s="29">
        <f t="shared" si="449"/>
        <v>-3.475607989707139</v>
      </c>
      <c r="E746" s="29">
        <f t="shared" si="450"/>
        <v>-4.2762121988891613</v>
      </c>
      <c r="F746" s="29">
        <f t="shared" si="451"/>
        <v>3.958506794755539</v>
      </c>
      <c r="G746" s="29">
        <f t="shared" si="452"/>
        <v>-2.1664789088961163</v>
      </c>
      <c r="H746" s="29">
        <f t="shared" si="453"/>
        <v>6.1776782150922758</v>
      </c>
      <c r="I746" s="29">
        <f t="shared" si="454"/>
        <v>6.231074900053156</v>
      </c>
      <c r="J746" s="29">
        <f t="shared" si="455"/>
        <v>-3.0551060138639139</v>
      </c>
      <c r="K746" s="26">
        <f t="shared" si="418"/>
        <v>-3.475607989707139</v>
      </c>
      <c r="L746" s="26">
        <f t="shared" si="419"/>
        <v>3.001428266744028E-2</v>
      </c>
      <c r="M746" s="26">
        <f t="shared" si="420"/>
        <v>-2.1664789088961163</v>
      </c>
      <c r="N746" s="26">
        <f t="shared" si="421"/>
        <v>0.10280134113057765</v>
      </c>
      <c r="O746" s="26">
        <f t="shared" si="422"/>
        <v>-2.2291245772771018</v>
      </c>
      <c r="P746" s="26">
        <f t="shared" si="423"/>
        <v>9.7165409748401849E-2</v>
      </c>
      <c r="Q746" s="26">
        <f t="shared" si="424"/>
        <v>4.7205584257874128E-3</v>
      </c>
      <c r="R746" s="26">
        <f t="shared" si="425"/>
        <v>-9.1104416019515408</v>
      </c>
      <c r="S746" s="26">
        <f t="shared" si="426"/>
        <v>1.1049369452564705E-4</v>
      </c>
      <c r="T746" s="26">
        <f t="shared" si="427"/>
        <v>1.7920278858594227</v>
      </c>
      <c r="U746" s="26">
        <f t="shared" si="428"/>
        <v>0.85717572133481357</v>
      </c>
      <c r="V746" s="26">
        <f t="shared" si="429"/>
        <v>2.2867027027699773</v>
      </c>
      <c r="W746" s="26">
        <f t="shared" si="430"/>
        <v>0.90776975866367682</v>
      </c>
      <c r="X746" s="26">
        <f t="shared" si="431"/>
        <v>4.2532087084782089E-3</v>
      </c>
      <c r="Y746" s="26">
        <f t="shared" si="432"/>
        <v>2.2217340354821027</v>
      </c>
      <c r="Z746" s="26">
        <f t="shared" si="433"/>
        <v>0.90218432721737551</v>
      </c>
      <c r="AA746" s="26">
        <f t="shared" si="434"/>
        <v>-6.4426911077852775</v>
      </c>
      <c r="AB746" s="26">
        <f t="shared" si="435"/>
        <v>1.5895855484737962E-3</v>
      </c>
      <c r="AC746" s="26">
        <f t="shared" si="436"/>
        <v>2.5282032769971305</v>
      </c>
      <c r="AD746" s="26">
        <f t="shared" si="437"/>
        <v>0.92609547502653022</v>
      </c>
      <c r="AE746" s="26">
        <f t="shared" si="438"/>
        <v>2.7309394057771089E-3</v>
      </c>
      <c r="AF746" s="26">
        <f t="shared" si="439"/>
        <v>-3.4130995767622987</v>
      </c>
      <c r="AG746" s="26">
        <f t="shared" si="440"/>
        <v>3.1888569356392414E-2</v>
      </c>
      <c r="AH746" s="26">
        <f t="shared" si="441"/>
        <v>-2.4841843130297385</v>
      </c>
      <c r="AI746" s="26">
        <f t="shared" si="442"/>
        <v>7.6974382784141732E-2</v>
      </c>
      <c r="AJ746" s="26">
        <f t="shared" si="443"/>
        <v>-2.3784755491271201</v>
      </c>
      <c r="AK746" s="26">
        <f t="shared" si="444"/>
        <v>8.4828838404303802E-2</v>
      </c>
      <c r="AL746" s="26">
        <f t="shared" si="445"/>
        <v>3.597965912511744E-3</v>
      </c>
      <c r="AM746" s="27">
        <f t="shared" si="446"/>
        <v>1.5302672452554476E-2</v>
      </c>
    </row>
    <row r="747" spans="1:39" ht="15" customHeight="1" x14ac:dyDescent="0.2">
      <c r="A747" s="24">
        <v>736</v>
      </c>
      <c r="B747" s="29">
        <f t="shared" si="447"/>
        <v>5.6988436392331918</v>
      </c>
      <c r="C747" s="29">
        <f t="shared" si="448"/>
        <v>-5.6360842996800242</v>
      </c>
      <c r="D747" s="29">
        <f t="shared" si="449"/>
        <v>-3.4756341335746841</v>
      </c>
      <c r="E747" s="29">
        <f t="shared" si="450"/>
        <v>-4.2790776727704261</v>
      </c>
      <c r="F747" s="29">
        <f t="shared" si="451"/>
        <v>3.9614818690588343</v>
      </c>
      <c r="G747" s="29">
        <f t="shared" si="452"/>
        <v>-2.168352525686541</v>
      </c>
      <c r="H747" s="29">
        <f t="shared" si="453"/>
        <v>6.1817766790299764</v>
      </c>
      <c r="I747" s="29">
        <f t="shared" si="454"/>
        <v>6.236318768540011</v>
      </c>
      <c r="J747" s="29">
        <f t="shared" si="455"/>
        <v>-3.0574352002769865</v>
      </c>
      <c r="K747" s="26">
        <f t="shared" si="418"/>
        <v>-3.4756341335746841</v>
      </c>
      <c r="L747" s="26">
        <f t="shared" si="419"/>
        <v>3.0013521539252349E-2</v>
      </c>
      <c r="M747" s="26">
        <f t="shared" si="420"/>
        <v>-2.168352525686541</v>
      </c>
      <c r="N747" s="26">
        <f t="shared" si="421"/>
        <v>0.10262865997035037</v>
      </c>
      <c r="O747" s="26">
        <f t="shared" si="422"/>
        <v>-2.2318732744068654</v>
      </c>
      <c r="P747" s="26">
        <f t="shared" si="423"/>
        <v>9.6924549085808165E-2</v>
      </c>
      <c r="Q747" s="26">
        <f t="shared" si="424"/>
        <v>4.6971841077436179E-3</v>
      </c>
      <c r="R747" s="26">
        <f t="shared" si="425"/>
        <v>-9.1117184332547083</v>
      </c>
      <c r="S747" s="26">
        <f t="shared" si="426"/>
        <v>1.1035271830701236E-4</v>
      </c>
      <c r="T747" s="26">
        <f t="shared" si="427"/>
        <v>1.7931293433722932</v>
      </c>
      <c r="U747" s="26">
        <f t="shared" si="428"/>
        <v>0.85731051478281806</v>
      </c>
      <c r="V747" s="26">
        <f t="shared" si="429"/>
        <v>2.2897086293902986</v>
      </c>
      <c r="W747" s="26">
        <f t="shared" si="430"/>
        <v>0.90802111804776064</v>
      </c>
      <c r="X747" s="26">
        <f t="shared" si="431"/>
        <v>4.2300573625919909E-3</v>
      </c>
      <c r="Y747" s="26">
        <f t="shared" si="432"/>
        <v>2.2232095056585077</v>
      </c>
      <c r="Z747" s="26">
        <f t="shared" si="433"/>
        <v>0.90231445692162759</v>
      </c>
      <c r="AA747" s="26">
        <f t="shared" si="434"/>
        <v>-6.4474301984569671</v>
      </c>
      <c r="AB747" s="26">
        <f t="shared" si="435"/>
        <v>1.5820820704288451E-3</v>
      </c>
      <c r="AC747" s="26">
        <f t="shared" si="436"/>
        <v>2.5303376347819158</v>
      </c>
      <c r="AD747" s="26">
        <f t="shared" si="437"/>
        <v>0.92624142333451431</v>
      </c>
      <c r="AE747" s="26">
        <f t="shared" si="438"/>
        <v>2.7201638158591648E-3</v>
      </c>
      <c r="AF747" s="26">
        <f t="shared" si="439"/>
        <v>-3.4128747940215165</v>
      </c>
      <c r="AG747" s="26">
        <f t="shared" si="440"/>
        <v>3.1895509509383267E-2</v>
      </c>
      <c r="AH747" s="26">
        <f t="shared" si="441"/>
        <v>-2.4859483293981328</v>
      </c>
      <c r="AI747" s="26">
        <f t="shared" si="442"/>
        <v>7.6849144096638816E-2</v>
      </c>
      <c r="AJ747" s="26">
        <f t="shared" si="443"/>
        <v>-2.3810085237499976</v>
      </c>
      <c r="AK747" s="26">
        <f t="shared" si="444"/>
        <v>8.4632402902178244E-2</v>
      </c>
      <c r="AL747" s="26">
        <f t="shared" si="445"/>
        <v>3.5813218104983145E-3</v>
      </c>
      <c r="AM747" s="27">
        <f t="shared" si="446"/>
        <v>1.5228727096693088E-2</v>
      </c>
    </row>
    <row r="748" spans="1:39" ht="15" customHeight="1" x14ac:dyDescent="0.2">
      <c r="A748" s="24">
        <v>737</v>
      </c>
      <c r="B748" s="29">
        <f t="shared" si="447"/>
        <v>5.7003378156761233</v>
      </c>
      <c r="C748" s="29">
        <f t="shared" si="448"/>
        <v>-5.6373305687843231</v>
      </c>
      <c r="D748" s="29">
        <f t="shared" si="449"/>
        <v>-3.4756615362830714</v>
      </c>
      <c r="E748" s="29">
        <f t="shared" si="450"/>
        <v>-4.2819287748522159</v>
      </c>
      <c r="F748" s="29">
        <f t="shared" si="451"/>
        <v>3.9644415739102108</v>
      </c>
      <c r="G748" s="29">
        <f t="shared" si="452"/>
        <v>-2.170215782455347</v>
      </c>
      <c r="H748" s="29">
        <f t="shared" si="453"/>
        <v>6.185860589776464</v>
      </c>
      <c r="I748" s="29">
        <f t="shared" si="454"/>
        <v>6.2415380271178522</v>
      </c>
      <c r="J748" s="29">
        <f t="shared" si="455"/>
        <v>-3.0597544558288785</v>
      </c>
      <c r="K748" s="26">
        <f t="shared" si="418"/>
        <v>-3.4756615362830714</v>
      </c>
      <c r="L748" s="26">
        <f t="shared" si="419"/>
        <v>3.0012723782422385E-2</v>
      </c>
      <c r="M748" s="26">
        <f t="shared" si="420"/>
        <v>-2.170215782455347</v>
      </c>
      <c r="N748" s="26">
        <f t="shared" si="421"/>
        <v>0.10245718844915511</v>
      </c>
      <c r="O748" s="26">
        <f t="shared" si="422"/>
        <v>-2.2346094927343634</v>
      </c>
      <c r="P748" s="26">
        <f t="shared" si="423"/>
        <v>9.6685311405783875E-2</v>
      </c>
      <c r="Q748" s="26">
        <f t="shared" si="424"/>
        <v>4.6740247208167003E-3</v>
      </c>
      <c r="R748" s="26">
        <f t="shared" si="425"/>
        <v>-9.112992105067395</v>
      </c>
      <c r="S748" s="26">
        <f t="shared" si="426"/>
        <v>1.1021227011237277E-4</v>
      </c>
      <c r="T748" s="26">
        <f t="shared" si="427"/>
        <v>1.7942257914548638</v>
      </c>
      <c r="U748" s="26">
        <f t="shared" si="428"/>
        <v>0.85744458985489402</v>
      </c>
      <c r="V748" s="26">
        <f t="shared" si="429"/>
        <v>2.29270031563511</v>
      </c>
      <c r="W748" s="26">
        <f t="shared" si="430"/>
        <v>0.90827067518152793</v>
      </c>
      <c r="X748" s="26">
        <f t="shared" si="431"/>
        <v>4.2071345158263777E-3</v>
      </c>
      <c r="Y748" s="26">
        <f t="shared" si="432"/>
        <v>2.2246762793930519</v>
      </c>
      <c r="Z748" s="26">
        <f t="shared" si="433"/>
        <v>0.90244366660260489</v>
      </c>
      <c r="AA748" s="26">
        <f t="shared" si="434"/>
        <v>-6.4521445573075624</v>
      </c>
      <c r="AB748" s="26">
        <f t="shared" si="435"/>
        <v>1.5746528381631614E-3</v>
      </c>
      <c r="AC748" s="26">
        <f t="shared" si="436"/>
        <v>2.53246451147045</v>
      </c>
      <c r="AD748" s="26">
        <f t="shared" si="437"/>
        <v>0.92638659616275321</v>
      </c>
      <c r="AE748" s="26">
        <f t="shared" si="438"/>
        <v>2.7094666122527904E-3</v>
      </c>
      <c r="AF748" s="26">
        <f t="shared" si="439"/>
        <v>-3.4126542893912712</v>
      </c>
      <c r="AG748" s="26">
        <f t="shared" si="440"/>
        <v>3.1902318995208123E-2</v>
      </c>
      <c r="AH748" s="26">
        <f t="shared" si="441"/>
        <v>-2.4877029833973521</v>
      </c>
      <c r="AI748" s="26">
        <f t="shared" si="442"/>
        <v>7.6724755446733725E-2</v>
      </c>
      <c r="AJ748" s="26">
        <f t="shared" si="443"/>
        <v>-2.3835306792918374</v>
      </c>
      <c r="AK748" s="26">
        <f t="shared" si="444"/>
        <v>8.4437216704245477E-2</v>
      </c>
      <c r="AL748" s="26">
        <f t="shared" si="445"/>
        <v>3.5648217823798555E-3</v>
      </c>
      <c r="AM748" s="27">
        <f t="shared" si="446"/>
        <v>1.5155447631275725E-2</v>
      </c>
    </row>
    <row r="749" spans="1:39" ht="15" customHeight="1" x14ac:dyDescent="0.2">
      <c r="A749" s="24">
        <v>738</v>
      </c>
      <c r="B749" s="29">
        <f t="shared" si="447"/>
        <v>5.7018246210579351</v>
      </c>
      <c r="C749" s="29">
        <f t="shared" si="448"/>
        <v>-5.6385724482480306</v>
      </c>
      <c r="D749" s="29">
        <f t="shared" si="449"/>
        <v>-3.475690179532898</v>
      </c>
      <c r="E749" s="29">
        <f t="shared" si="450"/>
        <v>-4.2847656337002187</v>
      </c>
      <c r="F749" s="29">
        <f t="shared" si="451"/>
        <v>3.9673860523241471</v>
      </c>
      <c r="G749" s="29">
        <f t="shared" si="452"/>
        <v>-2.1720687789127853</v>
      </c>
      <c r="H749" s="29">
        <f t="shared" si="453"/>
        <v>6.1899300426438577</v>
      </c>
      <c r="I749" s="29">
        <f t="shared" si="454"/>
        <v>6.2467328920437915</v>
      </c>
      <c r="J749" s="29">
        <f t="shared" si="455"/>
        <v>-3.0620638615860476</v>
      </c>
      <c r="K749" s="26">
        <f t="shared" si="418"/>
        <v>-3.475690179532898</v>
      </c>
      <c r="L749" s="26">
        <f t="shared" si="419"/>
        <v>3.0011889932498929E-2</v>
      </c>
      <c r="M749" s="26">
        <f t="shared" si="420"/>
        <v>-2.1720687789127853</v>
      </c>
      <c r="N749" s="26">
        <f t="shared" si="421"/>
        <v>0.10228691290818734</v>
      </c>
      <c r="O749" s="26">
        <f t="shared" si="422"/>
        <v>-2.2373333391671593</v>
      </c>
      <c r="P749" s="26">
        <f t="shared" si="423"/>
        <v>9.6447679318090632E-2</v>
      </c>
      <c r="Q749" s="26">
        <f t="shared" si="424"/>
        <v>4.651077422922624E-3</v>
      </c>
      <c r="R749" s="26">
        <f t="shared" si="425"/>
        <v>-9.1142626277809278</v>
      </c>
      <c r="S749" s="26">
        <f t="shared" si="426"/>
        <v>1.1007234723942314E-4</v>
      </c>
      <c r="T749" s="26">
        <f t="shared" si="427"/>
        <v>1.7953172734113618</v>
      </c>
      <c r="U749" s="26">
        <f t="shared" si="428"/>
        <v>0.85757795332323405</v>
      </c>
      <c r="V749" s="26">
        <f t="shared" si="429"/>
        <v>2.2956778870588352</v>
      </c>
      <c r="W749" s="26">
        <f t="shared" si="430"/>
        <v>0.90851845031863365</v>
      </c>
      <c r="X749" s="26">
        <f t="shared" si="431"/>
        <v>4.1844369660521494E-3</v>
      </c>
      <c r="Y749" s="26">
        <f t="shared" si="432"/>
        <v>2.226134441525037</v>
      </c>
      <c r="Z749" s="26">
        <f t="shared" si="433"/>
        <v>0.90257196656461858</v>
      </c>
      <c r="AA749" s="26">
        <f t="shared" si="434"/>
        <v>-6.4568344126130039</v>
      </c>
      <c r="AB749" s="26">
        <f t="shared" si="435"/>
        <v>1.5672967814201674E-3</v>
      </c>
      <c r="AC749" s="26">
        <f t="shared" si="436"/>
        <v>2.5345839542565245</v>
      </c>
      <c r="AD749" s="26">
        <f t="shared" si="437"/>
        <v>0.92653099988955201</v>
      </c>
      <c r="AE749" s="26">
        <f t="shared" si="438"/>
        <v>2.6988469886145036E-3</v>
      </c>
      <c r="AF749" s="26">
        <f t="shared" si="439"/>
        <v>-3.4124380067229936</v>
      </c>
      <c r="AG749" s="26">
        <f t="shared" si="440"/>
        <v>3.1908999466792348E-2</v>
      </c>
      <c r="AH749" s="26">
        <f t="shared" si="441"/>
        <v>-2.4894483602888569</v>
      </c>
      <c r="AI749" s="26">
        <f t="shared" si="442"/>
        <v>7.6601207626329174E-2</v>
      </c>
      <c r="AJ749" s="26">
        <f t="shared" si="443"/>
        <v>-2.3860421039061768</v>
      </c>
      <c r="AK749" s="26">
        <f t="shared" si="444"/>
        <v>8.4243267080546386E-2</v>
      </c>
      <c r="AL749" s="26">
        <f t="shared" si="445"/>
        <v>3.5484640242021354E-3</v>
      </c>
      <c r="AM749" s="27">
        <f t="shared" si="446"/>
        <v>1.5082825401791414E-2</v>
      </c>
    </row>
    <row r="750" spans="1:39" ht="15" customHeight="1" x14ac:dyDescent="0.2">
      <c r="A750" s="24">
        <v>739</v>
      </c>
      <c r="B750" s="29">
        <f t="shared" si="447"/>
        <v>5.7033041210881734</v>
      </c>
      <c r="C750" s="29">
        <f t="shared" si="448"/>
        <v>-5.639809966497098</v>
      </c>
      <c r="D750" s="29">
        <f t="shared" si="449"/>
        <v>-3.4757200453016783</v>
      </c>
      <c r="E750" s="29">
        <f t="shared" si="450"/>
        <v>-4.287588376256978</v>
      </c>
      <c r="F750" s="29">
        <f t="shared" si="451"/>
        <v>3.9703154454273695</v>
      </c>
      <c r="G750" s="29">
        <f t="shared" si="452"/>
        <v>-2.1739116134278986</v>
      </c>
      <c r="H750" s="29">
        <f t="shared" si="453"/>
        <v>6.1939851320802388</v>
      </c>
      <c r="I750" s="29">
        <f t="shared" si="454"/>
        <v>6.2519035768503919</v>
      </c>
      <c r="J750" s="29">
        <f t="shared" si="455"/>
        <v>-3.0643634976541976</v>
      </c>
      <c r="K750" s="26">
        <f t="shared" si="418"/>
        <v>-3.4757200453016783</v>
      </c>
      <c r="L750" s="26">
        <f t="shared" si="419"/>
        <v>3.0011020517039449E-2</v>
      </c>
      <c r="M750" s="26">
        <f t="shared" si="420"/>
        <v>-2.1739116134278986</v>
      </c>
      <c r="N750" s="26">
        <f t="shared" si="421"/>
        <v>0.10211781989756777</v>
      </c>
      <c r="O750" s="26">
        <f t="shared" si="422"/>
        <v>-2.2400449192953324</v>
      </c>
      <c r="P750" s="26">
        <f t="shared" si="423"/>
        <v>9.6211635684459368E-2</v>
      </c>
      <c r="Q750" s="26">
        <f t="shared" si="424"/>
        <v>4.628339420539568E-3</v>
      </c>
      <c r="R750" s="26">
        <f t="shared" si="425"/>
        <v>-9.1155300117987768</v>
      </c>
      <c r="S750" s="26">
        <f t="shared" si="426"/>
        <v>1.0993294699728226E-4</v>
      </c>
      <c r="T750" s="26">
        <f t="shared" si="427"/>
        <v>1.7964038319994708</v>
      </c>
      <c r="U750" s="26">
        <f t="shared" si="428"/>
        <v>0.85771061186920106</v>
      </c>
      <c r="V750" s="26">
        <f t="shared" si="429"/>
        <v>2.2986414676326263</v>
      </c>
      <c r="W750" s="26">
        <f t="shared" si="430"/>
        <v>0.90876446340739014</v>
      </c>
      <c r="X750" s="26">
        <f t="shared" si="431"/>
        <v>4.1619615686707264E-3</v>
      </c>
      <c r="Y750" s="26">
        <f t="shared" si="432"/>
        <v>2.2275840757864951</v>
      </c>
      <c r="Z750" s="26">
        <f t="shared" si="433"/>
        <v>0.9026993669592186</v>
      </c>
      <c r="AA750" s="26">
        <f t="shared" si="434"/>
        <v>-6.4614999896848762</v>
      </c>
      <c r="AB750" s="26">
        <f t="shared" si="435"/>
        <v>1.5600128499271388E-3</v>
      </c>
      <c r="AC750" s="26">
        <f t="shared" si="436"/>
        <v>2.5366960099458375</v>
      </c>
      <c r="AD750" s="26">
        <f t="shared" si="437"/>
        <v>0.92667464082557882</v>
      </c>
      <c r="AE750" s="26">
        <f t="shared" si="438"/>
        <v>2.6883041490289362E-3</v>
      </c>
      <c r="AF750" s="26">
        <f t="shared" si="439"/>
        <v>-3.4122258907106029</v>
      </c>
      <c r="AG750" s="26">
        <f t="shared" si="440"/>
        <v>3.1915552553965089E-2</v>
      </c>
      <c r="AH750" s="26">
        <f t="shared" si="441"/>
        <v>-2.4911845442575071</v>
      </c>
      <c r="AI750" s="26">
        <f t="shared" si="442"/>
        <v>7.6478491561670567E-2</v>
      </c>
      <c r="AJ750" s="26">
        <f t="shared" si="443"/>
        <v>-2.3885428847062817</v>
      </c>
      <c r="AK750" s="26">
        <f t="shared" si="444"/>
        <v>8.4050541477517837E-2</v>
      </c>
      <c r="AL750" s="26">
        <f t="shared" si="445"/>
        <v>3.5322467613319733E-3</v>
      </c>
      <c r="AM750" s="27">
        <f t="shared" si="446"/>
        <v>1.5010851899571204E-2</v>
      </c>
    </row>
    <row r="751" spans="1:39" ht="15" customHeight="1" x14ac:dyDescent="0.2">
      <c r="A751" s="24">
        <v>740</v>
      </c>
      <c r="B751" s="29">
        <f t="shared" si="447"/>
        <v>5.7047763806589993</v>
      </c>
      <c r="C751" s="29">
        <f t="shared" si="448"/>
        <v>-5.6410431516958059</v>
      </c>
      <c r="D751" s="29">
        <f t="shared" si="449"/>
        <v>-3.4757511158391954</v>
      </c>
      <c r="E751" s="29">
        <f t="shared" si="450"/>
        <v>-4.2903971278680295</v>
      </c>
      <c r="F751" s="29">
        <f t="shared" si="451"/>
        <v>3.9732298924907243</v>
      </c>
      <c r="G751" s="29">
        <f t="shared" si="452"/>
        <v>-2.1757443830514402</v>
      </c>
      <c r="H751" s="29">
        <f t="shared" si="453"/>
        <v>6.1980259516790053</v>
      </c>
      <c r="I751" s="29">
        <f t="shared" si="454"/>
        <v>6.2570502923897289</v>
      </c>
      <c r="J751" s="29">
        <f t="shared" si="455"/>
        <v>-3.0666534431929775</v>
      </c>
      <c r="K751" s="26">
        <f t="shared" si="418"/>
        <v>-3.4757511158391954</v>
      </c>
      <c r="L751" s="26">
        <f t="shared" si="419"/>
        <v>3.0010116055740641E-2</v>
      </c>
      <c r="M751" s="26">
        <f t="shared" si="420"/>
        <v>-2.1757443830514402</v>
      </c>
      <c r="N751" s="26">
        <f t="shared" si="421"/>
        <v>0.1019498961723494</v>
      </c>
      <c r="O751" s="26">
        <f t="shared" si="422"/>
        <v>-2.2427443374122968</v>
      </c>
      <c r="P751" s="26">
        <f t="shared" si="423"/>
        <v>9.5977163614039102E-2</v>
      </c>
      <c r="Q751" s="26">
        <f t="shared" si="424"/>
        <v>4.6058079676980154E-3</v>
      </c>
      <c r="R751" s="26">
        <f t="shared" si="425"/>
        <v>-9.1167942675350009</v>
      </c>
      <c r="S751" s="26">
        <f t="shared" si="426"/>
        <v>1.0979406670658936E-4</v>
      </c>
      <c r="T751" s="26">
        <f t="shared" si="427"/>
        <v>1.7974855094392841</v>
      </c>
      <c r="U751" s="26">
        <f t="shared" si="428"/>
        <v>0.85784257208489245</v>
      </c>
      <c r="V751" s="26">
        <f t="shared" si="429"/>
        <v>2.3015911797699435</v>
      </c>
      <c r="W751" s="26">
        <f t="shared" si="430"/>
        <v>0.90900873409648131</v>
      </c>
      <c r="X751" s="26">
        <f t="shared" si="431"/>
        <v>4.1397052353624219E-3</v>
      </c>
      <c r="Y751" s="26">
        <f t="shared" si="432"/>
        <v>2.2290252648198039</v>
      </c>
      <c r="Z751" s="26">
        <f t="shared" si="433"/>
        <v>0.90282587778795786</v>
      </c>
      <c r="AA751" s="26">
        <f t="shared" si="434"/>
        <v>-6.4661415109194698</v>
      </c>
      <c r="AB751" s="26">
        <f t="shared" si="435"/>
        <v>1.5528000129404718E-3</v>
      </c>
      <c r="AC751" s="26">
        <f t="shared" si="436"/>
        <v>2.5388007249591547</v>
      </c>
      <c r="AD751" s="26">
        <f t="shared" si="437"/>
        <v>0.92681752521468153</v>
      </c>
      <c r="AE751" s="26">
        <f t="shared" si="438"/>
        <v>2.677837307851887E-3</v>
      </c>
      <c r="AF751" s="26">
        <f t="shared" si="439"/>
        <v>-3.412017886876002</v>
      </c>
      <c r="AG751" s="26">
        <f t="shared" si="440"/>
        <v>3.1921979863816168E-2</v>
      </c>
      <c r="AH751" s="26">
        <f t="shared" si="441"/>
        <v>-2.4929116184287454</v>
      </c>
      <c r="AI751" s="26">
        <f t="shared" si="442"/>
        <v>7.6356598310905965E-2</v>
      </c>
      <c r="AJ751" s="26">
        <f t="shared" si="443"/>
        <v>-2.391033107780931</v>
      </c>
      <c r="AK751" s="26">
        <f t="shared" si="444"/>
        <v>8.3859027514934251E-2</v>
      </c>
      <c r="AL751" s="26">
        <f t="shared" si="445"/>
        <v>3.5161682478752499E-3</v>
      </c>
      <c r="AM751" s="27">
        <f t="shared" si="446"/>
        <v>1.4939518758787573E-2</v>
      </c>
    </row>
    <row r="752" spans="1:39" ht="15" customHeight="1" x14ac:dyDescent="0.2">
      <c r="A752" s="24">
        <v>741</v>
      </c>
      <c r="B752" s="29">
        <f t="shared" si="447"/>
        <v>5.7062414638579275</v>
      </c>
      <c r="C752" s="29">
        <f t="shared" si="448"/>
        <v>-5.642272031749834</v>
      </c>
      <c r="D752" s="29">
        <f t="shared" si="449"/>
        <v>-3.4757833736629373</v>
      </c>
      <c r="E752" s="29">
        <f t="shared" si="450"/>
        <v>-4.2931920123075242</v>
      </c>
      <c r="F752" s="29">
        <f t="shared" si="451"/>
        <v>3.9761295309603986</v>
      </c>
      <c r="G752" s="29">
        <f t="shared" si="452"/>
        <v>-2.1775671835383243</v>
      </c>
      <c r="H752" s="29">
        <f t="shared" si="453"/>
        <v>6.202052594188129</v>
      </c>
      <c r="I752" s="29">
        <f t="shared" si="454"/>
        <v>6.2621732468765936</v>
      </c>
      <c r="J752" s="29">
        <f t="shared" si="455"/>
        <v>-3.068933776430411</v>
      </c>
      <c r="K752" s="26">
        <f t="shared" si="418"/>
        <v>-3.4757833736629373</v>
      </c>
      <c r="L752" s="26">
        <f t="shared" si="419"/>
        <v>3.0009177060566473E-2</v>
      </c>
      <c r="M752" s="26">
        <f t="shared" si="420"/>
        <v>-2.1775671835383243</v>
      </c>
      <c r="N752" s="26">
        <f t="shared" si="421"/>
        <v>0.10178312868861515</v>
      </c>
      <c r="O752" s="26">
        <f t="shared" si="422"/>
        <v>-2.2454316965352303</v>
      </c>
      <c r="P752" s="26">
        <f t="shared" si="423"/>
        <v>9.5744246458942764E-2</v>
      </c>
      <c r="Q752" s="26">
        <f t="shared" si="424"/>
        <v>4.5834803649953872E-3</v>
      </c>
      <c r="R752" s="26">
        <f t="shared" si="425"/>
        <v>-9.1180554054127718</v>
      </c>
      <c r="S752" s="26">
        <f t="shared" si="426"/>
        <v>1.0965570369959121E-4</v>
      </c>
      <c r="T752" s="26">
        <f t="shared" si="427"/>
        <v>1.7985623474220742</v>
      </c>
      <c r="U752" s="26">
        <f t="shared" si="428"/>
        <v>0.85797384047467085</v>
      </c>
      <c r="V752" s="26">
        <f t="shared" si="429"/>
        <v>2.3045271443516366</v>
      </c>
      <c r="W752" s="26">
        <f t="shared" si="430"/>
        <v>0.90925128174055225</v>
      </c>
      <c r="X752" s="26">
        <f t="shared" si="431"/>
        <v>4.1176649328663129E-3</v>
      </c>
      <c r="Y752" s="26">
        <f t="shared" si="432"/>
        <v>2.2304580901949902</v>
      </c>
      <c r="Z752" s="26">
        <f t="shared" si="433"/>
        <v>0.90295150890510067</v>
      </c>
      <c r="AA752" s="26">
        <f t="shared" si="434"/>
        <v>-6.470759195845849</v>
      </c>
      <c r="AB752" s="26">
        <f t="shared" si="435"/>
        <v>1.5456572588031189E-3</v>
      </c>
      <c r="AC752" s="26">
        <f t="shared" si="436"/>
        <v>2.5408981453354711</v>
      </c>
      <c r="AD752" s="26">
        <f t="shared" si="437"/>
        <v>0.9269596592346947</v>
      </c>
      <c r="AE752" s="26">
        <f t="shared" si="438"/>
        <v>2.6674456895559597E-3</v>
      </c>
      <c r="AF752" s="26">
        <f t="shared" si="439"/>
        <v>-3.4118139415548439</v>
      </c>
      <c r="AG752" s="26">
        <f t="shared" si="440"/>
        <v>3.1928282981047419E-2</v>
      </c>
      <c r="AH752" s="26">
        <f t="shared" si="441"/>
        <v>-2.49462966488545</v>
      </c>
      <c r="AI752" s="26">
        <f t="shared" si="442"/>
        <v>7.6235519061698703E-2</v>
      </c>
      <c r="AJ752" s="26">
        <f t="shared" si="443"/>
        <v>-2.3935128582099132</v>
      </c>
      <c r="AK752" s="26">
        <f t="shared" si="444"/>
        <v>8.3668712982912202E-2</v>
      </c>
      <c r="AL752" s="26">
        <f t="shared" si="445"/>
        <v>3.5002267661084704E-3</v>
      </c>
      <c r="AM752" s="27">
        <f t="shared" si="446"/>
        <v>1.4868817753526132E-2</v>
      </c>
    </row>
    <row r="753" spans="1:39" ht="15" customHeight="1" x14ac:dyDescent="0.2">
      <c r="A753" s="24">
        <v>742</v>
      </c>
      <c r="B753" s="29">
        <f t="shared" si="447"/>
        <v>5.707699433980328</v>
      </c>
      <c r="C753" s="29">
        <f t="shared" si="448"/>
        <v>-5.6434966343092796</v>
      </c>
      <c r="D753" s="29">
        <f t="shared" si="449"/>
        <v>-3.4758168015536146</v>
      </c>
      <c r="E753" s="29">
        <f t="shared" si="450"/>
        <v>-4.2959731518033628</v>
      </c>
      <c r="F753" s="29">
        <f t="shared" si="451"/>
        <v>3.9790144964885101</v>
      </c>
      <c r="G753" s="29">
        <f t="shared" si="452"/>
        <v>-2.1793801093696152</v>
      </c>
      <c r="H753" s="29">
        <f t="shared" si="453"/>
        <v>6.2060651515193053</v>
      </c>
      <c r="I753" s="29">
        <f t="shared" si="454"/>
        <v>6.2672726459308556</v>
      </c>
      <c r="J753" s="29">
        <f t="shared" si="455"/>
        <v>-3.0712045746770604</v>
      </c>
      <c r="K753" s="26">
        <f t="shared" si="418"/>
        <v>-3.4758168015536146</v>
      </c>
      <c r="L753" s="26">
        <f t="shared" si="419"/>
        <v>3.0008204035874078E-2</v>
      </c>
      <c r="M753" s="26">
        <f t="shared" si="420"/>
        <v>-2.1793801093696152</v>
      </c>
      <c r="N753" s="26">
        <f t="shared" si="421"/>
        <v>0.10161750459966447</v>
      </c>
      <c r="O753" s="26">
        <f t="shared" si="422"/>
        <v>-2.2481070984251112</v>
      </c>
      <c r="P753" s="26">
        <f t="shared" si="423"/>
        <v>9.5512867809888602E-2</v>
      </c>
      <c r="Q753" s="26">
        <f t="shared" si="424"/>
        <v>4.5613539586346272E-3</v>
      </c>
      <c r="R753" s="26">
        <f t="shared" si="425"/>
        <v>-9.1193134358628942</v>
      </c>
      <c r="S753" s="26">
        <f t="shared" si="426"/>
        <v>1.0951785532022887E-4</v>
      </c>
      <c r="T753" s="26">
        <f t="shared" si="427"/>
        <v>1.7996343871188949</v>
      </c>
      <c r="U753" s="26">
        <f t="shared" si="428"/>
        <v>0.85810442345666416</v>
      </c>
      <c r="V753" s="26">
        <f t="shared" si="429"/>
        <v>2.307449480750531</v>
      </c>
      <c r="W753" s="26">
        <f t="shared" si="430"/>
        <v>0.9094921254056717</v>
      </c>
      <c r="X753" s="26">
        <f t="shared" si="431"/>
        <v>4.0958376817913289E-3</v>
      </c>
      <c r="Y753" s="26">
        <f t="shared" si="432"/>
        <v>2.2318826324267134</v>
      </c>
      <c r="Z753" s="26">
        <f t="shared" si="433"/>
        <v>0.90307627002027202</v>
      </c>
      <c r="AA753" s="26">
        <f t="shared" si="434"/>
        <v>-6.4753532611729785</v>
      </c>
      <c r="AB753" s="26">
        <f t="shared" si="435"/>
        <v>1.5385835945137727E-3</v>
      </c>
      <c r="AC753" s="26">
        <f t="shared" si="436"/>
        <v>2.5429883167351619</v>
      </c>
      <c r="AD753" s="26">
        <f t="shared" si="437"/>
        <v>0.92710104899823664</v>
      </c>
      <c r="AE753" s="26">
        <f t="shared" si="438"/>
        <v>2.6571285285787475E-3</v>
      </c>
      <c r="AF753" s="26">
        <f t="shared" si="439"/>
        <v>-3.4116140018825662</v>
      </c>
      <c r="AG753" s="26">
        <f t="shared" si="440"/>
        <v>3.193446346831836E-2</v>
      </c>
      <c r="AH753" s="26">
        <f t="shared" si="441"/>
        <v>-2.4963387646844679</v>
      </c>
      <c r="AI753" s="26">
        <f t="shared" si="442"/>
        <v>7.6115245128891257E-2</v>
      </c>
      <c r="AJ753" s="26">
        <f t="shared" si="443"/>
        <v>-2.3959822200792416</v>
      </c>
      <c r="AK753" s="26">
        <f t="shared" si="444"/>
        <v>8.3479585838976578E-2</v>
      </c>
      <c r="AL753" s="26">
        <f t="shared" si="445"/>
        <v>3.4844206259235294E-3</v>
      </c>
      <c r="AM753" s="27">
        <f t="shared" si="446"/>
        <v>1.4798740794928236E-2</v>
      </c>
    </row>
    <row r="754" spans="1:39" ht="15" customHeight="1" x14ac:dyDescent="0.2">
      <c r="A754" s="24">
        <v>743</v>
      </c>
      <c r="B754" s="29">
        <f t="shared" si="447"/>
        <v>5.7091503535416956</v>
      </c>
      <c r="C754" s="29">
        <f t="shared" si="448"/>
        <v>-5.6447169867716438</v>
      </c>
      <c r="D754" s="29">
        <f t="shared" si="449"/>
        <v>-3.4758513825507604</v>
      </c>
      <c r="E754" s="29">
        <f t="shared" si="450"/>
        <v>-4.2987406670618435</v>
      </c>
      <c r="F754" s="29">
        <f t="shared" si="451"/>
        <v>3.9818849229630779</v>
      </c>
      <c r="G754" s="29">
        <f t="shared" si="452"/>
        <v>-2.1811832537740679</v>
      </c>
      <c r="H754" s="29">
        <f t="shared" si="453"/>
        <v>6.2100637147570028</v>
      </c>
      <c r="I754" s="29">
        <f t="shared" si="454"/>
        <v>6.272348692619004</v>
      </c>
      <c r="J754" s="29">
        <f t="shared" si="455"/>
        <v>-3.0734659143399297</v>
      </c>
      <c r="K754" s="26">
        <f t="shared" si="418"/>
        <v>-3.4758513825507604</v>
      </c>
      <c r="L754" s="26">
        <f t="shared" si="419"/>
        <v>3.0007197478537407E-2</v>
      </c>
      <c r="M754" s="26">
        <f t="shared" si="420"/>
        <v>-2.1811832537740679</v>
      </c>
      <c r="N754" s="26">
        <f t="shared" si="421"/>
        <v>0.10145301125228579</v>
      </c>
      <c r="O754" s="26">
        <f t="shared" si="422"/>
        <v>-2.2507706436063808</v>
      </c>
      <c r="P754" s="26">
        <f t="shared" si="423"/>
        <v>9.5283011491934175E-2</v>
      </c>
      <c r="Q754" s="26">
        <f t="shared" si="424"/>
        <v>4.5394261394860304E-3</v>
      </c>
      <c r="R754" s="26">
        <f t="shared" si="425"/>
        <v>-9.1205683693224042</v>
      </c>
      <c r="S754" s="26">
        <f t="shared" si="426"/>
        <v>1.0938051892421513E-4</v>
      </c>
      <c r="T754" s="26">
        <f t="shared" si="427"/>
        <v>1.8007016691890101</v>
      </c>
      <c r="U754" s="26">
        <f t="shared" si="428"/>
        <v>0.85823432736423355</v>
      </c>
      <c r="V754" s="26">
        <f t="shared" si="429"/>
        <v>2.3103583068555436</v>
      </c>
      <c r="W754" s="26">
        <f t="shared" si="430"/>
        <v>0.90973128387467761</v>
      </c>
      <c r="X754" s="26">
        <f t="shared" si="431"/>
        <v>4.0742205554570188E-3</v>
      </c>
      <c r="Y754" s="26">
        <f t="shared" si="432"/>
        <v>2.2332989709909352</v>
      </c>
      <c r="Z754" s="26">
        <f t="shared" si="433"/>
        <v>0.90320017070105263</v>
      </c>
      <c r="AA754" s="26">
        <f t="shared" si="434"/>
        <v>-6.4799239208359118</v>
      </c>
      <c r="AB754" s="26">
        <f t="shared" si="435"/>
        <v>1.5315780453074705E-3</v>
      </c>
      <c r="AC754" s="26">
        <f t="shared" si="436"/>
        <v>2.5450712844431367</v>
      </c>
      <c r="AD754" s="26">
        <f t="shared" si="437"/>
        <v>0.92724170055349719</v>
      </c>
      <c r="AE754" s="26">
        <f t="shared" si="438"/>
        <v>2.6468850691734854E-3</v>
      </c>
      <c r="AF754" s="26">
        <f t="shared" si="439"/>
        <v>-3.4114180157807086</v>
      </c>
      <c r="AG754" s="26">
        <f t="shared" si="440"/>
        <v>3.194052286658583E-2</v>
      </c>
      <c r="AH754" s="26">
        <f t="shared" si="441"/>
        <v>-2.4980389978728335</v>
      </c>
      <c r="AI754" s="26">
        <f t="shared" si="442"/>
        <v>7.5995767952219281E-2</v>
      </c>
      <c r="AJ754" s="26">
        <f t="shared" si="443"/>
        <v>-2.398441276496099</v>
      </c>
      <c r="AK754" s="26">
        <f t="shared" si="444"/>
        <v>8.3291634205186482E-2</v>
      </c>
      <c r="AL754" s="26">
        <f t="shared" si="445"/>
        <v>3.4687481642852952E-3</v>
      </c>
      <c r="AM754" s="27">
        <f t="shared" si="446"/>
        <v>1.4729279928401829E-2</v>
      </c>
    </row>
    <row r="755" spans="1:39" ht="15" customHeight="1" x14ac:dyDescent="0.2">
      <c r="A755" s="24">
        <v>744</v>
      </c>
      <c r="B755" s="29">
        <f t="shared" si="447"/>
        <v>5.7105942842897024</v>
      </c>
      <c r="C755" s="29">
        <f t="shared" si="448"/>
        <v>-5.6459331162847679</v>
      </c>
      <c r="D755" s="29">
        <f t="shared" si="449"/>
        <v>-3.4758870999484102</v>
      </c>
      <c r="E755" s="29">
        <f t="shared" si="450"/>
        <v>-4.3014946772918359</v>
      </c>
      <c r="F755" s="29">
        <f t="shared" si="451"/>
        <v>3.9847409425373881</v>
      </c>
      <c r="G755" s="29">
        <f t="shared" si="452"/>
        <v>-2.18297670874923</v>
      </c>
      <c r="H755" s="29">
        <f t="shared" si="453"/>
        <v>6.2140483741674135</v>
      </c>
      <c r="I755" s="29">
        <f t="shared" si="454"/>
        <v>6.2774015874948885</v>
      </c>
      <c r="J755" s="29">
        <f t="shared" si="455"/>
        <v>-3.075717870936113</v>
      </c>
      <c r="K755" s="26">
        <f t="shared" si="418"/>
        <v>-3.4758870999484102</v>
      </c>
      <c r="L755" s="26">
        <f t="shared" si="419"/>
        <v>3.0006157878068762E-2</v>
      </c>
      <c r="M755" s="26">
        <f t="shared" si="420"/>
        <v>-2.18297670874923</v>
      </c>
      <c r="N755" s="26">
        <f t="shared" si="421"/>
        <v>0.10128963618311315</v>
      </c>
      <c r="O755" s="26">
        <f t="shared" si="422"/>
        <v>-2.2534224313862348</v>
      </c>
      <c r="P755" s="26">
        <f t="shared" si="423"/>
        <v>9.505466156030086E-2</v>
      </c>
      <c r="Q755" s="26">
        <f t="shared" si="424"/>
        <v>4.5176943421716687E-3</v>
      </c>
      <c r="R755" s="26">
        <f t="shared" si="425"/>
        <v>-9.1218202162331785</v>
      </c>
      <c r="S755" s="26">
        <f t="shared" si="426"/>
        <v>1.0924369187911015E-4</v>
      </c>
      <c r="T755" s="26">
        <f t="shared" si="427"/>
        <v>1.8017642337881581</v>
      </c>
      <c r="U755" s="26">
        <f t="shared" si="428"/>
        <v>0.85836355844741208</v>
      </c>
      <c r="V755" s="26">
        <f t="shared" si="429"/>
        <v>2.3132537390953423</v>
      </c>
      <c r="W755" s="26">
        <f t="shared" si="430"/>
        <v>0.90996877565240408</v>
      </c>
      <c r="X755" s="26">
        <f t="shared" si="431"/>
        <v>4.0528106787635736E-3</v>
      </c>
      <c r="Y755" s="26">
        <f t="shared" si="432"/>
        <v>2.2347071843412922</v>
      </c>
      <c r="Z755" s="26">
        <f t="shared" si="433"/>
        <v>0.90332322037551926</v>
      </c>
      <c r="AA755" s="26">
        <f t="shared" si="434"/>
        <v>-6.4844713860410659</v>
      </c>
      <c r="AB755" s="26">
        <f t="shared" si="435"/>
        <v>1.5246396542472689E-3</v>
      </c>
      <c r="AC755" s="26">
        <f t="shared" si="436"/>
        <v>2.5471470933719842</v>
      </c>
      <c r="AD755" s="26">
        <f t="shared" si="437"/>
        <v>0.92738161988501655</v>
      </c>
      <c r="AE755" s="26">
        <f t="shared" si="438"/>
        <v>2.6367145652621119E-3</v>
      </c>
      <c r="AF755" s="26">
        <f t="shared" si="439"/>
        <v>-3.4112259319434757</v>
      </c>
      <c r="AG755" s="26">
        <f t="shared" si="440"/>
        <v>3.1946462695438493E-2</v>
      </c>
      <c r="AH755" s="26">
        <f t="shared" si="441"/>
        <v>-2.4997304435036778</v>
      </c>
      <c r="AI755" s="26">
        <f t="shared" si="442"/>
        <v>7.5877079094074637E-2</v>
      </c>
      <c r="AJ755" s="26">
        <f t="shared" si="443"/>
        <v>-2.4008901096035045</v>
      </c>
      <c r="AK755" s="26">
        <f t="shared" si="444"/>
        <v>8.3104846365320326E-2</v>
      </c>
      <c r="AL755" s="26">
        <f t="shared" si="445"/>
        <v>3.4532077447017476E-3</v>
      </c>
      <c r="AM755" s="27">
        <f t="shared" si="446"/>
        <v>1.4660427330899102E-2</v>
      </c>
    </row>
    <row r="756" spans="1:39" ht="15" customHeight="1" x14ac:dyDescent="0.2">
      <c r="A756" s="24">
        <v>745</v>
      </c>
      <c r="B756" s="29">
        <f t="shared" si="447"/>
        <v>5.7120312872160266</v>
      </c>
      <c r="C756" s="29">
        <f t="shared" si="448"/>
        <v>-5.6471450497497351</v>
      </c>
      <c r="D756" s="29">
        <f t="shared" si="449"/>
        <v>-3.475923937290859</v>
      </c>
      <c r="E756" s="29">
        <f t="shared" si="450"/>
        <v>-4.3042353002284948</v>
      </c>
      <c r="F756" s="29">
        <f t="shared" si="451"/>
        <v>3.9875826856587699</v>
      </c>
      <c r="G756" s="29">
        <f t="shared" si="452"/>
        <v>-2.1847605650821165</v>
      </c>
      <c r="H756" s="29">
        <f t="shared" si="453"/>
        <v>6.2180192192072958</v>
      </c>
      <c r="I756" s="29">
        <f t="shared" si="454"/>
        <v>6.2824315286396706</v>
      </c>
      <c r="J756" s="29">
        <f t="shared" si="455"/>
        <v>-3.0779605191061967</v>
      </c>
      <c r="K756" s="26">
        <f t="shared" si="418"/>
        <v>-3.475923937290859</v>
      </c>
      <c r="L756" s="26">
        <f t="shared" si="419"/>
        <v>3.0005085716738222E-2</v>
      </c>
      <c r="M756" s="26">
        <f t="shared" si="420"/>
        <v>-2.1847605650821165</v>
      </c>
      <c r="N756" s="26">
        <f t="shared" si="421"/>
        <v>0.10112736711506465</v>
      </c>
      <c r="O756" s="26">
        <f t="shared" si="422"/>
        <v>-2.2560625598735555</v>
      </c>
      <c r="P756" s="26">
        <f t="shared" si="423"/>
        <v>9.482780229628647E-2</v>
      </c>
      <c r="Q756" s="26">
        <f t="shared" si="424"/>
        <v>4.4961560441717967E-3</v>
      </c>
      <c r="R756" s="26">
        <f t="shared" si="425"/>
        <v>-9.1230689870405932</v>
      </c>
      <c r="S756" s="26">
        <f t="shared" si="426"/>
        <v>1.0910737156439119E-4</v>
      </c>
      <c r="T756" s="26">
        <f t="shared" si="427"/>
        <v>1.8028221205766535</v>
      </c>
      <c r="U756" s="26">
        <f t="shared" si="428"/>
        <v>0.85849212287431342</v>
      </c>
      <c r="V756" s="26">
        <f t="shared" si="429"/>
        <v>2.3161358924615372</v>
      </c>
      <c r="W756" s="26">
        <f t="shared" si="430"/>
        <v>0.91020461897079341</v>
      </c>
      <c r="X756" s="26">
        <f t="shared" si="431"/>
        <v>4.0316052270901971E-3</v>
      </c>
      <c r="Y756" s="26">
        <f t="shared" si="432"/>
        <v>2.2361073499251676</v>
      </c>
      <c r="Z756" s="26">
        <f t="shared" si="433"/>
        <v>0.90344542833473274</v>
      </c>
      <c r="AA756" s="26">
        <f t="shared" si="434"/>
        <v>-6.4889958653106117</v>
      </c>
      <c r="AB756" s="26">
        <f t="shared" si="435"/>
        <v>1.5177674818266421E-3</v>
      </c>
      <c r="AC756" s="26">
        <f t="shared" si="436"/>
        <v>2.5492157880651107</v>
      </c>
      <c r="AD756" s="26">
        <f t="shared" si="437"/>
        <v>0.92752081291445532</v>
      </c>
      <c r="AE756" s="26">
        <f t="shared" si="438"/>
        <v>2.6266162802906935E-3</v>
      </c>
      <c r="AF756" s="26">
        <f t="shared" si="439"/>
        <v>-3.4110376998245675</v>
      </c>
      <c r="AG756" s="26">
        <f t="shared" si="440"/>
        <v>3.1952284453425635E-2</v>
      </c>
      <c r="AH756" s="26">
        <f t="shared" si="441"/>
        <v>-2.5014131796518413</v>
      </c>
      <c r="AI756" s="26">
        <f t="shared" si="442"/>
        <v>7.5759170237315793E-2</v>
      </c>
      <c r="AJ756" s="26">
        <f t="shared" si="443"/>
        <v>-2.4033288005947249</v>
      </c>
      <c r="AK756" s="26">
        <f t="shared" si="444"/>
        <v>8.291921076211764E-2</v>
      </c>
      <c r="AL756" s="26">
        <f t="shared" si="445"/>
        <v>3.4377977567062431E-3</v>
      </c>
      <c r="AM756" s="27">
        <f t="shared" si="446"/>
        <v>1.4592175308258931E-2</v>
      </c>
    </row>
    <row r="757" spans="1:39" ht="15" customHeight="1" x14ac:dyDescent="0.2">
      <c r="A757" s="24">
        <v>746</v>
      </c>
      <c r="B757" s="29">
        <f t="shared" si="447"/>
        <v>5.713461422567967</v>
      </c>
      <c r="C757" s="29">
        <f t="shared" si="448"/>
        <v>-5.6483528138237293</v>
      </c>
      <c r="D757" s="29">
        <f t="shared" si="449"/>
        <v>-3.475961878368496</v>
      </c>
      <c r="E757" s="29">
        <f t="shared" si="450"/>
        <v>-4.3069626521565212</v>
      </c>
      <c r="F757" s="29">
        <f t="shared" si="451"/>
        <v>3.9904102810967976</v>
      </c>
      <c r="G757" s="29">
        <f t="shared" si="452"/>
        <v>-2.1865349123694657</v>
      </c>
      <c r="H757" s="29">
        <f t="shared" si="453"/>
        <v>6.2219763385327269</v>
      </c>
      <c r="I757" s="29">
        <f t="shared" si="454"/>
        <v>6.2874387117010135</v>
      </c>
      <c r="J757" s="29">
        <f t="shared" si="455"/>
        <v>-3.0801939326274135</v>
      </c>
      <c r="K757" s="26">
        <f t="shared" si="418"/>
        <v>-3.475961878368496</v>
      </c>
      <c r="L757" s="26">
        <f t="shared" si="419"/>
        <v>3.0003981469691035E-2</v>
      </c>
      <c r="M757" s="26">
        <f t="shared" si="420"/>
        <v>-2.1865349123694657</v>
      </c>
      <c r="N757" s="26">
        <f t="shared" si="421"/>
        <v>0.10096619195386018</v>
      </c>
      <c r="O757" s="26">
        <f t="shared" si="422"/>
        <v>-2.2586911259974856</v>
      </c>
      <c r="P757" s="26">
        <f t="shared" si="423"/>
        <v>9.4602418203264538E-2</v>
      </c>
      <c r="Q757" s="26">
        <f t="shared" si="424"/>
        <v>4.4748087649526787E-3</v>
      </c>
      <c r="R757" s="26">
        <f t="shared" si="425"/>
        <v>-9.1243146921922254</v>
      </c>
      <c r="S757" s="26">
        <f t="shared" si="426"/>
        <v>1.0897155537151697E-4</v>
      </c>
      <c r="T757" s="26">
        <f t="shared" si="427"/>
        <v>1.8038753687273319</v>
      </c>
      <c r="U757" s="26">
        <f t="shared" si="428"/>
        <v>0.8586200267325117</v>
      </c>
      <c r="V757" s="26">
        <f t="shared" si="429"/>
        <v>2.3190048805314345</v>
      </c>
      <c r="W757" s="26">
        <f t="shared" si="430"/>
        <v>0.91043883179389706</v>
      </c>
      <c r="X757" s="26">
        <f t="shared" si="431"/>
        <v>4.0106014252209322E-3</v>
      </c>
      <c r="Y757" s="26">
        <f t="shared" si="432"/>
        <v>2.2374995441994709</v>
      </c>
      <c r="Z757" s="26">
        <f t="shared" si="433"/>
        <v>0.90356680373517317</v>
      </c>
      <c r="AA757" s="26">
        <f t="shared" si="434"/>
        <v>-6.4934975645259865</v>
      </c>
      <c r="AB757" s="26">
        <f t="shared" si="435"/>
        <v>1.5109606055823009E-3</v>
      </c>
      <c r="AC757" s="26">
        <f t="shared" si="436"/>
        <v>2.5512774126998718</v>
      </c>
      <c r="AD757" s="26">
        <f t="shared" si="437"/>
        <v>0.92765928550135479</v>
      </c>
      <c r="AE757" s="26">
        <f t="shared" si="438"/>
        <v>2.6165894870872485E-3</v>
      </c>
      <c r="AF757" s="26">
        <f t="shared" si="439"/>
        <v>-3.4108532696242584</v>
      </c>
      <c r="AG757" s="26">
        <f t="shared" si="440"/>
        <v>3.1957989618380554E-2</v>
      </c>
      <c r="AH757" s="26">
        <f t="shared" si="441"/>
        <v>-2.5030872834291893</v>
      </c>
      <c r="AI757" s="26">
        <f t="shared" si="442"/>
        <v>7.5642033183124874E-2</v>
      </c>
      <c r="AJ757" s="26">
        <f t="shared" si="443"/>
        <v>-2.4057574297274229</v>
      </c>
      <c r="AK757" s="26">
        <f t="shared" si="444"/>
        <v>8.2734715994577157E-2</v>
      </c>
      <c r="AL757" s="26">
        <f t="shared" si="445"/>
        <v>3.4225166153516707E-3</v>
      </c>
      <c r="AM757" s="27">
        <f t="shared" si="446"/>
        <v>1.4524516292612531E-2</v>
      </c>
    </row>
    <row r="758" spans="1:39" ht="15" customHeight="1" x14ac:dyDescent="0.2">
      <c r="A758" s="24">
        <v>747</v>
      </c>
      <c r="B758" s="29">
        <f t="shared" si="447"/>
        <v>5.7148847498598485</v>
      </c>
      <c r="C758" s="29">
        <f t="shared" si="448"/>
        <v>-5.649556434922852</v>
      </c>
      <c r="D758" s="29">
        <f t="shared" si="449"/>
        <v>-3.4760009072137144</v>
      </c>
      <c r="E758" s="29">
        <f t="shared" si="450"/>
        <v>-4.3096768479329812</v>
      </c>
      <c r="F758" s="29">
        <f t="shared" si="451"/>
        <v>3.9932238559709279</v>
      </c>
      <c r="G758" s="29">
        <f t="shared" si="452"/>
        <v>-2.1882998390375867</v>
      </c>
      <c r="H758" s="29">
        <f t="shared" si="453"/>
        <v>6.2259198200077481</v>
      </c>
      <c r="I758" s="29">
        <f t="shared" si="454"/>
        <v>6.292423329931518</v>
      </c>
      <c r="J758" s="29">
        <f t="shared" si="455"/>
        <v>-3.0824181844265617</v>
      </c>
      <c r="K758" s="26">
        <f t="shared" si="418"/>
        <v>-3.4760009072137144</v>
      </c>
      <c r="L758" s="26">
        <f t="shared" si="419"/>
        <v>3.0002845605062931E-2</v>
      </c>
      <c r="M758" s="26">
        <f t="shared" si="420"/>
        <v>-2.1882998390375867</v>
      </c>
      <c r="N758" s="26">
        <f t="shared" si="421"/>
        <v>0.10080609878461752</v>
      </c>
      <c r="O758" s="26">
        <f t="shared" si="422"/>
        <v>-2.2613082255256596</v>
      </c>
      <c r="P758" s="26">
        <f t="shared" si="423"/>
        <v>9.4378494002767169E-2</v>
      </c>
      <c r="Q758" s="26">
        <f t="shared" si="424"/>
        <v>4.4536500651151788E-3</v>
      </c>
      <c r="R758" s="26">
        <f t="shared" si="425"/>
        <v>-9.1255573421365668</v>
      </c>
      <c r="S758" s="26">
        <f t="shared" si="426"/>
        <v>1.0883624070399029E-4</v>
      </c>
      <c r="T758" s="26">
        <f t="shared" si="427"/>
        <v>1.8049240169333411</v>
      </c>
      <c r="U758" s="26">
        <f t="shared" si="428"/>
        <v>0.85874727603039358</v>
      </c>
      <c r="V758" s="26">
        <f t="shared" si="429"/>
        <v>2.3218608154903615</v>
      </c>
      <c r="W758" s="26">
        <f t="shared" si="430"/>
        <v>0.91067143182276955</v>
      </c>
      <c r="X758" s="26">
        <f t="shared" si="431"/>
        <v>3.9897965462970539E-3</v>
      </c>
      <c r="Y758" s="26">
        <f t="shared" si="432"/>
        <v>2.2388838426461342</v>
      </c>
      <c r="Z758" s="26">
        <f t="shared" si="433"/>
        <v>0.90368735560112634</v>
      </c>
      <c r="AA758" s="26">
        <f t="shared" si="434"/>
        <v>-6.497976686970568</v>
      </c>
      <c r="AB758" s="26">
        <f t="shared" si="435"/>
        <v>1.5042181197170933E-3</v>
      </c>
      <c r="AC758" s="26">
        <f t="shared" si="436"/>
        <v>2.5533320110906939</v>
      </c>
      <c r="AD758" s="26">
        <f t="shared" si="437"/>
        <v>0.92779704344388769</v>
      </c>
      <c r="AE758" s="26">
        <f t="shared" si="438"/>
        <v>2.6066334677219208E-3</v>
      </c>
      <c r="AF758" s="26">
        <f t="shared" si="439"/>
        <v>-3.4106725922767178</v>
      </c>
      <c r="AG758" s="26">
        <f t="shared" si="440"/>
        <v>3.1963579647738861E-2</v>
      </c>
      <c r="AH758" s="26">
        <f t="shared" si="441"/>
        <v>-2.5047528309996401</v>
      </c>
      <c r="AI758" s="26">
        <f t="shared" si="442"/>
        <v>7.5525659848910062E-2</v>
      </c>
      <c r="AJ758" s="26">
        <f t="shared" si="443"/>
        <v>-2.4081760763375542</v>
      </c>
      <c r="AK758" s="26">
        <f t="shared" si="444"/>
        <v>8.2551350815309274E-2</v>
      </c>
      <c r="AL758" s="26">
        <f t="shared" si="445"/>
        <v>3.4073627607161317E-3</v>
      </c>
      <c r="AM758" s="27">
        <f t="shared" si="446"/>
        <v>1.4457442839850286E-2</v>
      </c>
    </row>
    <row r="759" spans="1:39" ht="15" customHeight="1" x14ac:dyDescent="0.2">
      <c r="A759" s="24">
        <v>748</v>
      </c>
      <c r="B759" s="29">
        <f t="shared" si="447"/>
        <v>5.716301327884219</v>
      </c>
      <c r="C759" s="29">
        <f t="shared" si="448"/>
        <v>-5.6507559392249052</v>
      </c>
      <c r="D759" s="29">
        <f t="shared" si="449"/>
        <v>-3.476041008096896</v>
      </c>
      <c r="E759" s="29">
        <f t="shared" si="450"/>
        <v>-4.3123780010096899</v>
      </c>
      <c r="F759" s="29">
        <f t="shared" si="451"/>
        <v>3.9960235357775873</v>
      </c>
      <c r="G759" s="29">
        <f t="shared" si="452"/>
        <v>-2.1900554323618104</v>
      </c>
      <c r="H759" s="29">
        <f t="shared" si="453"/>
        <v>6.2298497507129174</v>
      </c>
      <c r="I759" s="29">
        <f t="shared" si="454"/>
        <v>6.297385574226424</v>
      </c>
      <c r="J759" s="29">
        <f t="shared" si="455"/>
        <v>-3.0846333465926885</v>
      </c>
      <c r="K759" s="26">
        <f t="shared" si="418"/>
        <v>-3.476041008096896</v>
      </c>
      <c r="L759" s="26">
        <f t="shared" si="419"/>
        <v>3.0001678584093427E-2</v>
      </c>
      <c r="M759" s="26">
        <f t="shared" si="420"/>
        <v>-2.1900554323618104</v>
      </c>
      <c r="N759" s="26">
        <f t="shared" si="421"/>
        <v>0.1006470758685231</v>
      </c>
      <c r="O759" s="26">
        <f t="shared" si="422"/>
        <v>-2.2639139530820951</v>
      </c>
      <c r="P759" s="26">
        <f t="shared" si="423"/>
        <v>9.4156014630650139E-2</v>
      </c>
      <c r="Q759" s="26">
        <f t="shared" si="424"/>
        <v>4.4326775455636016E-3</v>
      </c>
      <c r="R759" s="26">
        <f t="shared" si="425"/>
        <v>-9.1267969473218002</v>
      </c>
      <c r="S759" s="26">
        <f t="shared" si="426"/>
        <v>1.0870142497741317E-4</v>
      </c>
      <c r="T759" s="26">
        <f t="shared" si="427"/>
        <v>1.8059681034157768</v>
      </c>
      <c r="U759" s="26">
        <f t="shared" si="428"/>
        <v>0.85887387669848325</v>
      </c>
      <c r="V759" s="26">
        <f t="shared" si="429"/>
        <v>2.3247038081535618</v>
      </c>
      <c r="W759" s="26">
        <f t="shared" si="430"/>
        <v>0.91090243650025426</v>
      </c>
      <c r="X759" s="26">
        <f t="shared" si="431"/>
        <v>3.9691879107956116E-3</v>
      </c>
      <c r="Y759" s="26">
        <f t="shared" si="432"/>
        <v>2.240260319787323</v>
      </c>
      <c r="Z759" s="26">
        <f t="shared" si="433"/>
        <v>0.90380709282701843</v>
      </c>
      <c r="AA759" s="26">
        <f t="shared" si="434"/>
        <v>-6.5024334333715004</v>
      </c>
      <c r="AB759" s="26">
        <f t="shared" si="435"/>
        <v>1.4975391347327258E-3</v>
      </c>
      <c r="AC759" s="26">
        <f t="shared" si="436"/>
        <v>2.5553796266921842</v>
      </c>
      <c r="AD759" s="26">
        <f t="shared" si="437"/>
        <v>0.92793409247960201</v>
      </c>
      <c r="AE759" s="26">
        <f t="shared" si="438"/>
        <v>2.5967475133692776E-3</v>
      </c>
      <c r="AF759" s="26">
        <f t="shared" si="439"/>
        <v>-3.4104956194375822</v>
      </c>
      <c r="AG759" s="26">
        <f t="shared" si="440"/>
        <v>3.1969055978851239E-2</v>
      </c>
      <c r="AH759" s="26">
        <f t="shared" si="441"/>
        <v>-2.5064098975939131</v>
      </c>
      <c r="AI759" s="26">
        <f t="shared" si="442"/>
        <v>7.5410042266252142E-2</v>
      </c>
      <c r="AJ759" s="26">
        <f t="shared" si="443"/>
        <v>-2.4105848188530139</v>
      </c>
      <c r="AK759" s="26">
        <f t="shared" si="444"/>
        <v>8.236910412794228E-2</v>
      </c>
      <c r="AL759" s="26">
        <f t="shared" si="445"/>
        <v>3.3923346574198988E-3</v>
      </c>
      <c r="AM759" s="27">
        <f t="shared" si="446"/>
        <v>1.4390947627148388E-2</v>
      </c>
    </row>
    <row r="760" spans="1:39" ht="15" customHeight="1" x14ac:dyDescent="0.2">
      <c r="A760" s="24">
        <v>749</v>
      </c>
      <c r="B760" s="29">
        <f t="shared" si="447"/>
        <v>5.7177112147228488</v>
      </c>
      <c r="C760" s="29">
        <f t="shared" si="448"/>
        <v>-5.6519513526721319</v>
      </c>
      <c r="D760" s="29">
        <f t="shared" si="449"/>
        <v>-3.4760821655224663</v>
      </c>
      <c r="E760" s="29">
        <f t="shared" si="450"/>
        <v>-4.3150662234551769</v>
      </c>
      <c r="F760" s="29">
        <f t="shared" si="451"/>
        <v>3.9988094444167239</v>
      </c>
      <c r="G760" s="29">
        <f t="shared" si="452"/>
        <v>-2.1918017784855484</v>
      </c>
      <c r="H760" s="29">
        <f t="shared" si="453"/>
        <v>6.2337662169537609</v>
      </c>
      <c r="I760" s="29">
        <f t="shared" si="454"/>
        <v>6.3023256331605992</v>
      </c>
      <c r="J760" s="29">
        <f t="shared" si="455"/>
        <v>-3.0868394903895457</v>
      </c>
      <c r="K760" s="26">
        <f t="shared" si="418"/>
        <v>-3.4760821655224663</v>
      </c>
      <c r="L760" s="26">
        <f t="shared" si="419"/>
        <v>3.0000480861237241E-2</v>
      </c>
      <c r="M760" s="26">
        <f t="shared" si="420"/>
        <v>-2.1918017784855484</v>
      </c>
      <c r="N760" s="26">
        <f t="shared" si="421"/>
        <v>0.10048911163957722</v>
      </c>
      <c r="O760" s="26">
        <f t="shared" si="422"/>
        <v>-2.2665084021647526</v>
      </c>
      <c r="P760" s="26">
        <f t="shared" si="423"/>
        <v>9.3934965233338164E-2</v>
      </c>
      <c r="Q760" s="26">
        <f t="shared" si="424"/>
        <v>4.4118888466942244E-3</v>
      </c>
      <c r="R760" s="26">
        <f t="shared" si="425"/>
        <v>-9.1280335181945986</v>
      </c>
      <c r="S760" s="26">
        <f t="shared" si="426"/>
        <v>1.0856710561953931E-4</v>
      </c>
      <c r="T760" s="26">
        <f t="shared" si="427"/>
        <v>1.8070076659311756</v>
      </c>
      <c r="U760" s="26">
        <f t="shared" si="428"/>
        <v>0.85899983459073925</v>
      </c>
      <c r="V760" s="26">
        <f t="shared" si="429"/>
        <v>2.327533967987669</v>
      </c>
      <c r="W760" s="26">
        <f t="shared" si="430"/>
        <v>0.91113186301566629</v>
      </c>
      <c r="X760" s="26">
        <f t="shared" si="431"/>
        <v>3.9487728855331508E-3</v>
      </c>
      <c r="Y760" s="26">
        <f t="shared" si="432"/>
        <v>2.2416290492003825</v>
      </c>
      <c r="Z760" s="26">
        <f t="shared" si="433"/>
        <v>0.90392602417970513</v>
      </c>
      <c r="AA760" s="26">
        <f t="shared" si="434"/>
        <v>-6.5068680019407257</v>
      </c>
      <c r="AB760" s="26">
        <f t="shared" si="435"/>
        <v>1.4909227770719645E-3</v>
      </c>
      <c r="AC760" s="26">
        <f t="shared" si="436"/>
        <v>2.5574203026022322</v>
      </c>
      <c r="AD760" s="26">
        <f t="shared" si="437"/>
        <v>0.92807043828615254</v>
      </c>
      <c r="AE760" s="26">
        <f t="shared" si="438"/>
        <v>2.5869309241730947E-3</v>
      </c>
      <c r="AF760" s="26">
        <f t="shared" si="439"/>
        <v>-3.4103223034717494</v>
      </c>
      <c r="AG760" s="26">
        <f t="shared" si="440"/>
        <v>3.1974420029291468E-2</v>
      </c>
      <c r="AH760" s="26">
        <f t="shared" si="441"/>
        <v>-2.5080585575240013</v>
      </c>
      <c r="AI760" s="26">
        <f t="shared" si="442"/>
        <v>7.5295172578894315E-2</v>
      </c>
      <c r="AJ760" s="26">
        <f t="shared" si="443"/>
        <v>-2.4129837348070424</v>
      </c>
      <c r="AK760" s="26">
        <f t="shared" si="444"/>
        <v>8.2187964984580364E-2</v>
      </c>
      <c r="AL760" s="26">
        <f t="shared" si="445"/>
        <v>3.3774307941533042E-3</v>
      </c>
      <c r="AM760" s="27">
        <f t="shared" si="446"/>
        <v>1.4325023450553774E-2</v>
      </c>
    </row>
    <row r="761" spans="1:39" ht="15" customHeight="1" x14ac:dyDescent="0.2">
      <c r="A761" s="24">
        <v>750</v>
      </c>
      <c r="B761" s="29">
        <f t="shared" si="447"/>
        <v>5.7191144677575263</v>
      </c>
      <c r="C761" s="29">
        <f t="shared" si="448"/>
        <v>-5.6531427009739224</v>
      </c>
      <c r="D761" s="29">
        <f t="shared" si="449"/>
        <v>-3.4761243642250235</v>
      </c>
      <c r="E761" s="29">
        <f t="shared" si="450"/>
        <v>-4.3177416259762333</v>
      </c>
      <c r="F761" s="29">
        <f t="shared" si="451"/>
        <v>4.0015817042178341</v>
      </c>
      <c r="G761" s="29">
        <f t="shared" si="452"/>
        <v>-2.1935389624389736</v>
      </c>
      <c r="H761" s="29">
        <f t="shared" si="453"/>
        <v>6.237669304269132</v>
      </c>
      <c r="I761" s="29">
        <f t="shared" si="454"/>
        <v>6.3072436930248212</v>
      </c>
      <c r="J761" s="29">
        <f t="shared" si="455"/>
        <v>-3.0890366862678205</v>
      </c>
      <c r="K761" s="26">
        <f t="shared" si="418"/>
        <v>-3.4761243642250235</v>
      </c>
      <c r="L761" s="26">
        <f t="shared" si="419"/>
        <v>2.9999252884273724E-2</v>
      </c>
      <c r="M761" s="26">
        <f t="shared" si="420"/>
        <v>-2.1935389624389736</v>
      </c>
      <c r="N761" s="26">
        <f t="shared" si="421"/>
        <v>0.10033219470141065</v>
      </c>
      <c r="O761" s="26">
        <f t="shared" si="422"/>
        <v>-2.2690916651627684</v>
      </c>
      <c r="P761" s="26">
        <f t="shared" si="423"/>
        <v>9.3715331164148347E-2</v>
      </c>
      <c r="Q761" s="26">
        <f t="shared" si="424"/>
        <v>4.3912816476029968E-3</v>
      </c>
      <c r="R761" s="26">
        <f t="shared" si="425"/>
        <v>-9.1292670651989454</v>
      </c>
      <c r="S761" s="26">
        <f t="shared" si="426"/>
        <v>1.0843328007032373E-4</v>
      </c>
      <c r="T761" s="26">
        <f t="shared" si="427"/>
        <v>1.8080427417788605</v>
      </c>
      <c r="U761" s="26">
        <f t="shared" si="428"/>
        <v>0.85912515548582635</v>
      </c>
      <c r="V761" s="26">
        <f t="shared" si="429"/>
        <v>2.3303514031317825</v>
      </c>
      <c r="W761" s="26">
        <f t="shared" si="430"/>
        <v>0.91135972830937573</v>
      </c>
      <c r="X761" s="26">
        <f t="shared" si="431"/>
        <v>3.9285488826938438E-3</v>
      </c>
      <c r="Y761" s="26">
        <f t="shared" si="432"/>
        <v>2.2429901035325028</v>
      </c>
      <c r="Z761" s="26">
        <f t="shared" si="433"/>
        <v>0.90404415830071194</v>
      </c>
      <c r="AA761" s="26">
        <f t="shared" si="434"/>
        <v>-6.5112805884152074</v>
      </c>
      <c r="AB761" s="26">
        <f t="shared" si="435"/>
        <v>1.4843681887700814E-3</v>
      </c>
      <c r="AC761" s="26">
        <f t="shared" si="436"/>
        <v>2.5594540815651019</v>
      </c>
      <c r="AD761" s="26">
        <f t="shared" si="437"/>
        <v>0.92820608648202663</v>
      </c>
      <c r="AE761" s="26">
        <f t="shared" si="438"/>
        <v>2.5771830091131198E-3</v>
      </c>
      <c r="AF761" s="26">
        <f t="shared" si="439"/>
        <v>-3.4101525974414195</v>
      </c>
      <c r="AG761" s="26">
        <f t="shared" si="440"/>
        <v>3.197967319715897E-2</v>
      </c>
      <c r="AH761" s="26">
        <f t="shared" si="441"/>
        <v>-2.5096988841973729</v>
      </c>
      <c r="AI761" s="26">
        <f t="shared" si="442"/>
        <v>7.518104304077404E-2</v>
      </c>
      <c r="AJ761" s="26">
        <f t="shared" si="443"/>
        <v>-2.415372900851394</v>
      </c>
      <c r="AK761" s="26">
        <f t="shared" si="444"/>
        <v>8.2007922583312548E-2</v>
      </c>
      <c r="AL761" s="26">
        <f t="shared" si="445"/>
        <v>3.3626496832152922E-3</v>
      </c>
      <c r="AM761" s="27">
        <f t="shared" si="446"/>
        <v>1.4259663222625254E-2</v>
      </c>
    </row>
    <row r="762" spans="1:39" ht="15" customHeight="1" x14ac:dyDescent="0.2">
      <c r="A762" s="24">
        <v>751</v>
      </c>
      <c r="B762" s="29">
        <f t="shared" si="447"/>
        <v>5.7205111436806639</v>
      </c>
      <c r="C762" s="29">
        <f t="shared" si="448"/>
        <v>-5.6543300096094802</v>
      </c>
      <c r="D762" s="29">
        <f t="shared" si="449"/>
        <v>-3.4761675891655353</v>
      </c>
      <c r="E762" s="29">
        <f t="shared" si="450"/>
        <v>-4.3204043179390581</v>
      </c>
      <c r="F762" s="29">
        <f t="shared" si="451"/>
        <v>4.0043404359654753</v>
      </c>
      <c r="G762" s="29">
        <f t="shared" si="452"/>
        <v>-2.1952670681573299</v>
      </c>
      <c r="H762" s="29">
        <f t="shared" si="453"/>
        <v>6.2415590974394712</v>
      </c>
      <c r="I762" s="29">
        <f t="shared" si="454"/>
        <v>6.3121399378613772</v>
      </c>
      <c r="J762" s="29">
        <f t="shared" si="455"/>
        <v>-3.0912250038771472</v>
      </c>
      <c r="K762" s="26">
        <f t="shared" si="418"/>
        <v>-3.4761675891655353</v>
      </c>
      <c r="L762" s="26">
        <f t="shared" si="419"/>
        <v>2.9997995094414392E-2</v>
      </c>
      <c r="M762" s="26">
        <f t="shared" si="420"/>
        <v>-2.1952670681573299</v>
      </c>
      <c r="N762" s="26">
        <f t="shared" si="421"/>
        <v>0.10017631382417118</v>
      </c>
      <c r="O762" s="26">
        <f t="shared" si="422"/>
        <v>-2.271663833373375</v>
      </c>
      <c r="P762" s="26">
        <f t="shared" si="423"/>
        <v>9.3497097979689581E-2</v>
      </c>
      <c r="Q762" s="26">
        <f t="shared" si="424"/>
        <v>4.3708536653118369E-3</v>
      </c>
      <c r="R762" s="26">
        <f t="shared" si="425"/>
        <v>-9.1304975987750154</v>
      </c>
      <c r="S762" s="26">
        <f t="shared" si="426"/>
        <v>1.0829994578196535E-4</v>
      </c>
      <c r="T762" s="26">
        <f t="shared" si="427"/>
        <v>1.8090733678081454</v>
      </c>
      <c r="U762" s="26">
        <f t="shared" si="428"/>
        <v>0.85924984508836155</v>
      </c>
      <c r="V762" s="26">
        <f t="shared" si="429"/>
        <v>2.3331562204181493</v>
      </c>
      <c r="W762" s="26">
        <f t="shared" si="430"/>
        <v>0.91158604907729202</v>
      </c>
      <c r="X762" s="26">
        <f t="shared" si="431"/>
        <v>3.9085133588815085E-3</v>
      </c>
      <c r="Y762" s="26">
        <f t="shared" si="432"/>
        <v>2.2443435545151287</v>
      </c>
      <c r="Z762" s="26">
        <f t="shared" si="433"/>
        <v>0.90416150370842951</v>
      </c>
      <c r="AA762" s="26">
        <f t="shared" si="434"/>
        <v>-6.515671386096388</v>
      </c>
      <c r="AB762" s="26">
        <f t="shared" si="435"/>
        <v>1.4778745271152374E-3</v>
      </c>
      <c r="AC762" s="26">
        <f t="shared" si="436"/>
        <v>2.561481005974505</v>
      </c>
      <c r="AD762" s="26">
        <f t="shared" si="437"/>
        <v>0.92834104262725914</v>
      </c>
      <c r="AE762" s="26">
        <f t="shared" si="438"/>
        <v>2.567503085874146E-3</v>
      </c>
      <c r="AF762" s="26">
        <f t="shared" si="439"/>
        <v>-3.4099864550943515</v>
      </c>
      <c r="AG762" s="26">
        <f t="shared" si="440"/>
        <v>3.1984816861376691E-2</v>
      </c>
      <c r="AH762" s="26">
        <f t="shared" si="441"/>
        <v>-2.5113309501309127</v>
      </c>
      <c r="AI762" s="26">
        <f t="shared" si="442"/>
        <v>7.5067646014095921E-2</v>
      </c>
      <c r="AJ762" s="26">
        <f t="shared" si="443"/>
        <v>-2.4177523927692706</v>
      </c>
      <c r="AK762" s="26">
        <f t="shared" si="444"/>
        <v>8.1828966265771574E-2</v>
      </c>
      <c r="AL762" s="26">
        <f t="shared" si="445"/>
        <v>3.3479898600623911E-3</v>
      </c>
      <c r="AM762" s="27">
        <f t="shared" si="446"/>
        <v>1.4194859970129883E-2</v>
      </c>
    </row>
    <row r="763" spans="1:39" ht="15" customHeight="1" x14ac:dyDescent="0.2">
      <c r="A763" s="24">
        <v>752</v>
      </c>
      <c r="B763" s="29">
        <f t="shared" si="447"/>
        <v>5.7219012985057143</v>
      </c>
      <c r="C763" s="29">
        <f t="shared" si="448"/>
        <v>-5.6555133038304515</v>
      </c>
      <c r="D763" s="29">
        <f t="shared" si="449"/>
        <v>-3.4762118255276051</v>
      </c>
      <c r="E763" s="29">
        <f t="shared" si="450"/>
        <v>-4.3230544073900061</v>
      </c>
      <c r="F763" s="29">
        <f t="shared" si="451"/>
        <v>4.0070857589242816</v>
      </c>
      <c r="G763" s="29">
        <f t="shared" si="452"/>
        <v>-2.1969861784988765</v>
      </c>
      <c r="H763" s="29">
        <f t="shared" si="453"/>
        <v>6.2454356804949711</v>
      </c>
      <c r="I763" s="29">
        <f t="shared" si="454"/>
        <v>6.3170145494989915</v>
      </c>
      <c r="J763" s="29">
        <f t="shared" si="455"/>
        <v>-3.0934045120779046</v>
      </c>
      <c r="K763" s="26">
        <f t="shared" si="418"/>
        <v>-3.4762118255276051</v>
      </c>
      <c r="L763" s="26">
        <f t="shared" si="419"/>
        <v>2.9996707926408631E-2</v>
      </c>
      <c r="M763" s="26">
        <f t="shared" si="420"/>
        <v>-2.1969861784988765</v>
      </c>
      <c r="N763" s="26">
        <f t="shared" si="421"/>
        <v>0.10002145794147856</v>
      </c>
      <c r="O763" s="26">
        <f t="shared" si="422"/>
        <v>-2.2742249970185044</v>
      </c>
      <c r="P763" s="26">
        <f t="shared" si="423"/>
        <v>9.3280251436336961E-2</v>
      </c>
      <c r="Q763" s="26">
        <f t="shared" si="424"/>
        <v>4.3506026540131217E-3</v>
      </c>
      <c r="R763" s="26">
        <f t="shared" si="425"/>
        <v>-9.1317251293580561</v>
      </c>
      <c r="S763" s="26">
        <f t="shared" si="426"/>
        <v>1.0816710021894944E-4</v>
      </c>
      <c r="T763" s="26">
        <f t="shared" si="427"/>
        <v>1.8100995804254052</v>
      </c>
      <c r="U763" s="26">
        <f t="shared" si="428"/>
        <v>0.85937390903013511</v>
      </c>
      <c r="V763" s="26">
        <f t="shared" si="429"/>
        <v>2.3359485253924448</v>
      </c>
      <c r="W763" s="26">
        <f t="shared" si="430"/>
        <v>0.91181084177525218</v>
      </c>
      <c r="X763" s="26">
        <f t="shared" si="431"/>
        <v>3.8886638141948033E-3</v>
      </c>
      <c r="Y763" s="26">
        <f t="shared" si="432"/>
        <v>2.2456894729781092</v>
      </c>
      <c r="Z763" s="26">
        <f t="shared" si="433"/>
        <v>0.90427806880026307</v>
      </c>
      <c r="AA763" s="26">
        <f t="shared" si="434"/>
        <v>-6.5200405858888821</v>
      </c>
      <c r="AB763" s="26">
        <f t="shared" si="435"/>
        <v>1.4714409643175625E-3</v>
      </c>
      <c r="AC763" s="26">
        <f t="shared" si="436"/>
        <v>2.5635011178766676</v>
      </c>
      <c r="AD763" s="26">
        <f t="shared" si="437"/>
        <v>0.92847531222414026</v>
      </c>
      <c r="AE763" s="26">
        <f t="shared" si="438"/>
        <v>2.5578904807171099E-3</v>
      </c>
      <c r="AF763" s="26">
        <f t="shared" si="439"/>
        <v>-3.4098238308523423</v>
      </c>
      <c r="AG763" s="26">
        <f t="shared" si="440"/>
        <v>3.198985238198411E-2</v>
      </c>
      <c r="AH763" s="26">
        <f t="shared" si="441"/>
        <v>-2.5129548269646009</v>
      </c>
      <c r="AI763" s="26">
        <f t="shared" si="442"/>
        <v>7.4954973967445007E-2</v>
      </c>
      <c r="AJ763" s="26">
        <f t="shared" si="443"/>
        <v>-2.4201222854880258</v>
      </c>
      <c r="AK763" s="26">
        <f t="shared" si="444"/>
        <v>8.1651085514741401E-2</v>
      </c>
      <c r="AL763" s="26">
        <f t="shared" si="445"/>
        <v>3.3334498828678067E-3</v>
      </c>
      <c r="AM763" s="27">
        <f t="shared" si="446"/>
        <v>1.4130606831792843E-2</v>
      </c>
    </row>
    <row r="764" spans="1:39" ht="15" customHeight="1" x14ac:dyDescent="0.2">
      <c r="A764" s="24">
        <v>753</v>
      </c>
      <c r="B764" s="29">
        <f t="shared" si="447"/>
        <v>5.723284987577399</v>
      </c>
      <c r="C764" s="29">
        <f t="shared" si="448"/>
        <v>-5.6566926086635219</v>
      </c>
      <c r="D764" s="29">
        <f t="shared" si="449"/>
        <v>-3.4762570587138057</v>
      </c>
      <c r="E764" s="29">
        <f t="shared" si="450"/>
        <v>-4.3256920010759492</v>
      </c>
      <c r="F764" s="29">
        <f t="shared" si="451"/>
        <v>4.009817790863484</v>
      </c>
      <c r="G764" s="29">
        <f t="shared" si="452"/>
        <v>-2.1986963752624806</v>
      </c>
      <c r="H764" s="29">
        <f t="shared" si="453"/>
        <v>6.249299136723649</v>
      </c>
      <c r="I764" s="29">
        <f t="shared" si="454"/>
        <v>6.3218677075870966</v>
      </c>
      <c r="J764" s="29">
        <f t="shared" si="455"/>
        <v>-3.0955752789528024</v>
      </c>
      <c r="K764" s="26">
        <f t="shared" si="418"/>
        <v>-3.4762570587138057</v>
      </c>
      <c r="L764" s="26">
        <f t="shared" si="419"/>
        <v>2.9995391808647555E-2</v>
      </c>
      <c r="M764" s="26">
        <f t="shared" si="420"/>
        <v>-2.1986963752624806</v>
      </c>
      <c r="N764" s="26">
        <f t="shared" si="421"/>
        <v>9.9867616147445729E-2</v>
      </c>
      <c r="O764" s="26">
        <f t="shared" si="422"/>
        <v>-2.276775245261093</v>
      </c>
      <c r="P764" s="26">
        <f t="shared" si="423"/>
        <v>9.3064777486778438E-2</v>
      </c>
      <c r="Q764" s="26">
        <f t="shared" si="424"/>
        <v>4.3305264043317915E-3</v>
      </c>
      <c r="R764" s="26">
        <f t="shared" si="425"/>
        <v>-9.1329496673773285</v>
      </c>
      <c r="S764" s="26">
        <f t="shared" si="426"/>
        <v>1.0803474085808308E-4</v>
      </c>
      <c r="T764" s="26">
        <f t="shared" si="427"/>
        <v>1.8111214156010034</v>
      </c>
      <c r="U764" s="26">
        <f t="shared" si="428"/>
        <v>0.85949735287130724</v>
      </c>
      <c r="V764" s="26">
        <f t="shared" si="429"/>
        <v>2.3387284223336868</v>
      </c>
      <c r="W764" s="26">
        <f t="shared" si="430"/>
        <v>0.91203412262331551</v>
      </c>
      <c r="X764" s="26">
        <f t="shared" si="431"/>
        <v>3.868997791324946E-3</v>
      </c>
      <c r="Y764" s="26">
        <f t="shared" si="432"/>
        <v>2.2470279288635933</v>
      </c>
      <c r="Z764" s="26">
        <f t="shared" si="433"/>
        <v>0.90439386185473969</v>
      </c>
      <c r="AA764" s="26">
        <f t="shared" si="434"/>
        <v>-6.5243883763384298</v>
      </c>
      <c r="AB764" s="26">
        <f t="shared" si="435"/>
        <v>1.4650666871866681E-3</v>
      </c>
      <c r="AC764" s="26">
        <f t="shared" si="436"/>
        <v>2.565514458973376</v>
      </c>
      <c r="AD764" s="26">
        <f t="shared" si="437"/>
        <v>0.92860890071791258</v>
      </c>
      <c r="AE764" s="26">
        <f t="shared" si="438"/>
        <v>2.5483445283524318E-3</v>
      </c>
      <c r="AF764" s="26">
        <f t="shared" si="439"/>
        <v>-3.4096646797999286</v>
      </c>
      <c r="AG764" s="26">
        <f t="shared" si="440"/>
        <v>3.1994781100425237E-2</v>
      </c>
      <c r="AH764" s="26">
        <f t="shared" si="441"/>
        <v>-2.5145705854749458</v>
      </c>
      <c r="AI764" s="26">
        <f t="shared" si="442"/>
        <v>7.4843019473938649E-2</v>
      </c>
      <c r="AJ764" s="26">
        <f t="shared" si="443"/>
        <v>-2.4224826530916479</v>
      </c>
      <c r="AK764" s="26">
        <f t="shared" si="444"/>
        <v>8.1474269951812076E-2</v>
      </c>
      <c r="AL764" s="26">
        <f t="shared" si="445"/>
        <v>3.3190283320903742E-3</v>
      </c>
      <c r="AM764" s="27">
        <f t="shared" si="446"/>
        <v>1.4066897056099543E-2</v>
      </c>
    </row>
    <row r="765" spans="1:39" ht="15" customHeight="1" x14ac:dyDescent="0.2">
      <c r="A765" s="24">
        <v>754</v>
      </c>
      <c r="B765" s="29">
        <f t="shared" si="447"/>
        <v>5.7246622655817543</v>
      </c>
      <c r="C765" s="29">
        <f t="shared" si="448"/>
        <v>-5.6578679489129753</v>
      </c>
      <c r="D765" s="29">
        <f t="shared" si="449"/>
        <v>-3.4763032743420785</v>
      </c>
      <c r="E765" s="29">
        <f t="shared" si="450"/>
        <v>-4.328317204464259</v>
      </c>
      <c r="F765" s="29">
        <f t="shared" si="451"/>
        <v>4.0125366480809586</v>
      </c>
      <c r="G765" s="29">
        <f t="shared" si="452"/>
        <v>-2.2003977392048615</v>
      </c>
      <c r="H765" s="29">
        <f t="shared" si="453"/>
        <v>6.2531495486793283</v>
      </c>
      <c r="I765" s="29">
        <f t="shared" si="454"/>
        <v>6.3266995896294604</v>
      </c>
      <c r="J765" s="29">
        <f t="shared" si="455"/>
        <v>-3.0977373718182615</v>
      </c>
      <c r="K765" s="26">
        <f t="shared" si="418"/>
        <v>-3.4763032743420785</v>
      </c>
      <c r="L765" s="26">
        <f t="shared" si="419"/>
        <v>2.9994047163266063E-2</v>
      </c>
      <c r="M765" s="26">
        <f t="shared" si="420"/>
        <v>-2.2003977392048615</v>
      </c>
      <c r="N765" s="26">
        <f t="shared" si="421"/>
        <v>9.9714777693764897E-2</v>
      </c>
      <c r="O765" s="26">
        <f t="shared" si="422"/>
        <v>-2.2793146662210826</v>
      </c>
      <c r="P765" s="26">
        <f t="shared" si="423"/>
        <v>9.2850662276632828E-2</v>
      </c>
      <c r="Q765" s="26">
        <f t="shared" si="424"/>
        <v>4.3106227426046636E-3</v>
      </c>
      <c r="R765" s="26">
        <f t="shared" si="425"/>
        <v>-9.1341712232550538</v>
      </c>
      <c r="S765" s="26">
        <f t="shared" si="426"/>
        <v>1.0790286518852985E-4</v>
      </c>
      <c r="T765" s="26">
        <f t="shared" si="427"/>
        <v>1.8121389088760971</v>
      </c>
      <c r="U765" s="26">
        <f t="shared" si="428"/>
        <v>0.85962018210158031</v>
      </c>
      <c r="V765" s="26">
        <f t="shared" si="429"/>
        <v>2.3414960142737633</v>
      </c>
      <c r="W765" s="26">
        <f t="shared" si="430"/>
        <v>0.91225590760996789</v>
      </c>
      <c r="X765" s="26">
        <f t="shared" si="431"/>
        <v>3.8495128746752457E-3</v>
      </c>
      <c r="Y765" s="26">
        <f t="shared" si="432"/>
        <v>2.2483589912396758</v>
      </c>
      <c r="Z765" s="26">
        <f t="shared" si="433"/>
        <v>0.90450889103357035</v>
      </c>
      <c r="AA765" s="26">
        <f t="shared" si="434"/>
        <v>-6.5287149436691205</v>
      </c>
      <c r="AB765" s="26">
        <f t="shared" si="435"/>
        <v>1.4587508968173536E-3</v>
      </c>
      <c r="AC765" s="26">
        <f t="shared" si="436"/>
        <v>2.5675210706250149</v>
      </c>
      <c r="AD765" s="26">
        <f t="shared" si="437"/>
        <v>0.9287418134974611</v>
      </c>
      <c r="AE765" s="26">
        <f t="shared" si="438"/>
        <v>2.5388645718153087E-3</v>
      </c>
      <c r="AF765" s="26">
        <f t="shared" si="439"/>
        <v>-3.4095089576732995</v>
      </c>
      <c r="AG765" s="26">
        <f t="shared" si="440"/>
        <v>3.1999604339831997E-2</v>
      </c>
      <c r="AH765" s="26">
        <f t="shared" si="441"/>
        <v>-2.516178295588162</v>
      </c>
      <c r="AI765" s="26">
        <f t="shared" si="442"/>
        <v>7.4731775209417317E-2</v>
      </c>
      <c r="AJ765" s="26">
        <f t="shared" si="443"/>
        <v>-2.424833568833022</v>
      </c>
      <c r="AK765" s="26">
        <f t="shared" si="444"/>
        <v>8.1298509335081162E-2</v>
      </c>
      <c r="AL765" s="26">
        <f t="shared" si="445"/>
        <v>3.3047238100531394E-3</v>
      </c>
      <c r="AM765" s="27">
        <f t="shared" si="446"/>
        <v>1.4003723999148359E-2</v>
      </c>
    </row>
    <row r="766" spans="1:39" ht="15" customHeight="1" x14ac:dyDescent="0.2">
      <c r="A766" s="24">
        <v>755</v>
      </c>
      <c r="B766" s="29">
        <f t="shared" si="447"/>
        <v>5.726033186556001</v>
      </c>
      <c r="C766" s="29">
        <f t="shared" si="448"/>
        <v>-5.6590393491632165</v>
      </c>
      <c r="D766" s="29">
        <f t="shared" si="449"/>
        <v>-3.4763504582421971</v>
      </c>
      <c r="E766" s="29">
        <f t="shared" si="450"/>
        <v>-4.3309301217624183</v>
      </c>
      <c r="F766" s="29">
        <f t="shared" si="451"/>
        <v>4.0152424454268036</v>
      </c>
      <c r="G766" s="29">
        <f t="shared" si="452"/>
        <v>-2.2020903500574973</v>
      </c>
      <c r="H766" s="29">
        <f t="shared" si="453"/>
        <v>6.2569869981895234</v>
      </c>
      <c r="I766" s="29">
        <f t="shared" si="454"/>
        <v>6.3315103710171909</v>
      </c>
      <c r="J766" s="29">
        <f t="shared" si="455"/>
        <v>-3.0998908572355925</v>
      </c>
      <c r="K766" s="26">
        <f t="shared" si="418"/>
        <v>-3.4763504582421971</v>
      </c>
      <c r="L766" s="26">
        <f t="shared" si="419"/>
        <v>2.9992674406243147E-2</v>
      </c>
      <c r="M766" s="26">
        <f t="shared" si="420"/>
        <v>-2.2020903500574973</v>
      </c>
      <c r="N766" s="26">
        <f t="shared" si="421"/>
        <v>9.9562931986856798E-2</v>
      </c>
      <c r="O766" s="26">
        <f t="shared" si="422"/>
        <v>-2.2818433469911343</v>
      </c>
      <c r="P766" s="26">
        <f t="shared" si="423"/>
        <v>9.263789214113681E-2</v>
      </c>
      <c r="Q766" s="26">
        <f t="shared" si="424"/>
        <v>4.2908895301764487E-3</v>
      </c>
      <c r="R766" s="26">
        <f t="shared" si="425"/>
        <v>-9.1353898074054136</v>
      </c>
      <c r="S766" s="26">
        <f t="shared" si="426"/>
        <v>1.0777147071183843E-4</v>
      </c>
      <c r="T766" s="26">
        <f t="shared" si="427"/>
        <v>1.8131520953693063</v>
      </c>
      <c r="U766" s="26">
        <f t="shared" si="428"/>
        <v>0.85974240214134978</v>
      </c>
      <c r="V766" s="26">
        <f t="shared" si="429"/>
        <v>2.3442514030166159</v>
      </c>
      <c r="W766" s="26">
        <f t="shared" si="430"/>
        <v>0.91247621249623667</v>
      </c>
      <c r="X766" s="26">
        <f t="shared" si="431"/>
        <v>3.8302066895019591E-3</v>
      </c>
      <c r="Y766" s="26">
        <f t="shared" si="432"/>
        <v>2.2496827283138039</v>
      </c>
      <c r="Z766" s="26">
        <f t="shared" si="433"/>
        <v>0.90462316438367252</v>
      </c>
      <c r="AA766" s="26">
        <f t="shared" si="434"/>
        <v>-6.5330204718199152</v>
      </c>
      <c r="AB766" s="26">
        <f t="shared" si="435"/>
        <v>1.4524928082832523E-3</v>
      </c>
      <c r="AC766" s="26">
        <f t="shared" si="436"/>
        <v>2.5695209938535837</v>
      </c>
      <c r="AD766" s="26">
        <f t="shared" si="437"/>
        <v>0.92887405589599426</v>
      </c>
      <c r="AE766" s="26">
        <f t="shared" si="438"/>
        <v>2.5294499623430746E-3</v>
      </c>
      <c r="AF766" s="26">
        <f t="shared" si="439"/>
        <v>-3.4093566208494126</v>
      </c>
      <c r="AG766" s="26">
        <f t="shared" si="440"/>
        <v>3.2004323405303077E-2</v>
      </c>
      <c r="AH766" s="26">
        <f t="shared" si="441"/>
        <v>-2.517778026393112</v>
      </c>
      <c r="AI766" s="26">
        <f t="shared" si="442"/>
        <v>7.4621233950672147E-2</v>
      </c>
      <c r="AJ766" s="26">
        <f t="shared" si="443"/>
        <v>-2.4271751051459778</v>
      </c>
      <c r="AK766" s="26">
        <f t="shared" si="444"/>
        <v>8.1123793556900373E-2</v>
      </c>
      <c r="AL766" s="26">
        <f t="shared" si="445"/>
        <v>3.2905349405312951E-3</v>
      </c>
      <c r="AM766" s="27">
        <f t="shared" si="446"/>
        <v>1.3941081122552778E-2</v>
      </c>
    </row>
    <row r="767" spans="1:39" ht="15" customHeight="1" x14ac:dyDescent="0.2">
      <c r="A767" s="24">
        <v>756</v>
      </c>
      <c r="B767" s="29">
        <f t="shared" si="447"/>
        <v>5.7273978038982367</v>
      </c>
      <c r="C767" s="29">
        <f t="shared" si="448"/>
        <v>-5.6602068337812632</v>
      </c>
      <c r="D767" s="29">
        <f t="shared" si="449"/>
        <v>-3.4763985964522961</v>
      </c>
      <c r="E767" s="29">
        <f t="shared" si="450"/>
        <v>-4.3335308559372727</v>
      </c>
      <c r="F767" s="29">
        <f t="shared" si="451"/>
        <v>4.0179352963264598</v>
      </c>
      <c r="G767" s="29">
        <f t="shared" si="452"/>
        <v>-2.2037742865432026</v>
      </c>
      <c r="H767" s="29">
        <f t="shared" si="453"/>
        <v>6.2608115663632358</v>
      </c>
      <c r="I767" s="29">
        <f t="shared" si="454"/>
        <v>6.3363002250611196</v>
      </c>
      <c r="J767" s="29">
        <f t="shared" si="455"/>
        <v>-3.1020358010219771</v>
      </c>
      <c r="K767" s="26">
        <f t="shared" si="418"/>
        <v>-3.4763985964522961</v>
      </c>
      <c r="L767" s="26">
        <f t="shared" si="419"/>
        <v>2.9991273947500455E-2</v>
      </c>
      <c r="M767" s="26">
        <f t="shared" si="420"/>
        <v>-2.2037742865432026</v>
      </c>
      <c r="N767" s="26">
        <f t="shared" si="421"/>
        <v>9.9412068585081212E-2</v>
      </c>
      <c r="O767" s="26">
        <f t="shared" si="422"/>
        <v>-2.2843613736520565</v>
      </c>
      <c r="P767" s="26">
        <f t="shared" si="423"/>
        <v>9.2426453601899813E-2</v>
      </c>
      <c r="Q767" s="26">
        <f t="shared" si="424"/>
        <v>4.2713246627120692E-3</v>
      </c>
      <c r="R767" s="26">
        <f t="shared" si="425"/>
        <v>-9.1366054302335584</v>
      </c>
      <c r="S767" s="26">
        <f t="shared" si="426"/>
        <v>1.0764055494197018E-4</v>
      </c>
      <c r="T767" s="26">
        <f t="shared" si="427"/>
        <v>1.8141610097832572</v>
      </c>
      <c r="U767" s="26">
        <f t="shared" si="428"/>
        <v>0.85986401834282922</v>
      </c>
      <c r="V767" s="26">
        <f t="shared" si="429"/>
        <v>2.3469946891570408</v>
      </c>
      <c r="W767" s="26">
        <f t="shared" si="430"/>
        <v>0.91269505281971808</v>
      </c>
      <c r="X767" s="26">
        <f t="shared" si="431"/>
        <v>3.8110769010759084E-3</v>
      </c>
      <c r="Y767" s="26">
        <f t="shared" si="432"/>
        <v>2.2509992074459406</v>
      </c>
      <c r="Z767" s="26">
        <f t="shared" si="433"/>
        <v>0.90473668983915034</v>
      </c>
      <c r="AA767" s="26">
        <f t="shared" si="434"/>
        <v>-6.5373051424804753</v>
      </c>
      <c r="AB767" s="26">
        <f t="shared" si="435"/>
        <v>1.4462916503381975E-3</v>
      </c>
      <c r="AC767" s="26">
        <f t="shared" si="436"/>
        <v>2.5715142693457049</v>
      </c>
      <c r="AD767" s="26">
        <f t="shared" si="437"/>
        <v>0.92900563319171681</v>
      </c>
      <c r="AE767" s="26">
        <f t="shared" si="438"/>
        <v>2.5201000592545313E-3</v>
      </c>
      <c r="AF767" s="26">
        <f t="shared" si="439"/>
        <v>-3.4092076263353226</v>
      </c>
      <c r="AG767" s="26">
        <f t="shared" si="440"/>
        <v>3.2008939584177963E-2</v>
      </c>
      <c r="AH767" s="26">
        <f t="shared" si="441"/>
        <v>-2.5193698461540155</v>
      </c>
      <c r="AI767" s="26">
        <f t="shared" si="442"/>
        <v>7.4511388573708787E-2</v>
      </c>
      <c r="AJ767" s="26">
        <f t="shared" si="443"/>
        <v>-2.429507333657126</v>
      </c>
      <c r="AK767" s="26">
        <f t="shared" si="444"/>
        <v>8.0950112641666738E-2</v>
      </c>
      <c r="AL767" s="26">
        <f t="shared" si="445"/>
        <v>3.2764603683492666E-3</v>
      </c>
      <c r="AM767" s="27">
        <f t="shared" si="446"/>
        <v>1.3878961991391775E-2</v>
      </c>
    </row>
    <row r="768" spans="1:39" ht="15" customHeight="1" x14ac:dyDescent="0.2">
      <c r="A768" s="24">
        <v>757</v>
      </c>
      <c r="B768" s="29">
        <f t="shared" si="447"/>
        <v>5.7287561703769585</v>
      </c>
      <c r="C768" s="29">
        <f t="shared" si="448"/>
        <v>-5.6613704269192011</v>
      </c>
      <c r="D768" s="29">
        <f t="shared" si="449"/>
        <v>-3.4764476752154607</v>
      </c>
      <c r="E768" s="29">
        <f t="shared" si="450"/>
        <v>-4.3361195087339208</v>
      </c>
      <c r="F768" s="29">
        <f t="shared" si="451"/>
        <v>4.0206153128033861</v>
      </c>
      <c r="G768" s="29">
        <f t="shared" si="452"/>
        <v>-2.2054496263923786</v>
      </c>
      <c r="H768" s="29">
        <f t="shared" si="453"/>
        <v>6.2646233335986592</v>
      </c>
      <c r="I768" s="29">
        <f t="shared" si="454"/>
        <v>6.3410693230235884</v>
      </c>
      <c r="J768" s="29">
        <f t="shared" si="455"/>
        <v>-3.1041722682612551</v>
      </c>
      <c r="K768" s="26">
        <f t="shared" si="418"/>
        <v>-3.4764476752154607</v>
      </c>
      <c r="L768" s="26">
        <f t="shared" si="419"/>
        <v>2.9989846190999113E-2</v>
      </c>
      <c r="M768" s="26">
        <f t="shared" si="420"/>
        <v>-2.2054496263923786</v>
      </c>
      <c r="N768" s="26">
        <f t="shared" si="421"/>
        <v>9.926217719600812E-2</v>
      </c>
      <c r="O768" s="26">
        <f t="shared" si="422"/>
        <v>-2.2868688312879484</v>
      </c>
      <c r="P768" s="26">
        <f t="shared" si="423"/>
        <v>9.2216333363725062E-2</v>
      </c>
      <c r="Q768" s="26">
        <f t="shared" si="424"/>
        <v>4.251926069524836E-3</v>
      </c>
      <c r="R768" s="26">
        <f t="shared" si="425"/>
        <v>-9.1378181021346627</v>
      </c>
      <c r="S768" s="26">
        <f t="shared" si="426"/>
        <v>1.075101154053214E-4</v>
      </c>
      <c r="T768" s="26">
        <f t="shared" si="427"/>
        <v>1.8151656864110075</v>
      </c>
      <c r="U768" s="26">
        <f t="shared" si="428"/>
        <v>0.8599850359911565</v>
      </c>
      <c r="V768" s="26">
        <f t="shared" si="429"/>
        <v>2.3497259720991694</v>
      </c>
      <c r="W768" s="26">
        <f t="shared" si="430"/>
        <v>0.912912443898521</v>
      </c>
      <c r="X768" s="26">
        <f t="shared" si="431"/>
        <v>3.7921212138641264E-3</v>
      </c>
      <c r="Y768" s="26">
        <f t="shared" si="432"/>
        <v>2.2523084951614978</v>
      </c>
      <c r="Z768" s="26">
        <f t="shared" si="433"/>
        <v>0.90484947522323544</v>
      </c>
      <c r="AA768" s="26">
        <f t="shared" si="434"/>
        <v>-6.5415691351262995</v>
      </c>
      <c r="AB768" s="26">
        <f t="shared" si="435"/>
        <v>1.4401466651251073E-3</v>
      </c>
      <c r="AC768" s="26">
        <f t="shared" si="436"/>
        <v>2.5735009374556075</v>
      </c>
      <c r="AD768" s="26">
        <f t="shared" si="437"/>
        <v>0.92913655060849321</v>
      </c>
      <c r="AE768" s="26">
        <f t="shared" si="438"/>
        <v>2.5108142298313225E-3</v>
      </c>
      <c r="AF768" s="26">
        <f t="shared" si="439"/>
        <v>-3.4090619317577033</v>
      </c>
      <c r="AG768" s="26">
        <f t="shared" si="440"/>
        <v>3.20134541463067E-2</v>
      </c>
      <c r="AH768" s="26">
        <f t="shared" si="441"/>
        <v>-2.5209538223229133</v>
      </c>
      <c r="AI768" s="26">
        <f t="shared" si="442"/>
        <v>7.4402232052047601E-2</v>
      </c>
      <c r="AJ768" s="26">
        <f t="shared" si="443"/>
        <v>-2.43183032519749</v>
      </c>
      <c r="AK768" s="26">
        <f t="shared" si="444"/>
        <v>8.0777456743656967E-2</v>
      </c>
      <c r="AL768" s="26">
        <f t="shared" si="445"/>
        <v>3.2624987589866864E-3</v>
      </c>
      <c r="AM768" s="27">
        <f t="shared" si="446"/>
        <v>1.3817360272206971E-2</v>
      </c>
    </row>
    <row r="769" spans="1:39" ht="15" customHeight="1" x14ac:dyDescent="0.2">
      <c r="A769" s="24">
        <v>758</v>
      </c>
      <c r="B769" s="29">
        <f t="shared" si="447"/>
        <v>5.7301083381404156</v>
      </c>
      <c r="C769" s="29">
        <f t="shared" si="448"/>
        <v>-5.6625301525166085</v>
      </c>
      <c r="D769" s="29">
        <f t="shared" si="449"/>
        <v>-3.4764976809763781</v>
      </c>
      <c r="E769" s="29">
        <f t="shared" si="450"/>
        <v>-4.3386961806942628</v>
      </c>
      <c r="F769" s="29">
        <f t="shared" si="451"/>
        <v>4.0232826055012971</v>
      </c>
      <c r="G769" s="29">
        <f t="shared" si="452"/>
        <v>-2.2071164463589525</v>
      </c>
      <c r="H769" s="29">
        <f t="shared" si="453"/>
        <v>6.2684223795907945</v>
      </c>
      <c r="I769" s="29">
        <f t="shared" si="454"/>
        <v>6.3458178341496492</v>
      </c>
      <c r="J769" s="29">
        <f t="shared" si="455"/>
        <v>-3.1063003233145228</v>
      </c>
      <c r="K769" s="26">
        <f t="shared" si="418"/>
        <v>-3.4764976809763781</v>
      </c>
      <c r="L769" s="26">
        <f t="shared" si="419"/>
        <v>2.9988391534834982E-2</v>
      </c>
      <c r="M769" s="26">
        <f t="shared" si="420"/>
        <v>-2.2071164463589525</v>
      </c>
      <c r="N769" s="26">
        <f t="shared" si="421"/>
        <v>9.9113247673746713E-2</v>
      </c>
      <c r="O769" s="26">
        <f t="shared" si="422"/>
        <v>-2.2893658040010791</v>
      </c>
      <c r="P769" s="26">
        <f t="shared" si="423"/>
        <v>9.2007518311494674E-2</v>
      </c>
      <c r="Q769" s="26">
        <f t="shared" si="424"/>
        <v>4.2326917129200141E-3</v>
      </c>
      <c r="R769" s="26">
        <f t="shared" si="425"/>
        <v>-9.1390278334929871</v>
      </c>
      <c r="S769" s="26">
        <f t="shared" si="426"/>
        <v>1.0738014964074477E-4</v>
      </c>
      <c r="T769" s="26">
        <f t="shared" si="427"/>
        <v>1.8161661591423446</v>
      </c>
      <c r="U769" s="26">
        <f t="shared" si="428"/>
        <v>0.86010546030547563</v>
      </c>
      <c r="V769" s="26">
        <f t="shared" si="429"/>
        <v>2.3524453500745901</v>
      </c>
      <c r="W769" s="26">
        <f t="shared" si="430"/>
        <v>0.91312840083512781</v>
      </c>
      <c r="X769" s="26">
        <f t="shared" si="431"/>
        <v>3.7733373707311115E-3</v>
      </c>
      <c r="Y769" s="26">
        <f t="shared" si="432"/>
        <v>2.2536106571640375</v>
      </c>
      <c r="Z769" s="26">
        <f t="shared" si="433"/>
        <v>0.9049615282501885</v>
      </c>
      <c r="AA769" s="26">
        <f t="shared" si="434"/>
        <v>-6.5458126270532153</v>
      </c>
      <c r="AB769" s="26">
        <f t="shared" si="435"/>
        <v>1.4340571078921233E-3</v>
      </c>
      <c r="AC769" s="26">
        <f t="shared" si="436"/>
        <v>2.575481038208097</v>
      </c>
      <c r="AD769" s="26">
        <f t="shared" si="437"/>
        <v>0.92926681331650363</v>
      </c>
      <c r="AE769" s="26">
        <f t="shared" si="438"/>
        <v>2.5015918492011743E-3</v>
      </c>
      <c r="AF769" s="26">
        <f t="shared" si="439"/>
        <v>-3.408919495352571</v>
      </c>
      <c r="AG769" s="26">
        <f t="shared" si="440"/>
        <v>3.201786834431504E-2</v>
      </c>
      <c r="AH769" s="26">
        <f t="shared" si="441"/>
        <v>-2.5225300215519182</v>
      </c>
      <c r="AI769" s="26">
        <f t="shared" si="442"/>
        <v>7.429375745505773E-2</v>
      </c>
      <c r="AJ769" s="26">
        <f t="shared" si="443"/>
        <v>-2.4341441498139327</v>
      </c>
      <c r="AK769" s="26">
        <f t="shared" si="444"/>
        <v>8.0605816144904252E-2</v>
      </c>
      <c r="AL769" s="26">
        <f t="shared" si="445"/>
        <v>3.2486487981930536E-3</v>
      </c>
      <c r="AM769" s="27">
        <f t="shared" si="446"/>
        <v>1.3756269731045353E-2</v>
      </c>
    </row>
    <row r="770" spans="1:39" ht="15" customHeight="1" x14ac:dyDescent="0.2">
      <c r="A770" s="24">
        <v>759</v>
      </c>
      <c r="B770" s="29">
        <f t="shared" si="447"/>
        <v>5.7314543587257996</v>
      </c>
      <c r="C770" s="29">
        <f t="shared" si="448"/>
        <v>-5.6636860343029429</v>
      </c>
      <c r="D770" s="29">
        <f t="shared" si="449"/>
        <v>-3.4765486003780479</v>
      </c>
      <c r="E770" s="29">
        <f t="shared" si="450"/>
        <v>-4.3412609711752088</v>
      </c>
      <c r="F770" s="29">
        <f t="shared" si="451"/>
        <v>4.0259372837059724</v>
      </c>
      <c r="G770" s="29">
        <f t="shared" si="452"/>
        <v>-2.2087748222360051</v>
      </c>
      <c r="H770" s="29">
        <f t="shared" si="453"/>
        <v>6.2722087833389786</v>
      </c>
      <c r="I770" s="29">
        <f t="shared" si="454"/>
        <v>6.3505459256976815</v>
      </c>
      <c r="J770" s="29">
        <f t="shared" si="455"/>
        <v>-3.1084200298305436</v>
      </c>
      <c r="K770" s="26">
        <f t="shared" si="418"/>
        <v>-3.4765486003780479</v>
      </c>
      <c r="L770" s="26">
        <f t="shared" si="419"/>
        <v>2.9986910371332162E-2</v>
      </c>
      <c r="M770" s="26">
        <f t="shared" si="420"/>
        <v>-2.2087748222360051</v>
      </c>
      <c r="N770" s="26">
        <f t="shared" si="421"/>
        <v>9.8965270016332013E-2</v>
      </c>
      <c r="O770" s="26">
        <f t="shared" si="422"/>
        <v>-2.2918523749264872</v>
      </c>
      <c r="P770" s="26">
        <f t="shared" si="423"/>
        <v>9.1799995507118662E-2</v>
      </c>
      <c r="Q770" s="26">
        <f t="shared" si="424"/>
        <v>4.2136195875535033E-3</v>
      </c>
      <c r="R770" s="26">
        <f t="shared" si="425"/>
        <v>-9.14023463468099</v>
      </c>
      <c r="S770" s="26">
        <f t="shared" si="426"/>
        <v>1.0725065519956529E-4</v>
      </c>
      <c r="T770" s="26">
        <f t="shared" si="427"/>
        <v>1.8171624614699673</v>
      </c>
      <c r="U770" s="26">
        <f t="shared" si="428"/>
        <v>0.86022529643999934</v>
      </c>
      <c r="V770" s="26">
        <f t="shared" si="429"/>
        <v>2.3551529201601356</v>
      </c>
      <c r="W770" s="26">
        <f t="shared" si="430"/>
        <v>0.91334293852017334</v>
      </c>
      <c r="X770" s="26">
        <f t="shared" si="431"/>
        <v>3.7547231521592285E-3</v>
      </c>
      <c r="Y770" s="26">
        <f t="shared" si="432"/>
        <v>2.2549057583477516</v>
      </c>
      <c r="Z770" s="26">
        <f t="shared" si="433"/>
        <v>0.90507285652716229</v>
      </c>
      <c r="AA770" s="26">
        <f t="shared" si="434"/>
        <v>-6.5500357934112134</v>
      </c>
      <c r="AB770" s="26">
        <f t="shared" si="435"/>
        <v>1.4280222467158371E-3</v>
      </c>
      <c r="AC770" s="26">
        <f t="shared" si="436"/>
        <v>2.5774546113015098</v>
      </c>
      <c r="AD770" s="26">
        <f t="shared" si="437"/>
        <v>0.92939642643289233</v>
      </c>
      <c r="AE770" s="26">
        <f t="shared" si="438"/>
        <v>2.4924323002229925E-3</v>
      </c>
      <c r="AF770" s="26">
        <f t="shared" si="439"/>
        <v>-3.4087802759551913</v>
      </c>
      <c r="AG770" s="26">
        <f t="shared" si="440"/>
        <v>3.2022183413865528E-2</v>
      </c>
      <c r="AH770" s="26">
        <f t="shared" si="441"/>
        <v>-2.5240985097052415</v>
      </c>
      <c r="AI770" s="26">
        <f t="shared" si="442"/>
        <v>7.4185957946325126E-2</v>
      </c>
      <c r="AJ770" s="26">
        <f t="shared" si="443"/>
        <v>-2.43644887678039</v>
      </c>
      <c r="AK770" s="26">
        <f t="shared" si="444"/>
        <v>8.0435181253116272E-2</v>
      </c>
      <c r="AL770" s="26">
        <f t="shared" si="445"/>
        <v>3.2349091916108338E-3</v>
      </c>
      <c r="AM770" s="27">
        <f t="shared" si="446"/>
        <v>1.3695684231546558E-2</v>
      </c>
    </row>
    <row r="771" spans="1:39" ht="15" customHeight="1" x14ac:dyDescent="0.2">
      <c r="A771" s="24">
        <v>760</v>
      </c>
      <c r="B771" s="29">
        <f t="shared" si="447"/>
        <v>5.7327942830682721</v>
      </c>
      <c r="C771" s="29">
        <f t="shared" si="448"/>
        <v>-5.6648380957999036</v>
      </c>
      <c r="D771" s="29">
        <f t="shared" si="449"/>
        <v>-3.4766004202585532</v>
      </c>
      <c r="E771" s="29">
        <f t="shared" si="450"/>
        <v>-4.3438139783665521</v>
      </c>
      <c r="F771" s="29">
        <f t="shared" si="451"/>
        <v>4.0285794553666543</v>
      </c>
      <c r="G771" s="29">
        <f t="shared" si="452"/>
        <v>-2.2104248288710959</v>
      </c>
      <c r="H771" s="29">
        <f t="shared" si="453"/>
        <v>6.2759826231543219</v>
      </c>
      <c r="I771" s="29">
        <f t="shared" si="454"/>
        <v>6.3552537629694559</v>
      </c>
      <c r="J771" s="29">
        <f t="shared" si="455"/>
        <v>-3.1105314507559787</v>
      </c>
      <c r="K771" s="26">
        <f t="shared" si="418"/>
        <v>-3.4766004202585532</v>
      </c>
      <c r="L771" s="26">
        <f t="shared" si="419"/>
        <v>2.9985403087134939E-2</v>
      </c>
      <c r="M771" s="26">
        <f t="shared" si="420"/>
        <v>-2.2104248288710959</v>
      </c>
      <c r="N771" s="26">
        <f t="shared" si="421"/>
        <v>9.8818234363166876E-2</v>
      </c>
      <c r="O771" s="26">
        <f t="shared" si="422"/>
        <v>-2.2943286262463278</v>
      </c>
      <c r="P771" s="26">
        <f t="shared" si="423"/>
        <v>9.1593752186544627E-2</v>
      </c>
      <c r="Q771" s="26">
        <f t="shared" si="424"/>
        <v>4.1947077198050747E-3</v>
      </c>
      <c r="R771" s="26">
        <f t="shared" si="425"/>
        <v>-9.1414385160584573</v>
      </c>
      <c r="S771" s="26">
        <f t="shared" si="426"/>
        <v>1.0712162964559416E-4</v>
      </c>
      <c r="T771" s="26">
        <f t="shared" si="427"/>
        <v>1.8181546264955584</v>
      </c>
      <c r="U771" s="26">
        <f t="shared" si="428"/>
        <v>0.86034454948504935</v>
      </c>
      <c r="V771" s="26">
        <f t="shared" si="429"/>
        <v>2.3578487782953625</v>
      </c>
      <c r="W771" s="26">
        <f t="shared" si="430"/>
        <v>0.91355607163614794</v>
      </c>
      <c r="X771" s="26">
        <f t="shared" si="431"/>
        <v>3.7362763754873935E-3</v>
      </c>
      <c r="Y771" s="26">
        <f t="shared" si="432"/>
        <v>2.2561938628097189</v>
      </c>
      <c r="Z771" s="26">
        <f t="shared" si="433"/>
        <v>0.90518346755602919</v>
      </c>
      <c r="AA771" s="26">
        <f t="shared" si="434"/>
        <v>-6.5542388072376481</v>
      </c>
      <c r="AB771" s="26">
        <f t="shared" si="435"/>
        <v>1.4220413622313872E-3</v>
      </c>
      <c r="AC771" s="26">
        <f t="shared" si="436"/>
        <v>2.579421696110654</v>
      </c>
      <c r="AD771" s="26">
        <f t="shared" si="437"/>
        <v>0.92952539502240605</v>
      </c>
      <c r="AE771" s="26">
        <f t="shared" si="438"/>
        <v>2.4833349733739546E-3</v>
      </c>
      <c r="AF771" s="26">
        <f t="shared" si="439"/>
        <v>-3.4086442329901847</v>
      </c>
      <c r="AG771" s="26">
        <f t="shared" si="440"/>
        <v>3.2026400573913955E-2</v>
      </c>
      <c r="AH771" s="26">
        <f t="shared" si="441"/>
        <v>-2.5256593518709938</v>
      </c>
      <c r="AI771" s="26">
        <f t="shared" si="442"/>
        <v>7.407882678205438E-2</v>
      </c>
      <c r="AJ771" s="26">
        <f t="shared" si="443"/>
        <v>-2.4387445746089016</v>
      </c>
      <c r="AK771" s="26">
        <f t="shared" si="444"/>
        <v>8.0265542599634199E-2</v>
      </c>
      <c r="AL771" s="26">
        <f t="shared" si="445"/>
        <v>3.2212786644068461E-3</v>
      </c>
      <c r="AM771" s="27">
        <f t="shared" si="446"/>
        <v>1.363559773307327E-2</v>
      </c>
    </row>
    <row r="772" spans="1:39" ht="15" customHeight="1" x14ac:dyDescent="0.2">
      <c r="A772" s="24">
        <v>761</v>
      </c>
      <c r="B772" s="29">
        <f t="shared" si="447"/>
        <v>5.734128161509835</v>
      </c>
      <c r="C772" s="29">
        <f t="shared" si="448"/>
        <v>-5.6659863603237541</v>
      </c>
      <c r="D772" s="29">
        <f t="shared" si="449"/>
        <v>-3.4766531276478885</v>
      </c>
      <c r="E772" s="29">
        <f t="shared" si="450"/>
        <v>-4.3463552993085157</v>
      </c>
      <c r="F772" s="29">
        <f t="shared" si="451"/>
        <v>4.0312092271170306</v>
      </c>
      <c r="G772" s="29">
        <f t="shared" si="452"/>
        <v>-2.2120665401812971</v>
      </c>
      <c r="H772" s="29">
        <f t="shared" si="453"/>
        <v>6.2797439766670617</v>
      </c>
      <c r="I772" s="29">
        <f t="shared" si="454"/>
        <v>6.359941509339639</v>
      </c>
      <c r="J772" s="29">
        <f t="shared" si="455"/>
        <v>-3.1126346483454395</v>
      </c>
      <c r="K772" s="26">
        <f t="shared" si="418"/>
        <v>-3.4766531276478885</v>
      </c>
      <c r="L772" s="26">
        <f t="shared" si="419"/>
        <v>2.9983870063298099E-2</v>
      </c>
      <c r="M772" s="26">
        <f t="shared" si="420"/>
        <v>-2.2120665401812971</v>
      </c>
      <c r="N772" s="26">
        <f t="shared" si="421"/>
        <v>9.8672130992518384E-2</v>
      </c>
      <c r="O772" s="26">
        <f t="shared" si="422"/>
        <v>-2.2967946392039593</v>
      </c>
      <c r="P772" s="26">
        <f t="shared" si="423"/>
        <v>9.1388775756827967E-2</v>
      </c>
      <c r="Q772" s="26">
        <f t="shared" si="424"/>
        <v>4.1759541671658939E-3</v>
      </c>
      <c r="R772" s="26">
        <f t="shared" si="425"/>
        <v>-9.1426394879716426</v>
      </c>
      <c r="S772" s="26">
        <f t="shared" si="426"/>
        <v>1.0699307055514151E-4</v>
      </c>
      <c r="T772" s="26">
        <f t="shared" si="427"/>
        <v>1.8191426869357334</v>
      </c>
      <c r="U772" s="26">
        <f t="shared" si="428"/>
        <v>0.86046322446807788</v>
      </c>
      <c r="V772" s="26">
        <f t="shared" si="429"/>
        <v>2.3605330192996838</v>
      </c>
      <c r="W772" s="26">
        <f t="shared" si="430"/>
        <v>0.91376781466102019</v>
      </c>
      <c r="X772" s="26">
        <f t="shared" si="431"/>
        <v>3.7179948941680817E-3</v>
      </c>
      <c r="Y772" s="26">
        <f t="shared" si="432"/>
        <v>2.2574750338619465</v>
      </c>
      <c r="Z772" s="26">
        <f t="shared" si="433"/>
        <v>0.90529336873516897</v>
      </c>
      <c r="AA772" s="26">
        <f t="shared" si="434"/>
        <v>-6.5584218394898128</v>
      </c>
      <c r="AB772" s="26">
        <f t="shared" si="435"/>
        <v>1.4161137473692363E-3</v>
      </c>
      <c r="AC772" s="26">
        <f t="shared" si="436"/>
        <v>2.5813823316897118</v>
      </c>
      <c r="AD772" s="26">
        <f t="shared" si="437"/>
        <v>0.92965372409802571</v>
      </c>
      <c r="AE772" s="26">
        <f t="shared" si="438"/>
        <v>2.4742992666383443E-3</v>
      </c>
      <c r="AF772" s="26">
        <f t="shared" si="439"/>
        <v>-3.4085113264618077</v>
      </c>
      <c r="AG772" s="26">
        <f t="shared" si="440"/>
        <v>3.2030521026961911E-2</v>
      </c>
      <c r="AH772" s="26">
        <f t="shared" si="441"/>
        <v>-2.5272126123727823</v>
      </c>
      <c r="AI772" s="26">
        <f t="shared" si="442"/>
        <v>7.3972357309502121E-2</v>
      </c>
      <c r="AJ772" s="26">
        <f t="shared" si="443"/>
        <v>-2.4410313110604616</v>
      </c>
      <c r="AK772" s="26">
        <f t="shared" si="444"/>
        <v>8.0096890837430559E-2</v>
      </c>
      <c r="AL772" s="26">
        <f t="shared" si="445"/>
        <v>3.2077559609116338E-3</v>
      </c>
      <c r="AM772" s="27">
        <f t="shared" si="446"/>
        <v>1.3576004288883954E-2</v>
      </c>
    </row>
    <row r="773" spans="1:39" ht="15" customHeight="1" x14ac:dyDescent="0.2">
      <c r="A773" s="24">
        <v>762</v>
      </c>
      <c r="B773" s="29">
        <f t="shared" si="447"/>
        <v>5.7354560438080435</v>
      </c>
      <c r="C773" s="29">
        <f t="shared" si="448"/>
        <v>-5.6671308509876184</v>
      </c>
      <c r="D773" s="29">
        <f t="shared" si="449"/>
        <v>-3.4767067097648434</v>
      </c>
      <c r="E773" s="29">
        <f t="shared" si="450"/>
        <v>-4.3488850299089847</v>
      </c>
      <c r="F773" s="29">
        <f t="shared" si="451"/>
        <v>4.0338267042958238</v>
      </c>
      <c r="G773" s="29">
        <f t="shared" si="452"/>
        <v>-2.2137000291679354</v>
      </c>
      <c r="H773" s="29">
        <f t="shared" si="453"/>
        <v>6.2834929208338286</v>
      </c>
      <c r="I773" s="29">
        <f t="shared" si="454"/>
        <v>6.3646093262847625</v>
      </c>
      <c r="J773" s="29">
        <f t="shared" si="455"/>
        <v>-3.1147296841713619</v>
      </c>
      <c r="K773" s="26">
        <f t="shared" si="418"/>
        <v>-3.4767067097648434</v>
      </c>
      <c r="L773" s="26">
        <f t="shared" si="419"/>
        <v>2.9982311675375763E-2</v>
      </c>
      <c r="M773" s="26">
        <f t="shared" si="420"/>
        <v>-2.2137000291679354</v>
      </c>
      <c r="N773" s="26">
        <f t="shared" si="421"/>
        <v>9.8526950319067164E-2</v>
      </c>
      <c r="O773" s="26">
        <f t="shared" si="422"/>
        <v>-2.2992504941177745</v>
      </c>
      <c r="P773" s="26">
        <f t="shared" si="423"/>
        <v>9.1185053793261028E-2</v>
      </c>
      <c r="Q773" s="26">
        <f t="shared" si="424"/>
        <v>4.1573570176399541E-3</v>
      </c>
      <c r="R773" s="26">
        <f t="shared" si="425"/>
        <v>-9.1438375607524627</v>
      </c>
      <c r="S773" s="26">
        <f t="shared" si="426"/>
        <v>1.0686497551702313E-4</v>
      </c>
      <c r="T773" s="26">
        <f t="shared" si="427"/>
        <v>1.8201266751278884</v>
      </c>
      <c r="U773" s="26">
        <f t="shared" si="428"/>
        <v>0.86058132635466811</v>
      </c>
      <c r="V773" s="26">
        <f t="shared" si="429"/>
        <v>2.3632057368892161</v>
      </c>
      <c r="W773" s="26">
        <f t="shared" si="430"/>
        <v>0.91397818187178703</v>
      </c>
      <c r="X773" s="26">
        <f t="shared" si="431"/>
        <v>3.6998765970416747E-3</v>
      </c>
      <c r="Y773" s="26">
        <f t="shared" si="432"/>
        <v>2.2587493340432001</v>
      </c>
      <c r="Z773" s="26">
        <f t="shared" si="433"/>
        <v>0.90540256736122482</v>
      </c>
      <c r="AA773" s="26">
        <f t="shared" si="434"/>
        <v>-6.5625850590769197</v>
      </c>
      <c r="AB773" s="26">
        <f t="shared" si="435"/>
        <v>1.4102387070984226E-3</v>
      </c>
      <c r="AC773" s="26">
        <f t="shared" si="436"/>
        <v>2.5833365567751541</v>
      </c>
      <c r="AD773" s="26">
        <f t="shared" si="437"/>
        <v>0.92978141862158981</v>
      </c>
      <c r="AE773" s="26">
        <f t="shared" si="438"/>
        <v>2.4653245853982074E-3</v>
      </c>
      <c r="AF773" s="26">
        <f t="shared" si="439"/>
        <v>-3.4083815169444183</v>
      </c>
      <c r="AG773" s="26">
        <f t="shared" si="440"/>
        <v>3.2034545959305029E-2</v>
      </c>
      <c r="AH773" s="26">
        <f t="shared" si="441"/>
        <v>-2.5287583547810963</v>
      </c>
      <c r="AI773" s="26">
        <f t="shared" si="442"/>
        <v>7.3866542965442317E-2</v>
      </c>
      <c r="AJ773" s="26">
        <f t="shared" si="443"/>
        <v>-2.4433091531556745</v>
      </c>
      <c r="AK773" s="26">
        <f t="shared" si="444"/>
        <v>7.9929216739146339E-2</v>
      </c>
      <c r="AL773" s="26">
        <f t="shared" si="445"/>
        <v>3.1943398442667156E-3</v>
      </c>
      <c r="AM773" s="27">
        <f t="shared" si="446"/>
        <v>1.351689804434655E-2</v>
      </c>
    </row>
    <row r="774" spans="1:39" ht="15" customHeight="1" x14ac:dyDescent="0.2">
      <c r="A774" s="24">
        <v>763</v>
      </c>
      <c r="B774" s="29">
        <f t="shared" si="447"/>
        <v>5.7367779791445699</v>
      </c>
      <c r="C774" s="29">
        <f t="shared" si="448"/>
        <v>-5.6682715907037471</v>
      </c>
      <c r="D774" s="29">
        <f t="shared" si="449"/>
        <v>-3.476761154013944</v>
      </c>
      <c r="E774" s="29">
        <f t="shared" si="450"/>
        <v>-4.3514032649604237</v>
      </c>
      <c r="F774" s="29">
        <f t="shared" si="451"/>
        <v>4.0364319909669861</v>
      </c>
      <c r="G774" s="29">
        <f t="shared" si="452"/>
        <v>-2.2153253679310541</v>
      </c>
      <c r="H774" s="29">
        <f t="shared" si="453"/>
        <v>6.2872295319448259</v>
      </c>
      <c r="I774" s="29">
        <f t="shared" si="454"/>
        <v>6.3692573734116644</v>
      </c>
      <c r="J774" s="29">
        <f t="shared" si="455"/>
        <v>-3.1168166191337141</v>
      </c>
      <c r="K774" s="26">
        <f t="shared" si="418"/>
        <v>-3.476761154013944</v>
      </c>
      <c r="L774" s="26">
        <f t="shared" si="419"/>
        <v>2.9980728293508622E-2</v>
      </c>
      <c r="M774" s="26">
        <f t="shared" si="420"/>
        <v>-2.2153253679310541</v>
      </c>
      <c r="N774" s="26">
        <f t="shared" si="421"/>
        <v>9.8382682891508408E-2</v>
      </c>
      <c r="O774" s="26">
        <f t="shared" si="422"/>
        <v>-2.3016962703947912</v>
      </c>
      <c r="P774" s="26">
        <f t="shared" si="423"/>
        <v>9.0982574036559266E-2</v>
      </c>
      <c r="Q774" s="26">
        <f t="shared" si="424"/>
        <v>4.1389143891589937E-3</v>
      </c>
      <c r="R774" s="26">
        <f t="shared" si="425"/>
        <v>-9.1450327447176907</v>
      </c>
      <c r="S774" s="26">
        <f t="shared" si="426"/>
        <v>1.0673734213256743E-4</v>
      </c>
      <c r="T774" s="26">
        <f t="shared" si="427"/>
        <v>1.8211066230359321</v>
      </c>
      <c r="U774" s="26">
        <f t="shared" si="428"/>
        <v>0.86069886004951579</v>
      </c>
      <c r="V774" s="26">
        <f t="shared" si="429"/>
        <v>2.3658670236932959</v>
      </c>
      <c r="W774" s="26">
        <f t="shared" si="430"/>
        <v>0.91418718734795013</v>
      </c>
      <c r="X774" s="26">
        <f t="shared" si="431"/>
        <v>3.6819194076279055E-3</v>
      </c>
      <c r="Y774" s="26">
        <f t="shared" si="432"/>
        <v>2.2600168251306259</v>
      </c>
      <c r="Z774" s="26">
        <f t="shared" si="433"/>
        <v>0.90551107063082115</v>
      </c>
      <c r="AA774" s="26">
        <f t="shared" si="434"/>
        <v>-6.5667286328914773</v>
      </c>
      <c r="AB774" s="26">
        <f t="shared" si="435"/>
        <v>1.4044155581761249E-3</v>
      </c>
      <c r="AC774" s="26">
        <f t="shared" si="436"/>
        <v>2.585284409788609</v>
      </c>
      <c r="AD774" s="26">
        <f t="shared" si="437"/>
        <v>0.9299084835044098</v>
      </c>
      <c r="AE774" s="26">
        <f t="shared" si="438"/>
        <v>2.4564103423257966E-3</v>
      </c>
      <c r="AF774" s="26">
        <f t="shared" si="439"/>
        <v>-3.4082547655731212</v>
      </c>
      <c r="AG774" s="26">
        <f t="shared" si="440"/>
        <v>3.2038476541277165E-2</v>
      </c>
      <c r="AH774" s="26">
        <f t="shared" si="441"/>
        <v>-2.5302966419244917</v>
      </c>
      <c r="AI774" s="26">
        <f t="shared" si="442"/>
        <v>7.3761377274662115E-2</v>
      </c>
      <c r="AJ774" s="26">
        <f t="shared" si="443"/>
        <v>-2.4455781671852335</v>
      </c>
      <c r="AK774" s="26">
        <f t="shared" si="444"/>
        <v>7.9762511195165656E-2</v>
      </c>
      <c r="AL774" s="26">
        <f t="shared" si="445"/>
        <v>3.1810290960794631E-3</v>
      </c>
      <c r="AM774" s="27">
        <f t="shared" si="446"/>
        <v>1.3458273235192161E-2</v>
      </c>
    </row>
    <row r="775" spans="1:39" ht="15" customHeight="1" x14ac:dyDescent="0.2">
      <c r="A775" s="24">
        <v>764</v>
      </c>
      <c r="B775" s="29">
        <f t="shared" si="447"/>
        <v>5.7380940161336174</v>
      </c>
      <c r="C775" s="29">
        <f t="shared" si="448"/>
        <v>-5.6694086021857473</v>
      </c>
      <c r="D775" s="29">
        <f t="shared" si="449"/>
        <v>-3.4768164479824466</v>
      </c>
      <c r="E775" s="29">
        <f t="shared" si="450"/>
        <v>-4.3539100981564891</v>
      </c>
      <c r="F775" s="29">
        <f t="shared" si="451"/>
        <v>4.0390251899395162</v>
      </c>
      <c r="G775" s="29">
        <f t="shared" si="452"/>
        <v>-2.216942627683598</v>
      </c>
      <c r="H775" s="29">
        <f t="shared" si="453"/>
        <v>6.2909538856309295</v>
      </c>
      <c r="I775" s="29">
        <f t="shared" si="454"/>
        <v>6.3738858084854124</v>
      </c>
      <c r="J775" s="29">
        <f t="shared" si="455"/>
        <v>-3.1188955134695338</v>
      </c>
      <c r="K775" s="26">
        <f t="shared" si="418"/>
        <v>-3.4768164479824466</v>
      </c>
      <c r="L775" s="26">
        <f t="shared" si="419"/>
        <v>2.9979120282509698E-2</v>
      </c>
      <c r="M775" s="26">
        <f t="shared" si="420"/>
        <v>-2.216942627683598</v>
      </c>
      <c r="N775" s="26">
        <f t="shared" si="421"/>
        <v>9.8239319390203347E-2</v>
      </c>
      <c r="O775" s="26">
        <f t="shared" si="422"/>
        <v>-2.3041320465439994</v>
      </c>
      <c r="P775" s="26">
        <f t="shared" si="423"/>
        <v>9.078132439010371E-2</v>
      </c>
      <c r="Q775" s="26">
        <f t="shared" si="424"/>
        <v>4.1206244290106194E-3</v>
      </c>
      <c r="R775" s="26">
        <f t="shared" si="425"/>
        <v>-9.1462250501681943</v>
      </c>
      <c r="S775" s="26">
        <f t="shared" si="426"/>
        <v>1.0661016801561739E-4</v>
      </c>
      <c r="T775" s="26">
        <f t="shared" si="427"/>
        <v>1.8220825622559182</v>
      </c>
      <c r="U775" s="26">
        <f t="shared" si="428"/>
        <v>0.86081583039739218</v>
      </c>
      <c r="V775" s="26">
        <f t="shared" si="429"/>
        <v>2.368516971270715</v>
      </c>
      <c r="W775" s="26">
        <f t="shared" si="430"/>
        <v>0.9143948449749203</v>
      </c>
      <c r="X775" s="26">
        <f t="shared" si="431"/>
        <v>3.6641212834339645E-3</v>
      </c>
      <c r="Y775" s="26">
        <f t="shared" si="432"/>
        <v>2.2612775681511708</v>
      </c>
      <c r="Z775" s="26">
        <f t="shared" si="433"/>
        <v>0.90561888564224968</v>
      </c>
      <c r="AA775" s="26">
        <f t="shared" si="434"/>
        <v>-6.5708527258400871</v>
      </c>
      <c r="AB775" s="26">
        <f t="shared" si="435"/>
        <v>1.3986436289033541E-3</v>
      </c>
      <c r="AC775" s="26">
        <f t="shared" si="436"/>
        <v>2.5872259288397252</v>
      </c>
      <c r="AD775" s="26">
        <f t="shared" si="437"/>
        <v>0.93003492360787787</v>
      </c>
      <c r="AE775" s="26">
        <f t="shared" si="438"/>
        <v>2.4475559572777424E-3</v>
      </c>
      <c r="AF775" s="26">
        <f t="shared" si="439"/>
        <v>-3.4081310340345765</v>
      </c>
      <c r="AG775" s="26">
        <f t="shared" si="440"/>
        <v>3.2042313927490754E-2</v>
      </c>
      <c r="AH775" s="26">
        <f t="shared" si="441"/>
        <v>-2.5318275359005709</v>
      </c>
      <c r="AI775" s="26">
        <f t="shared" si="442"/>
        <v>7.3656853848488191E-2</v>
      </c>
      <c r="AJ775" s="26">
        <f t="shared" si="443"/>
        <v>-2.4478384187202167</v>
      </c>
      <c r="AK775" s="26">
        <f t="shared" si="444"/>
        <v>7.9596765211727399E-2</v>
      </c>
      <c r="AL775" s="26">
        <f t="shared" si="445"/>
        <v>3.1678225160854286E-3</v>
      </c>
      <c r="AM775" s="27">
        <f t="shared" si="446"/>
        <v>1.3400124185807754E-2</v>
      </c>
    </row>
    <row r="776" spans="1:39" ht="15" customHeight="1" x14ac:dyDescent="0.2">
      <c r="A776" s="24">
        <v>765</v>
      </c>
      <c r="B776" s="29">
        <f t="shared" si="447"/>
        <v>5.7394042028301886</v>
      </c>
      <c r="C776" s="29">
        <f t="shared" si="448"/>
        <v>-5.6705419079507902</v>
      </c>
      <c r="D776" s="29">
        <f t="shared" si="449"/>
        <v>-3.4768725794373863</v>
      </c>
      <c r="E776" s="29">
        <f t="shared" si="450"/>
        <v>-4.3564056221083405</v>
      </c>
      <c r="F776" s="29">
        <f t="shared" si="451"/>
        <v>4.0416064027869023</v>
      </c>
      <c r="G776" s="29">
        <f t="shared" si="452"/>
        <v>-2.21855187876533</v>
      </c>
      <c r="H776" s="29">
        <f t="shared" si="453"/>
        <v>6.2946660568706996</v>
      </c>
      <c r="I776" s="29">
        <f t="shared" si="454"/>
        <v>6.3784947874567228</v>
      </c>
      <c r="J776" s="29">
        <f t="shared" si="455"/>
        <v>-3.1209664267623003</v>
      </c>
      <c r="K776" s="26">
        <f t="shared" si="418"/>
        <v>-3.4768725794373863</v>
      </c>
      <c r="L776" s="26">
        <f t="shared" si="419"/>
        <v>2.9977488001948629E-2</v>
      </c>
      <c r="M776" s="26">
        <f t="shared" si="420"/>
        <v>-2.21855187876533</v>
      </c>
      <c r="N776" s="26">
        <f t="shared" si="421"/>
        <v>9.8096850624879897E-2</v>
      </c>
      <c r="O776" s="26">
        <f t="shared" si="422"/>
        <v>-2.3065579001894685</v>
      </c>
      <c r="P776" s="26">
        <f t="shared" si="423"/>
        <v>9.0581292917238224E-2</v>
      </c>
      <c r="Q776" s="26">
        <f t="shared" si="424"/>
        <v>4.1024853132792562E-3</v>
      </c>
      <c r="R776" s="26">
        <f t="shared" si="425"/>
        <v>-9.1474144873881755</v>
      </c>
      <c r="S776" s="26">
        <f t="shared" si="426"/>
        <v>1.064834507925328E-4</v>
      </c>
      <c r="T776" s="26">
        <f t="shared" si="427"/>
        <v>1.8230545240215723</v>
      </c>
      <c r="U776" s="26">
        <f t="shared" si="428"/>
        <v>0.8609322421840887</v>
      </c>
      <c r="V776" s="26">
        <f t="shared" si="429"/>
        <v>2.3711556701256606</v>
      </c>
      <c r="W776" s="26">
        <f t="shared" si="430"/>
        <v>0.91460116844735284</v>
      </c>
      <c r="X776" s="26">
        <f t="shared" si="431"/>
        <v>3.6464802152787021E-3</v>
      </c>
      <c r="Y776" s="26">
        <f t="shared" si="432"/>
        <v>2.2625316233928023</v>
      </c>
      <c r="Z776" s="26">
        <f t="shared" si="433"/>
        <v>0.90572601939712094</v>
      </c>
      <c r="AA776" s="26">
        <f t="shared" si="434"/>
        <v>-6.5749575008736709</v>
      </c>
      <c r="AB776" s="26">
        <f t="shared" si="435"/>
        <v>1.3929222588866001E-3</v>
      </c>
      <c r="AC776" s="26">
        <f t="shared" si="436"/>
        <v>2.5891611517290105</v>
      </c>
      <c r="AD776" s="26">
        <f t="shared" si="437"/>
        <v>0.93016074374406565</v>
      </c>
      <c r="AE776" s="26">
        <f t="shared" si="438"/>
        <v>2.4387608571910325E-3</v>
      </c>
      <c r="AF776" s="26">
        <f t="shared" si="439"/>
        <v>-3.4080102845579878</v>
      </c>
      <c r="AG776" s="26">
        <f t="shared" si="440"/>
        <v>3.2046059257073066E-2</v>
      </c>
      <c r="AH776" s="26">
        <f t="shared" si="441"/>
        <v>-2.5333510980867682</v>
      </c>
      <c r="AI776" s="26">
        <f t="shared" si="442"/>
        <v>7.355296638334248E-2</v>
      </c>
      <c r="AJ776" s="26">
        <f t="shared" si="443"/>
        <v>-2.4500899726222061</v>
      </c>
      <c r="AK776" s="26">
        <f t="shared" si="444"/>
        <v>7.9431969909073349E-2</v>
      </c>
      <c r="AL776" s="26">
        <f t="shared" si="445"/>
        <v>3.1547189218179669E-3</v>
      </c>
      <c r="AM776" s="27">
        <f t="shared" si="446"/>
        <v>1.3342445307566956E-2</v>
      </c>
    </row>
    <row r="777" spans="1:39" ht="15" customHeight="1" x14ac:dyDescent="0.2">
      <c r="A777" s="24">
        <v>766</v>
      </c>
      <c r="B777" s="29">
        <f t="shared" si="447"/>
        <v>5.7407085867382097</v>
      </c>
      <c r="C777" s="29">
        <f t="shared" si="448"/>
        <v>-5.6716715303217837</v>
      </c>
      <c r="D777" s="29">
        <f t="shared" si="449"/>
        <v>-3.4769295363226775</v>
      </c>
      <c r="E777" s="29">
        <f t="shared" si="450"/>
        <v>-4.3588899283606644</v>
      </c>
      <c r="F777" s="29">
        <f t="shared" si="451"/>
        <v>4.0441757298661996</v>
      </c>
      <c r="G777" s="29">
        <f t="shared" si="452"/>
        <v>-2.2201531906564842</v>
      </c>
      <c r="H777" s="29">
        <f t="shared" si="453"/>
        <v>6.298366119997314</v>
      </c>
      <c r="I777" s="29">
        <f t="shared" si="454"/>
        <v>6.383084464488884</v>
      </c>
      <c r="J777" s="29">
        <f t="shared" si="455"/>
        <v>-3.1230294179511486</v>
      </c>
      <c r="K777" s="26">
        <f t="shared" si="418"/>
        <v>-3.4769295363226775</v>
      </c>
      <c r="L777" s="26">
        <f t="shared" si="419"/>
        <v>2.9975831806234501E-2</v>
      </c>
      <c r="M777" s="26">
        <f t="shared" si="420"/>
        <v>-2.2201531906564842</v>
      </c>
      <c r="N777" s="26">
        <f t="shared" si="421"/>
        <v>9.7955267532381055E-2</v>
      </c>
      <c r="O777" s="26">
        <f t="shared" si="422"/>
        <v>-2.3089739080832294</v>
      </c>
      <c r="P777" s="26">
        <f t="shared" si="423"/>
        <v>9.0382467838620112E-2</v>
      </c>
      <c r="Q777" s="26">
        <f t="shared" si="424"/>
        <v>4.0844952462995993E-3</v>
      </c>
      <c r="R777" s="26">
        <f t="shared" si="425"/>
        <v>-9.1486010666444617</v>
      </c>
      <c r="S777" s="26">
        <f t="shared" si="426"/>
        <v>1.0635718810218654E-4</v>
      </c>
      <c r="T777" s="26">
        <f t="shared" si="427"/>
        <v>1.8240225392097154</v>
      </c>
      <c r="U777" s="26">
        <f t="shared" si="428"/>
        <v>0.86104810013734245</v>
      </c>
      <c r="V777" s="26">
        <f t="shared" si="429"/>
        <v>2.3737832097233516</v>
      </c>
      <c r="W777" s="26">
        <f t="shared" si="430"/>
        <v>0.91480617127241393</v>
      </c>
      <c r="X777" s="26">
        <f t="shared" si="431"/>
        <v>3.6289942266326349E-3</v>
      </c>
      <c r="Y777" s="26">
        <f t="shared" si="432"/>
        <v>2.2637790504155322</v>
      </c>
      <c r="Z777" s="26">
        <f t="shared" si="433"/>
        <v>0.90583247880198448</v>
      </c>
      <c r="AA777" s="26">
        <f t="shared" si="434"/>
        <v>-6.5790431190171486</v>
      </c>
      <c r="AB777" s="26">
        <f t="shared" si="435"/>
        <v>1.3872507988052602E-3</v>
      </c>
      <c r="AC777" s="26">
        <f t="shared" si="436"/>
        <v>2.5910901159506587</v>
      </c>
      <c r="AD777" s="26">
        <f t="shared" si="437"/>
        <v>0.93028594867631864</v>
      </c>
      <c r="AE777" s="26">
        <f t="shared" si="438"/>
        <v>2.4300244759804393E-3</v>
      </c>
      <c r="AF777" s="26">
        <f t="shared" si="439"/>
        <v>-3.4078924799062515</v>
      </c>
      <c r="AG777" s="26">
        <f t="shared" si="440"/>
        <v>3.2049713653898665E-2</v>
      </c>
      <c r="AH777" s="26">
        <f t="shared" si="441"/>
        <v>-2.534867389150949</v>
      </c>
      <c r="AI777" s="26">
        <f t="shared" si="442"/>
        <v>7.3449708659326179E-2</v>
      </c>
      <c r="AJ777" s="26">
        <f t="shared" si="443"/>
        <v>-2.4523328930532382</v>
      </c>
      <c r="AK777" s="26">
        <f t="shared" si="444"/>
        <v>7.9268116519631351E-2</v>
      </c>
      <c r="AL777" s="26">
        <f t="shared" si="445"/>
        <v>3.1417171482849265E-3</v>
      </c>
      <c r="AM777" s="27">
        <f t="shared" si="446"/>
        <v>1.32852310971976E-2</v>
      </c>
    </row>
    <row r="778" spans="1:39" ht="15" customHeight="1" x14ac:dyDescent="0.2">
      <c r="A778" s="24">
        <v>767</v>
      </c>
      <c r="B778" s="29">
        <f t="shared" si="447"/>
        <v>5.7420072148185142</v>
      </c>
      <c r="C778" s="29">
        <f t="shared" si="448"/>
        <v>-5.6727974914295194</v>
      </c>
      <c r="D778" s="29">
        <f t="shared" si="449"/>
        <v>-3.4769873067562669</v>
      </c>
      <c r="E778" s="29">
        <f t="shared" si="450"/>
        <v>-4.3613631074074055</v>
      </c>
      <c r="F778" s="29">
        <f t="shared" si="451"/>
        <v>4.0467332703367509</v>
      </c>
      <c r="G778" s="29">
        <f t="shared" si="452"/>
        <v>-2.2217466319911603</v>
      </c>
      <c r="H778" s="29">
        <f t="shared" si="453"/>
        <v>6.3020541487054169</v>
      </c>
      <c r="I778" s="29">
        <f t="shared" si="454"/>
        <v>6.3876549919841938</v>
      </c>
      <c r="J778" s="29">
        <f t="shared" si="455"/>
        <v>-3.1250845453399232</v>
      </c>
      <c r="K778" s="26">
        <f t="shared" si="418"/>
        <v>-3.4769873067562669</v>
      </c>
      <c r="L778" s="26">
        <f t="shared" si="419"/>
        <v>2.9974152044697281E-2</v>
      </c>
      <c r="M778" s="26">
        <f t="shared" si="420"/>
        <v>-2.2217466319911603</v>
      </c>
      <c r="N778" s="26">
        <f t="shared" si="421"/>
        <v>9.7814561174460551E-2</v>
      </c>
      <c r="O778" s="26">
        <f t="shared" si="422"/>
        <v>-2.3113801461179255</v>
      </c>
      <c r="P778" s="26">
        <f t="shared" si="423"/>
        <v>9.0184837529623113E-2</v>
      </c>
      <c r="Q778" s="26">
        <f t="shared" si="424"/>
        <v>4.0666524601222585E-3</v>
      </c>
      <c r="R778" s="26">
        <f t="shared" si="425"/>
        <v>-9.1497847981857863</v>
      </c>
      <c r="S778" s="26">
        <f t="shared" si="426"/>
        <v>1.0623137759596232E-4</v>
      </c>
      <c r="T778" s="26">
        <f t="shared" si="427"/>
        <v>1.8249866383455906</v>
      </c>
      <c r="U778" s="26">
        <f t="shared" si="428"/>
        <v>0.86116340892774546</v>
      </c>
      <c r="V778" s="26">
        <f t="shared" si="429"/>
        <v>2.3763996785054169</v>
      </c>
      <c r="W778" s="26">
        <f t="shared" si="430"/>
        <v>0.91500986677298135</v>
      </c>
      <c r="X778" s="26">
        <f t="shared" si="431"/>
        <v>3.6116613729731896E-3</v>
      </c>
      <c r="Y778" s="26">
        <f t="shared" si="432"/>
        <v>2.2650199080622473</v>
      </c>
      <c r="Z778" s="26">
        <f t="shared" si="433"/>
        <v>0.90593827066991528</v>
      </c>
      <c r="AA778" s="26">
        <f t="shared" si="434"/>
        <v>-6.5831097393985658</v>
      </c>
      <c r="AB778" s="26">
        <f t="shared" si="435"/>
        <v>1.3816286101846998E-3</v>
      </c>
      <c r="AC778" s="26">
        <f t="shared" si="436"/>
        <v>2.5930128586953418</v>
      </c>
      <c r="AD778" s="26">
        <f t="shared" si="437"/>
        <v>0.93041054311983817</v>
      </c>
      <c r="AE778" s="26">
        <f t="shared" si="438"/>
        <v>2.4213462544379512E-3</v>
      </c>
      <c r="AF778" s="26">
        <f t="shared" si="439"/>
        <v>-3.4077775833672721</v>
      </c>
      <c r="AG778" s="26">
        <f t="shared" si="440"/>
        <v>3.2053278226818034E-2</v>
      </c>
      <c r="AH778" s="26">
        <f t="shared" si="441"/>
        <v>-2.5363764690618149</v>
      </c>
      <c r="AI778" s="26">
        <f t="shared" si="442"/>
        <v>7.3347074538832366E-2</v>
      </c>
      <c r="AJ778" s="26">
        <f t="shared" si="443"/>
        <v>-2.4545672434855863</v>
      </c>
      <c r="AK778" s="26">
        <f t="shared" si="444"/>
        <v>7.9105196386232923E-2</v>
      </c>
      <c r="AL778" s="26">
        <f t="shared" si="445"/>
        <v>3.1288160476522393E-3</v>
      </c>
      <c r="AM778" s="27">
        <f t="shared" si="446"/>
        <v>1.3228476135185638E-2</v>
      </c>
    </row>
    <row r="779" spans="1:39" ht="15" customHeight="1" x14ac:dyDescent="0.2">
      <c r="A779" s="24">
        <v>768</v>
      </c>
      <c r="B779" s="29">
        <f t="shared" si="447"/>
        <v>5.7433001334966907</v>
      </c>
      <c r="C779" s="29">
        <f t="shared" si="448"/>
        <v>-5.6739198132147886</v>
      </c>
      <c r="D779" s="29">
        <f t="shared" si="449"/>
        <v>-3.4770458790273349</v>
      </c>
      <c r="E779" s="29">
        <f t="shared" si="450"/>
        <v>-4.3638252487072231</v>
      </c>
      <c r="F779" s="29">
        <f t="shared" si="451"/>
        <v>4.0492791221785573</v>
      </c>
      <c r="G779" s="29">
        <f t="shared" si="452"/>
        <v>-2.2233322705704666</v>
      </c>
      <c r="H779" s="29">
        <f t="shared" si="453"/>
        <v>6.3057302160578885</v>
      </c>
      <c r="I779" s="29">
        <f t="shared" si="454"/>
        <v>6.3922065206099239</v>
      </c>
      <c r="J779" s="29">
        <f t="shared" si="455"/>
        <v>-3.127131866606077</v>
      </c>
      <c r="K779" s="26">
        <f t="shared" si="418"/>
        <v>-3.4770458790273349</v>
      </c>
      <c r="L779" s="26">
        <f t="shared" si="419"/>
        <v>2.9972449061667801E-2</v>
      </c>
      <c r="M779" s="26">
        <f t="shared" si="420"/>
        <v>-2.2233322705704666</v>
      </c>
      <c r="N779" s="26">
        <f t="shared" si="421"/>
        <v>9.7674722735623803E-2</v>
      </c>
      <c r="O779" s="26">
        <f t="shared" si="422"/>
        <v>-2.3137766893392415</v>
      </c>
      <c r="P779" s="26">
        <f t="shared" si="423"/>
        <v>8.9988390517791658E-2</v>
      </c>
      <c r="Q779" s="26">
        <f t="shared" si="424"/>
        <v>4.0489552139912881E-3</v>
      </c>
      <c r="R779" s="26">
        <f t="shared" si="425"/>
        <v>-9.1509656922421243</v>
      </c>
      <c r="S779" s="26">
        <f t="shared" si="426"/>
        <v>1.0610601693774667E-4</v>
      </c>
      <c r="T779" s="26">
        <f t="shared" si="427"/>
        <v>1.8259468516080908</v>
      </c>
      <c r="U779" s="26">
        <f t="shared" si="428"/>
        <v>0.86127817316963495</v>
      </c>
      <c r="V779" s="26">
        <f t="shared" si="429"/>
        <v>2.379005163904977</v>
      </c>
      <c r="W779" s="26">
        <f t="shared" si="430"/>
        <v>0.91521226809077949</v>
      </c>
      <c r="X779" s="26">
        <f t="shared" si="431"/>
        <v>3.594479741154925E-3</v>
      </c>
      <c r="Y779" s="26">
        <f t="shared" si="432"/>
        <v>2.2662542544693558</v>
      </c>
      <c r="Z779" s="26">
        <f t="shared" si="433"/>
        <v>0.90604340172207154</v>
      </c>
      <c r="AA779" s="26">
        <f t="shared" si="434"/>
        <v>-6.5871575192776897</v>
      </c>
      <c r="AB779" s="26">
        <f t="shared" si="435"/>
        <v>1.376055065174787E-3</v>
      </c>
      <c r="AC779" s="26">
        <f t="shared" si="436"/>
        <v>2.5949294168529944</v>
      </c>
      <c r="AD779" s="26">
        <f t="shared" si="437"/>
        <v>0.9305345317422602</v>
      </c>
      <c r="AE779" s="26">
        <f t="shared" si="438"/>
        <v>2.4127256401335283E-3</v>
      </c>
      <c r="AF779" s="26">
        <f t="shared" si="439"/>
        <v>-3.4076655587454328</v>
      </c>
      <c r="AG779" s="26">
        <f t="shared" si="440"/>
        <v>3.2056754069882523E-2</v>
      </c>
      <c r="AH779" s="26">
        <f t="shared" si="441"/>
        <v>-2.5378783970991323</v>
      </c>
      <c r="AI779" s="26">
        <f t="shared" si="442"/>
        <v>7.3245057965185531E-2</v>
      </c>
      <c r="AJ779" s="26">
        <f t="shared" si="443"/>
        <v>-2.4567930867113712</v>
      </c>
      <c r="AK779" s="26">
        <f t="shared" si="444"/>
        <v>7.8943200960365265E-2</v>
      </c>
      <c r="AL779" s="26">
        <f t="shared" si="445"/>
        <v>3.1160144889343078E-3</v>
      </c>
      <c r="AM779" s="27">
        <f t="shared" si="446"/>
        <v>1.317217508421405E-2</v>
      </c>
    </row>
    <row r="780" spans="1:39" ht="15" customHeight="1" x14ac:dyDescent="0.2">
      <c r="A780" s="24">
        <v>769</v>
      </c>
      <c r="B780" s="29">
        <f t="shared" si="447"/>
        <v>5.7445873886707961</v>
      </c>
      <c r="C780" s="29">
        <f t="shared" si="448"/>
        <v>-5.6750385174304725</v>
      </c>
      <c r="D780" s="29">
        <f t="shared" si="449"/>
        <v>-3.4771052415935499</v>
      </c>
      <c r="E780" s="29">
        <f t="shared" si="450"/>
        <v>-4.3662764406986652</v>
      </c>
      <c r="F780" s="29">
        <f t="shared" si="451"/>
        <v>4.0518133822103097</v>
      </c>
      <c r="G780" s="29">
        <f t="shared" si="452"/>
        <v>-2.2249101733754162</v>
      </c>
      <c r="H780" s="29">
        <f t="shared" si="453"/>
        <v>6.309394394492533</v>
      </c>
      <c r="I780" s="29">
        <f t="shared" si="454"/>
        <v>6.3967391993238198</v>
      </c>
      <c r="J780" s="29">
        <f t="shared" si="455"/>
        <v>-3.1291714388094203</v>
      </c>
      <c r="K780" s="26">
        <f t="shared" ref="K780:K843" si="456">0*B780+0*C780+D780</f>
        <v>-3.4771052415935499</v>
      </c>
      <c r="L780" s="26">
        <f t="shared" ref="L780:L843" si="457">1/(1+EXP(-K780))</f>
        <v>2.9970723196556408E-2</v>
      </c>
      <c r="M780" s="26">
        <f t="shared" ref="M780:M843" si="458">0*E780+0*F780+G780</f>
        <v>-2.2249101733754162</v>
      </c>
      <c r="N780" s="26">
        <f t="shared" ref="N780:N843" si="459">1/(1+EXP(-M780))</f>
        <v>9.7535743521013782E-2</v>
      </c>
      <c r="O780" s="26">
        <f t="shared" ref="O780:O843" si="460">L780*H780+N780*I780+J780</f>
        <v>-2.3161636119581166</v>
      </c>
      <c r="P780" s="26">
        <f t="shared" ref="P780:P843" si="461">1/(1+EXP(-O780))</f>
        <v>8.9793115480344854E-2</v>
      </c>
      <c r="Q780" s="26">
        <f t="shared" ref="Q780:Q843" si="462">0.5*(0-P780)^2</f>
        <v>4.031401793833273E-3</v>
      </c>
      <c r="R780" s="26">
        <f t="shared" ref="R780:R843" si="463">0*B780+1*C780+D780</f>
        <v>-9.1521437590240229</v>
      </c>
      <c r="S780" s="26">
        <f t="shared" ref="S780:S843" si="464">1/(1+EXP(-R780))</f>
        <v>1.0598110380392138E-4</v>
      </c>
      <c r="T780" s="26">
        <f t="shared" ref="T780:T843" si="465">0*E780+1*F780+G780</f>
        <v>1.8269032088348935</v>
      </c>
      <c r="U780" s="26">
        <f t="shared" ref="U780:U843" si="466">1/(1+EXP(-T780))</f>
        <v>0.8613923974219686</v>
      </c>
      <c r="V780" s="26">
        <f t="shared" ref="V780:V843" si="467">S780*H780+U780*I780+J780</f>
        <v>2.3815997523614714</v>
      </c>
      <c r="W780" s="26">
        <f t="shared" ref="W780:W843" si="468">1/(1+EXP(-V780))</f>
        <v>0.91541338818945051</v>
      </c>
      <c r="X780" s="26">
        <f t="shared" ref="X780:X843" si="469">0.5*(1-W780)^2</f>
        <v>3.5774474487942957E-3</v>
      </c>
      <c r="Y780" s="26">
        <f t="shared" ref="Y780:Y843" si="470">1*B780+0*C780+D780</f>
        <v>2.2674821470772462</v>
      </c>
      <c r="Z780" s="26">
        <f t="shared" ref="Z780:Z843" si="471">1/(1+EXP(-Y780))</f>
        <v>0.90614787858922019</v>
      </c>
      <c r="AA780" s="26">
        <f t="shared" ref="AA780:AA843" si="472">1*E780+0*F780+G780</f>
        <v>-6.5911866140740809</v>
      </c>
      <c r="AB780" s="26">
        <f t="shared" ref="AB780:AB843" si="473">1/(1+EXP(-AA780))</f>
        <v>1.3705295463337455E-3</v>
      </c>
      <c r="AC780" s="26">
        <f t="shared" ref="AC780:AC843" si="474">Z780*H780+AB780*I780+J780</f>
        <v>2.5968398270155708</v>
      </c>
      <c r="AD780" s="26">
        <f t="shared" ref="AD780:AD843" si="475">1/(1+EXP(-AC780))</f>
        <v>0.93065791916422458</v>
      </c>
      <c r="AE780" s="26">
        <f t="shared" ref="AE780:AE843" si="476">0.5*(1-AD780)^2</f>
        <v>2.4041620873176063E-3</v>
      </c>
      <c r="AF780" s="26">
        <f t="shared" ref="AF780:AF843" si="477">1*B780+1*C780+D780</f>
        <v>-3.4075563703532263</v>
      </c>
      <c r="AG780" s="26">
        <f t="shared" ref="AG780:AG843" si="478">1/(1+EXP(-AF780))</f>
        <v>3.2060142262565622E-2</v>
      </c>
      <c r="AH780" s="26">
        <f t="shared" ref="AH780:AH843" si="479">1*E780+1*F780+G780</f>
        <v>-2.5393732318637716</v>
      </c>
      <c r="AI780" s="26">
        <f t="shared" ref="AI780:AI843" si="480">1/(1+EXP(-AH780))</f>
        <v>7.3143652961308564E-2</v>
      </c>
      <c r="AJ780" s="26">
        <f t="shared" ref="AJ780:AJ843" si="481">AG780*H780+AI780*I780+J780</f>
        <v>-2.4590104848520156</v>
      </c>
      <c r="AK780" s="26">
        <f t="shared" ref="AK780:AK843" si="482">1/(1+EXP(-AJ780))</f>
        <v>7.8782121800455823E-2</v>
      </c>
      <c r="AL780" s="26">
        <f t="shared" ref="AL780:AL843" si="483">0.5*(0-AK780)^2</f>
        <v>3.1033113576909282E-3</v>
      </c>
      <c r="AM780" s="27">
        <f t="shared" ref="AM780:AM843" si="484">Q780+X780+AE780+AL780</f>
        <v>1.3116322687636102E-2</v>
      </c>
    </row>
    <row r="781" spans="1:39" ht="15" customHeight="1" x14ac:dyDescent="0.2">
      <c r="A781" s="24">
        <v>770</v>
      </c>
      <c r="B781" s="29">
        <f t="shared" ref="B781:B844" si="485">B780-$C$6*(((((P780)-0)*(P780)*(1-(P780)))*H780*(L780)*(1-(L780))*0)+((((W780)-1)*(W780)*(1-(W780)))*H780*(S780)*(1-(S780))*0)+((((AD780)-1)*(AD780)*(1-(AD780)))*H780*(Z780)*(1-(Z780))*1)+((((AK780)-0)*(AK780)*(1-(AK780)))*H780*(AG780)*(1-(AG780))*1))</f>
        <v>5.7458690257189335</v>
      </c>
      <c r="C781" s="29">
        <f t="shared" ref="C781:C844" si="486">C780-$C$6*(((((P780)-0)*(P780)*(1-(P780)))*H780*(L780)*(1-(L780))*0)+((((W780)-1)*(W780)*(1-(W780)))*H780*(S780)*(1-(S780))*1)+((((AD780)-1)*(AD780)*(1-(AD780)))*H780*(Z780)*(1-(Z780))*0)+((((AK780)-0)*(AK780)*(1-(AK780)))*H780*(AG780)*(1-(AG780))*1))</f>
        <v>-5.6761536256436029</v>
      </c>
      <c r="D781" s="29">
        <f t="shared" ref="D781:D844" si="487">D780-$C$6*(((((P780)-0)*(P780)*(1-(P780)))*H780*(L780)*(1-(L780)))+((((W780)-1)*(W780)*(1-(W780)))*H780*(S780)*(1-(S780)))+((((AD780)-1)*(AD780)*(1-(AD780)))*H780*(Z780)*(1-(Z780)))+((((AK780)-0)*(AK780)*(1-(AK780)))*H780*(AG780)*(1-(AG780))))</f>
        <v>-3.4771653830783675</v>
      </c>
      <c r="E781" s="29">
        <f t="shared" ref="E781:E844" si="488">E780-$C$6*(((((P780)-0)*(P780)*(1-(P780)))*I780*(N780)*(1-(N780))*0)+((((W780)-1)*(W780)*(1-(W780)))*I780*(U780)*(1-(U780))*0)+((((AD780)-1)*(AD780)*(1-(AD780)))*I780*(AB780)*(1-(AB780))*1)+((((AK780)-0)*(AK780)*(1-(AK780)))*I780*(AI780)*(1-(AI780))*1))</f>
        <v>-4.368716770815082</v>
      </c>
      <c r="F781" s="29">
        <f t="shared" ref="F781:F844" si="489">F780-$C$6*(((((P780)-0)*(P780)*(1-(P780)))*I780*(N780)*(1-(N780))*0)+((((W780)-1)*(W780)*(1-(W780)))*I780*(U780)*(1-(U780))*1)+((((AD780)-1)*(AD780)*(1-(AD780)))*I780*(AB780)*(1-(AB780))*0)+((((AK780)-0)*(AK780)*(1-(AK780)))*I780*(AI780)*(1-(AI780))*1))</f>
        <v>4.0543361461070848</v>
      </c>
      <c r="G781" s="29">
        <f t="shared" ref="G781:G844" si="490">G780-$C$6*(((((P780)-0)*(P780)*(1-(P780)))*I780*(N780)*(1-(N780)))+((((W780)-1)*(W780)*(1-(W780)))*I780*(U780)*(1-(U780)))+((((AD780)-1)*(AD780)*(1-(AD780)))*I780*(AB780)*(1-(AB780)))+((((AK780)-0)*(AK780)*(1-(AK780)))*I780*(AI780)*(1-(AI780))))</f>
        <v>-2.2264804065795825</v>
      </c>
      <c r="H781" s="29">
        <f t="shared" ref="H781:H844" si="491">H780-$C$6*((((P780)-0)*(P780)*(1-(P780))*L780)+(((W780)-1)*(W780)*(1-(W780))*S780)+(((AD780)-1)*(AD780)*(1-(AD780))*Z780)+(((AK780)-0)*(AK780)*(1-(AK780))*AG780))</f>
        <v>6.3130467558286938</v>
      </c>
      <c r="I781" s="29">
        <f t="shared" ref="I781:I844" si="492">I780-$C$6*((((P780)-0)*(P780)*(1-(P780))*N780)+(((W780)-1)*(W780)*(1-(W780))*U780)+(((AD780)-1)*(AD780)*(1-(AD780))*AB780)+(((AK780)-0)*(AK780)*(1-(AK780))*AI780))</f>
        <v>6.4012531753991464</v>
      </c>
      <c r="J781" s="29">
        <f t="shared" ref="J781:J844" si="493">J780-$C$6*((((P780)-0)*(P780)*(1-(P780)))+(((W780)-1)*(W780)*(1-(W780)))+(((AD780)-1)*(AD780)*(1-(AD780)))+(((AK780)-0)*(AK780)*(1-(AK780))))</f>
        <v>-3.1312033184007193</v>
      </c>
      <c r="K781" s="26">
        <f t="shared" si="456"/>
        <v>-3.4771653830783675</v>
      </c>
      <c r="L781" s="26">
        <f t="shared" si="457"/>
        <v>2.9968974783930274E-2</v>
      </c>
      <c r="M781" s="26">
        <f t="shared" si="458"/>
        <v>-2.2264804065795825</v>
      </c>
      <c r="N781" s="26">
        <f t="shared" si="459"/>
        <v>9.7397614954340184E-2</v>
      </c>
      <c r="O781" s="26">
        <f t="shared" si="460"/>
        <v>-2.3185409873627432</v>
      </c>
      <c r="P781" s="26">
        <f t="shared" si="461"/>
        <v>8.9599001241729523E-2</v>
      </c>
      <c r="Q781" s="26">
        <f t="shared" si="462"/>
        <v>4.0139905117577241E-3</v>
      </c>
      <c r="R781" s="26">
        <f t="shared" si="463"/>
        <v>-9.1533190087219705</v>
      </c>
      <c r="S781" s="26">
        <f t="shared" si="464"/>
        <v>1.0585663588335205E-4</v>
      </c>
      <c r="T781" s="26">
        <f t="shared" si="465"/>
        <v>1.8278557395275024</v>
      </c>
      <c r="U781" s="26">
        <f t="shared" si="466"/>
        <v>0.86150608618918212</v>
      </c>
      <c r="V781" s="26">
        <f t="shared" si="467"/>
        <v>2.3841835293352194</v>
      </c>
      <c r="W781" s="26">
        <f t="shared" si="468"/>
        <v>0.91561323985756582</v>
      </c>
      <c r="X781" s="26">
        <f t="shared" si="469"/>
        <v>3.5605626436683588E-3</v>
      </c>
      <c r="Y781" s="26">
        <f t="shared" si="470"/>
        <v>2.268703642640566</v>
      </c>
      <c r="Z781" s="26">
        <f t="shared" si="471"/>
        <v>0.90625170781323283</v>
      </c>
      <c r="AA781" s="26">
        <f t="shared" si="472"/>
        <v>-6.5951971773946649</v>
      </c>
      <c r="AB781" s="26">
        <f t="shared" si="473"/>
        <v>1.3650514464171753E-3</v>
      </c>
      <c r="AC781" s="26">
        <f t="shared" si="474"/>
        <v>2.5987441254797847</v>
      </c>
      <c r="AD781" s="26">
        <f t="shared" si="475"/>
        <v>0.93078070995993689</v>
      </c>
      <c r="AE781" s="26">
        <f t="shared" si="476"/>
        <v>2.39565505682519E-3</v>
      </c>
      <c r="AF781" s="26">
        <f t="shared" si="477"/>
        <v>-3.4074499830030369</v>
      </c>
      <c r="AG781" s="26">
        <f t="shared" si="478"/>
        <v>3.2063443869980578E-2</v>
      </c>
      <c r="AH781" s="26">
        <f t="shared" si="479"/>
        <v>-2.5408610312875797</v>
      </c>
      <c r="AI781" s="26">
        <f t="shared" si="480"/>
        <v>7.3042853628415283E-2</v>
      </c>
      <c r="AJ781" s="26">
        <f t="shared" si="481"/>
        <v>-2.4612194993675347</v>
      </c>
      <c r="AK781" s="26">
        <f t="shared" si="482"/>
        <v>7.86219505701896E-2</v>
      </c>
      <c r="AL781" s="26">
        <f t="shared" si="483"/>
        <v>3.0907055557306685E-3</v>
      </c>
      <c r="AM781" s="27">
        <f t="shared" si="484"/>
        <v>1.3060913767981942E-2</v>
      </c>
    </row>
    <row r="782" spans="1:39" ht="15" customHeight="1" x14ac:dyDescent="0.2">
      <c r="A782" s="24">
        <v>771</v>
      </c>
      <c r="B782" s="29">
        <f t="shared" si="485"/>
        <v>5.7471450895067049</v>
      </c>
      <c r="C782" s="29">
        <f t="shared" si="486"/>
        <v>-5.6772651592373977</v>
      </c>
      <c r="D782" s="29">
        <f t="shared" si="487"/>
        <v>-3.4772262922683801</v>
      </c>
      <c r="E782" s="29">
        <f t="shared" si="488"/>
        <v>-4.3711463254992697</v>
      </c>
      <c r="F782" s="29">
        <f t="shared" si="489"/>
        <v>4.0568475084177136</v>
      </c>
      <c r="G782" s="29">
        <f t="shared" si="490"/>
        <v>-2.2280430355615177</v>
      </c>
      <c r="H782" s="29">
        <f t="shared" si="491"/>
        <v>6.3166873712737814</v>
      </c>
      <c r="I782" s="29">
        <f t="shared" si="492"/>
        <v>6.4057485944492845</v>
      </c>
      <c r="J782" s="29">
        <f t="shared" si="493"/>
        <v>-3.1332275612301506</v>
      </c>
      <c r="K782" s="26">
        <f t="shared" si="456"/>
        <v>-3.4772262922683801</v>
      </c>
      <c r="L782" s="26">
        <f t="shared" si="457"/>
        <v>2.9967204153589364E-2</v>
      </c>
      <c r="M782" s="26">
        <f t="shared" si="458"/>
        <v>-2.2280430355615177</v>
      </c>
      <c r="N782" s="26">
        <f t="shared" si="459"/>
        <v>9.7260328575851263E-2</v>
      </c>
      <c r="O782" s="26">
        <f t="shared" si="460"/>
        <v>-2.3209088881303543</v>
      </c>
      <c r="P782" s="26">
        <f t="shared" si="461"/>
        <v>8.9406036771220845E-2</v>
      </c>
      <c r="Q782" s="26">
        <f t="shared" si="462"/>
        <v>3.9967197055684467E-3</v>
      </c>
      <c r="R782" s="26">
        <f t="shared" si="463"/>
        <v>-9.1544914515057769</v>
      </c>
      <c r="S782" s="26">
        <f t="shared" si="464"/>
        <v>1.057326108773756E-4</v>
      </c>
      <c r="T782" s="26">
        <f t="shared" si="465"/>
        <v>1.8288044728561959</v>
      </c>
      <c r="U782" s="26">
        <f t="shared" si="466"/>
        <v>0.86161924392203093</v>
      </c>
      <c r="V782" s="26">
        <f t="shared" si="467"/>
        <v>2.3867565793217156</v>
      </c>
      <c r="W782" s="26">
        <f t="shared" si="468"/>
        <v>0.91581183571157476</v>
      </c>
      <c r="X782" s="26">
        <f t="shared" si="469"/>
        <v>3.5438235031274392E-3</v>
      </c>
      <c r="Y782" s="26">
        <f t="shared" si="470"/>
        <v>2.2699187972383248</v>
      </c>
      <c r="Z782" s="26">
        <f t="shared" si="471"/>
        <v>0.90635489584855455</v>
      </c>
      <c r="AA782" s="26">
        <f t="shared" si="472"/>
        <v>-6.5991893610607875</v>
      </c>
      <c r="AB782" s="26">
        <f t="shared" si="473"/>
        <v>1.3596201681721201E-3</v>
      </c>
      <c r="AC782" s="26">
        <f t="shared" si="474"/>
        <v>2.6006423482498309</v>
      </c>
      <c r="AD782" s="26">
        <f t="shared" si="475"/>
        <v>0.93090290865772396</v>
      </c>
      <c r="AE782" s="26">
        <f t="shared" si="476"/>
        <v>2.3872040159814193E-3</v>
      </c>
      <c r="AF782" s="26">
        <f t="shared" si="477"/>
        <v>-3.4073463619990729</v>
      </c>
      <c r="AG782" s="26">
        <f t="shared" si="478"/>
        <v>3.2066659943094517E-2</v>
      </c>
      <c r="AH782" s="26">
        <f t="shared" si="479"/>
        <v>-2.5423418526430739</v>
      </c>
      <c r="AI782" s="26">
        <f t="shared" si="480"/>
        <v>7.2942654144728974E-2</v>
      </c>
      <c r="AJ782" s="26">
        <f t="shared" si="481"/>
        <v>-2.4634201910656768</v>
      </c>
      <c r="AK782" s="26">
        <f t="shared" si="482"/>
        <v>7.846267903685776E-2</v>
      </c>
      <c r="AL782" s="26">
        <f t="shared" si="483"/>
        <v>3.0781960008204792E-3</v>
      </c>
      <c r="AM782" s="27">
        <f t="shared" si="484"/>
        <v>1.3005943225497784E-2</v>
      </c>
    </row>
    <row r="783" spans="1:39" ht="15" customHeight="1" x14ac:dyDescent="0.2">
      <c r="A783" s="24">
        <v>772</v>
      </c>
      <c r="B783" s="29">
        <f t="shared" si="485"/>
        <v>5.7484156243945339</v>
      </c>
      <c r="C783" s="29">
        <f t="shared" si="486"/>
        <v>-5.6783731394132673</v>
      </c>
      <c r="D783" s="29">
        <f t="shared" si="487"/>
        <v>-3.4772879581107121</v>
      </c>
      <c r="E783" s="29">
        <f t="shared" si="488"/>
        <v>-4.3735651902178567</v>
      </c>
      <c r="F783" s="29">
        <f t="shared" si="489"/>
        <v>4.0593475625818307</v>
      </c>
      <c r="G783" s="29">
        <f t="shared" si="490"/>
        <v>-2.2295981249169423</v>
      </c>
      <c r="H783" s="29">
        <f t="shared" si="491"/>
        <v>6.3203163114297327</v>
      </c>
      <c r="I783" s="29">
        <f t="shared" si="492"/>
        <v>6.4102256004518967</v>
      </c>
      <c r="J783" s="29">
        <f t="shared" si="493"/>
        <v>-3.135244222555611</v>
      </c>
      <c r="K783" s="26">
        <f t="shared" si="456"/>
        <v>-3.4772879581107121</v>
      </c>
      <c r="L783" s="26">
        <f t="shared" si="457"/>
        <v>2.9965411630641099E-2</v>
      </c>
      <c r="M783" s="26">
        <f t="shared" si="458"/>
        <v>-2.2295981249169423</v>
      </c>
      <c r="N783" s="26">
        <f t="shared" si="459"/>
        <v>9.7123876040347057E-2</v>
      </c>
      <c r="O783" s="26">
        <f t="shared" si="460"/>
        <v>-2.3232673860388147</v>
      </c>
      <c r="P783" s="26">
        <f t="shared" si="461"/>
        <v>8.921421118056938E-2</v>
      </c>
      <c r="Q783" s="26">
        <f t="shared" si="462"/>
        <v>3.9795877382856155E-3</v>
      </c>
      <c r="R783" s="26">
        <f t="shared" si="463"/>
        <v>-9.1556610975239785</v>
      </c>
      <c r="S783" s="26">
        <f t="shared" si="464"/>
        <v>1.0560902649978526E-4</v>
      </c>
      <c r="T783" s="26">
        <f t="shared" si="465"/>
        <v>1.8297494376648884</v>
      </c>
      <c r="U783" s="26">
        <f t="shared" si="466"/>
        <v>0.86173187501841619</v>
      </c>
      <c r="V783" s="26">
        <f t="shared" si="467"/>
        <v>2.3893189858656751</v>
      </c>
      <c r="W783" s="26">
        <f t="shared" si="468"/>
        <v>0.91600918819869315</v>
      </c>
      <c r="X783" s="26">
        <f t="shared" si="469"/>
        <v>3.5272282335212734E-3</v>
      </c>
      <c r="Y783" s="26">
        <f t="shared" si="470"/>
        <v>2.2711276662838218</v>
      </c>
      <c r="Z783" s="26">
        <f t="shared" si="471"/>
        <v>0.90645744906364112</v>
      </c>
      <c r="AA783" s="26">
        <f t="shared" si="472"/>
        <v>-6.6031633151347986</v>
      </c>
      <c r="AB783" s="26">
        <f t="shared" si="473"/>
        <v>1.3542351241360112E-3</v>
      </c>
      <c r="AC783" s="26">
        <f t="shared" si="474"/>
        <v>2.602534531040074</v>
      </c>
      <c r="AD783" s="26">
        <f t="shared" si="475"/>
        <v>0.93102451974058187</v>
      </c>
      <c r="AE783" s="26">
        <f t="shared" si="476"/>
        <v>2.3788084385086903E-3</v>
      </c>
      <c r="AF783" s="26">
        <f t="shared" si="477"/>
        <v>-3.4072454731294455</v>
      </c>
      <c r="AG783" s="26">
        <f t="shared" si="478"/>
        <v>3.2069791518939079E-2</v>
      </c>
      <c r="AH783" s="26">
        <f t="shared" si="479"/>
        <v>-2.5438157525529683</v>
      </c>
      <c r="AI783" s="26">
        <f t="shared" si="480"/>
        <v>7.2843048764225871E-2</v>
      </c>
      <c r="AJ783" s="26">
        <f t="shared" si="481"/>
        <v>-2.4656126201109028</v>
      </c>
      <c r="AK783" s="26">
        <f t="shared" si="482"/>
        <v>7.8304299069737626E-2</v>
      </c>
      <c r="AL783" s="26">
        <f t="shared" si="483"/>
        <v>3.0657816264014564E-3</v>
      </c>
      <c r="AM783" s="27">
        <f t="shared" si="484"/>
        <v>1.2951406036717036E-2</v>
      </c>
    </row>
    <row r="784" spans="1:39" ht="15" customHeight="1" x14ac:dyDescent="0.2">
      <c r="A784" s="24">
        <v>773</v>
      </c>
      <c r="B784" s="29">
        <f t="shared" si="485"/>
        <v>5.7496806742448632</v>
      </c>
      <c r="C784" s="29">
        <f t="shared" si="486"/>
        <v>-5.6794775871927961</v>
      </c>
      <c r="D784" s="29">
        <f t="shared" si="487"/>
        <v>-3.4773503697104622</v>
      </c>
      <c r="E784" s="29">
        <f t="shared" si="488"/>
        <v>-4.3759734494754401</v>
      </c>
      <c r="F784" s="29">
        <f t="shared" si="489"/>
        <v>4.0618364009466124</v>
      </c>
      <c r="G784" s="29">
        <f t="shared" si="490"/>
        <v>-2.231145738470707</v>
      </c>
      <c r="H784" s="29">
        <f t="shared" si="491"/>
        <v>6.3239336462993885</v>
      </c>
      <c r="I784" s="29">
        <f t="shared" si="492"/>
        <v>6.4146843357726615</v>
      </c>
      <c r="J784" s="29">
        <f t="shared" si="493"/>
        <v>-3.1372533570508891</v>
      </c>
      <c r="K784" s="26">
        <f t="shared" si="456"/>
        <v>-3.4773503697104622</v>
      </c>
      <c r="L784" s="26">
        <f t="shared" si="457"/>
        <v>2.9963597535573754E-2</v>
      </c>
      <c r="M784" s="26">
        <f t="shared" si="458"/>
        <v>-2.231145738470707</v>
      </c>
      <c r="N784" s="26">
        <f t="shared" si="459"/>
        <v>9.6988249115233113E-2</v>
      </c>
      <c r="O784" s="26">
        <f t="shared" si="460"/>
        <v>-2.3256165520779986</v>
      </c>
      <c r="P784" s="26">
        <f t="shared" si="461"/>
        <v>8.9023513721694411E-2</v>
      </c>
      <c r="Q784" s="26">
        <f t="shared" si="462"/>
        <v>3.9625929976783566E-3</v>
      </c>
      <c r="R784" s="26">
        <f t="shared" si="463"/>
        <v>-9.1568279569032587</v>
      </c>
      <c r="S784" s="26">
        <f t="shared" si="464"/>
        <v>1.0548588047681408E-4</v>
      </c>
      <c r="T784" s="26">
        <f t="shared" si="465"/>
        <v>1.8306906624759054</v>
      </c>
      <c r="U784" s="26">
        <f t="shared" si="466"/>
        <v>0.86184398382419536</v>
      </c>
      <c r="V784" s="26">
        <f t="shared" si="467"/>
        <v>2.3918708315748405</v>
      </c>
      <c r="W784" s="26">
        <f t="shared" si="468"/>
        <v>0.91620530959973889</v>
      </c>
      <c r="X784" s="26">
        <f t="shared" si="469"/>
        <v>3.5107750696378053E-3</v>
      </c>
      <c r="Y784" s="26">
        <f t="shared" si="470"/>
        <v>2.272330304534401</v>
      </c>
      <c r="Z784" s="26">
        <f t="shared" si="471"/>
        <v>0.90655937374237117</v>
      </c>
      <c r="AA784" s="26">
        <f t="shared" si="472"/>
        <v>-6.6071191879461466</v>
      </c>
      <c r="AB784" s="26">
        <f t="shared" si="473"/>
        <v>1.3488957364403843E-3</v>
      </c>
      <c r="AC784" s="26">
        <f t="shared" si="474"/>
        <v>2.6044207092777287</v>
      </c>
      <c r="AD784" s="26">
        <f t="shared" si="475"/>
        <v>0.93114554764671631</v>
      </c>
      <c r="AE784" s="26">
        <f t="shared" si="476"/>
        <v>2.3704678044353068E-3</v>
      </c>
      <c r="AF784" s="26">
        <f t="shared" si="477"/>
        <v>-3.4071472826583951</v>
      </c>
      <c r="AG784" s="26">
        <f t="shared" si="478"/>
        <v>3.2072839620817528E-2</v>
      </c>
      <c r="AH784" s="26">
        <f t="shared" si="479"/>
        <v>-2.5452827869995347</v>
      </c>
      <c r="AI784" s="26">
        <f t="shared" si="480"/>
        <v>7.2744031815402982E-2</v>
      </c>
      <c r="AJ784" s="26">
        <f t="shared" si="481"/>
        <v>-2.4677968460332234</v>
      </c>
      <c r="AK784" s="26">
        <f t="shared" si="482"/>
        <v>7.8146802638502558E-2</v>
      </c>
      <c r="AL784" s="26">
        <f t="shared" si="483"/>
        <v>3.0534613813105352E-3</v>
      </c>
      <c r="AM784" s="27">
        <f t="shared" si="484"/>
        <v>1.2897297253062004E-2</v>
      </c>
    </row>
    <row r="785" spans="1:39" ht="15" customHeight="1" x14ac:dyDescent="0.2">
      <c r="A785" s="24">
        <v>774</v>
      </c>
      <c r="B785" s="29">
        <f t="shared" si="485"/>
        <v>5.7509402824292337</v>
      </c>
      <c r="C785" s="29">
        <f t="shared" si="486"/>
        <v>-5.6805785234196984</v>
      </c>
      <c r="D785" s="29">
        <f t="shared" si="487"/>
        <v>-3.4774135163281881</v>
      </c>
      <c r="E785" s="29">
        <f t="shared" si="488"/>
        <v>-4.3783711868284714</v>
      </c>
      <c r="F785" s="29">
        <f t="shared" si="489"/>
        <v>4.0643141147832047</v>
      </c>
      <c r="G785" s="29">
        <f t="shared" si="490"/>
        <v>-2.2326859392885341</v>
      </c>
      <c r="H785" s="29">
        <f t="shared" si="491"/>
        <v>6.3275394452927989</v>
      </c>
      <c r="I785" s="29">
        <f t="shared" si="492"/>
        <v>6.419124941188592</v>
      </c>
      <c r="J785" s="29">
        <f t="shared" si="493"/>
        <v>-3.1392550188136985</v>
      </c>
      <c r="K785" s="26">
        <f t="shared" si="456"/>
        <v>-3.4774135163281881</v>
      </c>
      <c r="L785" s="26">
        <f t="shared" si="457"/>
        <v>2.9961762184328618E-2</v>
      </c>
      <c r="M785" s="26">
        <f t="shared" si="458"/>
        <v>-2.2326859392885341</v>
      </c>
      <c r="N785" s="26">
        <f t="shared" si="459"/>
        <v>9.6853439678613998E-2</v>
      </c>
      <c r="O785" s="26">
        <f t="shared" si="460"/>
        <v>-2.3279564564609814</v>
      </c>
      <c r="P785" s="26">
        <f t="shared" si="461"/>
        <v>8.8833933784421212E-2</v>
      </c>
      <c r="Q785" s="26">
        <f t="shared" si="462"/>
        <v>3.9457338958074663E-3</v>
      </c>
      <c r="R785" s="26">
        <f t="shared" si="463"/>
        <v>-9.1579920397478869</v>
      </c>
      <c r="S785" s="26">
        <f t="shared" si="464"/>
        <v>1.0536317054711662E-4</v>
      </c>
      <c r="T785" s="26">
        <f t="shared" si="465"/>
        <v>1.8316281754946706</v>
      </c>
      <c r="U785" s="26">
        <f t="shared" si="466"/>
        <v>0.8619555746339771</v>
      </c>
      <c r="V785" s="26">
        <f t="shared" si="467"/>
        <v>2.3944121981335273</v>
      </c>
      <c r="W785" s="26">
        <f t="shared" si="468"/>
        <v>0.91640021203190547</v>
      </c>
      <c r="X785" s="26">
        <f t="shared" si="469"/>
        <v>3.4944622741551815E-3</v>
      </c>
      <c r="Y785" s="26">
        <f t="shared" si="470"/>
        <v>2.2735267661010456</v>
      </c>
      <c r="Z785" s="26">
        <f t="shared" si="471"/>
        <v>0.90666067608543044</v>
      </c>
      <c r="AA785" s="26">
        <f t="shared" si="472"/>
        <v>-6.6110571261170055</v>
      </c>
      <c r="AB785" s="26">
        <f t="shared" si="473"/>
        <v>1.3436014366192267E-3</v>
      </c>
      <c r="AC785" s="26">
        <f t="shared" si="474"/>
        <v>2.6063009181055197</v>
      </c>
      <c r="AD785" s="26">
        <f t="shared" si="475"/>
        <v>0.93126599677007693</v>
      </c>
      <c r="AE785" s="26">
        <f t="shared" si="476"/>
        <v>2.3621816000055375E-3</v>
      </c>
      <c r="AF785" s="26">
        <f t="shared" si="477"/>
        <v>-3.4070517573186527</v>
      </c>
      <c r="AG785" s="26">
        <f t="shared" si="478"/>
        <v>3.2075805258508693E-2</v>
      </c>
      <c r="AH785" s="26">
        <f t="shared" si="479"/>
        <v>-2.5467430113338008</v>
      </c>
      <c r="AI785" s="26">
        <f t="shared" si="480"/>
        <v>7.2645597700070008E-2</v>
      </c>
      <c r="AJ785" s="26">
        <f t="shared" si="481"/>
        <v>-2.4699729277368827</v>
      </c>
      <c r="AK785" s="26">
        <f t="shared" si="482"/>
        <v>7.7990181811661924E-2</v>
      </c>
      <c r="AL785" s="26">
        <f t="shared" si="483"/>
        <v>3.0412342295080413E-3</v>
      </c>
      <c r="AM785" s="27">
        <f t="shared" si="484"/>
        <v>1.2843611999476227E-2</v>
      </c>
    </row>
    <row r="786" spans="1:39" ht="15" customHeight="1" x14ac:dyDescent="0.2">
      <c r="A786" s="24">
        <v>775</v>
      </c>
      <c r="B786" s="29">
        <f t="shared" si="485"/>
        <v>5.7521944918352395</v>
      </c>
      <c r="C786" s="29">
        <f t="shared" si="486"/>
        <v>-5.6816759687617466</v>
      </c>
      <c r="D786" s="29">
        <f t="shared" si="487"/>
        <v>-3.4774773873774389</v>
      </c>
      <c r="E786" s="29">
        <f t="shared" si="488"/>
        <v>-4.3807584848989025</v>
      </c>
      <c r="F786" s="29">
        <f t="shared" si="489"/>
        <v>4.0667807943028551</v>
      </c>
      <c r="G786" s="29">
        <f t="shared" si="490"/>
        <v>-2.2342187896885446</v>
      </c>
      <c r="H786" s="29">
        <f t="shared" si="491"/>
        <v>6.3311337772334522</v>
      </c>
      <c r="I786" s="29">
        <f t="shared" si="492"/>
        <v>6.4235475559109423</v>
      </c>
      <c r="J786" s="29">
        <f t="shared" si="493"/>
        <v>-3.1412492613735763</v>
      </c>
      <c r="K786" s="26">
        <f t="shared" si="456"/>
        <v>-3.4774773873774389</v>
      </c>
      <c r="L786" s="26">
        <f t="shared" si="457"/>
        <v>2.9959905888370889E-2</v>
      </c>
      <c r="M786" s="26">
        <f t="shared" si="458"/>
        <v>-2.2342187896885446</v>
      </c>
      <c r="N786" s="26">
        <f t="shared" si="459"/>
        <v>9.6719439717424902E-2</v>
      </c>
      <c r="O786" s="26">
        <f t="shared" si="460"/>
        <v>-2.3302871686350355</v>
      </c>
      <c r="P786" s="26">
        <f t="shared" si="461"/>
        <v>8.8645460894262049E-2</v>
      </c>
      <c r="Q786" s="26">
        <f t="shared" si="462"/>
        <v>3.9290088685780709E-3</v>
      </c>
      <c r="R786" s="26">
        <f t="shared" si="463"/>
        <v>-9.1591533561391856</v>
      </c>
      <c r="S786" s="26">
        <f t="shared" si="464"/>
        <v>1.0524089446174793E-4</v>
      </c>
      <c r="T786" s="26">
        <f t="shared" si="465"/>
        <v>1.8325620046143105</v>
      </c>
      <c r="U786" s="26">
        <f t="shared" si="466"/>
        <v>0.86206665169190244</v>
      </c>
      <c r="V786" s="26">
        <f t="shared" si="467"/>
        <v>2.3969431663159462</v>
      </c>
      <c r="W786" s="26">
        <f t="shared" si="468"/>
        <v>0.91659390745148328</v>
      </c>
      <c r="X786" s="26">
        <f t="shared" si="469"/>
        <v>3.4782881371058683E-3</v>
      </c>
      <c r="Y786" s="26">
        <f t="shared" si="470"/>
        <v>2.2747171044578005</v>
      </c>
      <c r="Z786" s="26">
        <f t="shared" si="471"/>
        <v>0.9067613622116677</v>
      </c>
      <c r="AA786" s="26">
        <f t="shared" si="472"/>
        <v>-6.6149772745874476</v>
      </c>
      <c r="AB786" s="26">
        <f t="shared" si="473"/>
        <v>1.3383516654218244E-3</v>
      </c>
      <c r="AC786" s="26">
        <f t="shared" si="474"/>
        <v>2.6081751923842997</v>
      </c>
      <c r="AD786" s="26">
        <f t="shared" si="475"/>
        <v>0.93138587146088347</v>
      </c>
      <c r="AE786" s="26">
        <f t="shared" si="476"/>
        <v>2.3539493175912026E-3</v>
      </c>
      <c r="AF786" s="26">
        <f t="shared" si="477"/>
        <v>-3.4069588643039461</v>
      </c>
      <c r="AG786" s="26">
        <f t="shared" si="478"/>
        <v>3.2078689428467401E-2</v>
      </c>
      <c r="AH786" s="26">
        <f t="shared" si="479"/>
        <v>-2.548196480284592</v>
      </c>
      <c r="AI786" s="26">
        <f t="shared" si="480"/>
        <v>7.2547740892164272E-2</v>
      </c>
      <c r="AJ786" s="26">
        <f t="shared" si="481"/>
        <v>-2.4721409235089027</v>
      </c>
      <c r="AK786" s="26">
        <f t="shared" si="482"/>
        <v>7.7834428755029647E-2</v>
      </c>
      <c r="AL786" s="26">
        <f t="shared" si="483"/>
        <v>3.0290991498108928E-3</v>
      </c>
      <c r="AM786" s="27">
        <f t="shared" si="484"/>
        <v>1.2790345473086035E-2</v>
      </c>
    </row>
    <row r="787" spans="1:39" ht="15" customHeight="1" x14ac:dyDescent="0.2">
      <c r="A787" s="24">
        <v>776</v>
      </c>
      <c r="B787" s="29">
        <f t="shared" si="485"/>
        <v>5.7534433448733679</v>
      </c>
      <c r="C787" s="29">
        <f t="shared" si="486"/>
        <v>-5.6827699437126782</v>
      </c>
      <c r="D787" s="29">
        <f t="shared" si="487"/>
        <v>-3.4775419724223289</v>
      </c>
      <c r="E787" s="29">
        <f t="shared" si="488"/>
        <v>-4.3831354253875894</v>
      </c>
      <c r="F787" s="29">
        <f t="shared" si="489"/>
        <v>4.0692365286727474</v>
      </c>
      <c r="G787" s="29">
        <f t="shared" si="490"/>
        <v>-2.235744351252571</v>
      </c>
      <c r="H787" s="29">
        <f t="shared" si="491"/>
        <v>6.3347167103644324</v>
      </c>
      <c r="I787" s="29">
        <f t="shared" si="492"/>
        <v>6.4279523176077165</v>
      </c>
      <c r="J787" s="29">
        <f t="shared" si="493"/>
        <v>-3.1432361376996503</v>
      </c>
      <c r="K787" s="26">
        <f t="shared" si="456"/>
        <v>-3.4775419724223289</v>
      </c>
      <c r="L787" s="26">
        <f t="shared" si="457"/>
        <v>2.9958028954759394E-2</v>
      </c>
      <c r="M787" s="26">
        <f t="shared" si="458"/>
        <v>-2.235744351252571</v>
      </c>
      <c r="N787" s="26">
        <f t="shared" si="459"/>
        <v>9.6586241325601591E-2</v>
      </c>
      <c r="O787" s="26">
        <f t="shared" si="460"/>
        <v>-2.3326087572924354</v>
      </c>
      <c r="P787" s="26">
        <f t="shared" si="461"/>
        <v>8.8458084710240026E-2</v>
      </c>
      <c r="Q787" s="26">
        <f t="shared" si="462"/>
        <v>3.9124163753019997E-3</v>
      </c>
      <c r="R787" s="26">
        <f t="shared" si="463"/>
        <v>-9.1603119161350079</v>
      </c>
      <c r="S787" s="26">
        <f t="shared" si="464"/>
        <v>1.0511904998414163E-4</v>
      </c>
      <c r="T787" s="26">
        <f t="shared" si="465"/>
        <v>1.8334921774201764</v>
      </c>
      <c r="U787" s="26">
        <f t="shared" si="466"/>
        <v>0.86217721919241042</v>
      </c>
      <c r="V787" s="26">
        <f t="shared" si="467"/>
        <v>2.3994638159992925</v>
      </c>
      <c r="W787" s="26">
        <f t="shared" si="468"/>
        <v>0.91678640765652764</v>
      </c>
      <c r="X787" s="26">
        <f t="shared" si="469"/>
        <v>3.4622509753528012E-3</v>
      </c>
      <c r="Y787" s="26">
        <f t="shared" si="470"/>
        <v>2.2759013724510391</v>
      </c>
      <c r="Z787" s="26">
        <f t="shared" si="471"/>
        <v>0.9068614381594271</v>
      </c>
      <c r="AA787" s="26">
        <f t="shared" si="472"/>
        <v>-6.6188797766401599</v>
      </c>
      <c r="AB787" s="26">
        <f t="shared" si="473"/>
        <v>1.3331458726300056E-3</v>
      </c>
      <c r="AC787" s="26">
        <f t="shared" si="474"/>
        <v>2.6100435666956749</v>
      </c>
      <c r="AD787" s="26">
        <f t="shared" si="475"/>
        <v>0.93150517602614702</v>
      </c>
      <c r="AE787" s="26">
        <f t="shared" si="476"/>
        <v>2.3457704556045524E-3</v>
      </c>
      <c r="AF787" s="26">
        <f t="shared" si="477"/>
        <v>-3.4068685712616391</v>
      </c>
      <c r="AG787" s="26">
        <f t="shared" si="478"/>
        <v>3.2081493114021711E-2</v>
      </c>
      <c r="AH787" s="26">
        <f t="shared" si="479"/>
        <v>-2.5496432479674129</v>
      </c>
      <c r="AI787" s="26">
        <f t="shared" si="480"/>
        <v>7.2450455936588928E-2</v>
      </c>
      <c r="AJ787" s="26">
        <f t="shared" si="481"/>
        <v>-2.4743008910274829</v>
      </c>
      <c r="AK787" s="26">
        <f t="shared" si="482"/>
        <v>7.7679535730221419E-2</v>
      </c>
      <c r="AL787" s="26">
        <f t="shared" si="483"/>
        <v>3.0170551356313731E-3</v>
      </c>
      <c r="AM787" s="27">
        <f t="shared" si="484"/>
        <v>1.2737492941890726E-2</v>
      </c>
    </row>
    <row r="788" spans="1:39" ht="15" customHeight="1" x14ac:dyDescent="0.2">
      <c r="A788" s="24">
        <v>777</v>
      </c>
      <c r="B788" s="29">
        <f t="shared" si="485"/>
        <v>5.7546868834837239</v>
      </c>
      <c r="C788" s="29">
        <f t="shared" si="486"/>
        <v>-5.6838604685940712</v>
      </c>
      <c r="D788" s="29">
        <f t="shared" si="487"/>
        <v>-3.4776072611751534</v>
      </c>
      <c r="E788" s="29">
        <f t="shared" si="488"/>
        <v>-4.3855020890874679</v>
      </c>
      <c r="F788" s="29">
        <f t="shared" si="489"/>
        <v>4.0716814060315549</v>
      </c>
      <c r="G788" s="29">
        <f t="shared" si="490"/>
        <v>-2.2372626848372645</v>
      </c>
      <c r="H788" s="29">
        <f t="shared" si="491"/>
        <v>6.3382883123545009</v>
      </c>
      <c r="I788" s="29">
        <f t="shared" si="492"/>
        <v>6.432339362425779</v>
      </c>
      <c r="J788" s="29">
        <f t="shared" si="493"/>
        <v>-3.1452157002082761</v>
      </c>
      <c r="K788" s="26">
        <f t="shared" si="456"/>
        <v>-3.4776072611751534</v>
      </c>
      <c r="L788" s="26">
        <f t="shared" si="457"/>
        <v>2.9956131686215089E-2</v>
      </c>
      <c r="M788" s="26">
        <f t="shared" si="458"/>
        <v>-2.2372626848372645</v>
      </c>
      <c r="N788" s="26">
        <f t="shared" si="459"/>
        <v>9.645383670228673E-2</v>
      </c>
      <c r="O788" s="26">
        <f t="shared" si="460"/>
        <v>-2.3349212903810797</v>
      </c>
      <c r="P788" s="26">
        <f t="shared" si="461"/>
        <v>8.8271795022754493E-2</v>
      </c>
      <c r="Q788" s="26">
        <f t="shared" si="462"/>
        <v>3.8959548982695925E-3</v>
      </c>
      <c r="R788" s="26">
        <f t="shared" si="463"/>
        <v>-9.1614677297692246</v>
      </c>
      <c r="S788" s="26">
        <f t="shared" si="464"/>
        <v>1.0499763489008713E-4</v>
      </c>
      <c r="T788" s="26">
        <f t="shared" si="465"/>
        <v>1.8344187211942904</v>
      </c>
      <c r="U788" s="26">
        <f t="shared" si="466"/>
        <v>0.86228728128099019</v>
      </c>
      <c r="V788" s="26">
        <f t="shared" si="467"/>
        <v>2.4019742261765953</v>
      </c>
      <c r="W788" s="26">
        <f t="shared" si="468"/>
        <v>0.91697772428947222</v>
      </c>
      <c r="X788" s="26">
        <f t="shared" si="469"/>
        <v>3.4463491320774458E-3</v>
      </c>
      <c r="Y788" s="26">
        <f t="shared" si="470"/>
        <v>2.2770796223085705</v>
      </c>
      <c r="Z788" s="26">
        <f t="shared" si="471"/>
        <v>0.90696090988785383</v>
      </c>
      <c r="AA788" s="26">
        <f t="shared" si="472"/>
        <v>-6.6227647739247324</v>
      </c>
      <c r="AB788" s="26">
        <f t="shared" si="473"/>
        <v>1.327983516879634E-3</v>
      </c>
      <c r="AC788" s="26">
        <f t="shared" si="474"/>
        <v>2.6119060753445891</v>
      </c>
      <c r="AD788" s="26">
        <f t="shared" si="475"/>
        <v>0.9316239147301818</v>
      </c>
      <c r="AE788" s="26">
        <f t="shared" si="476"/>
        <v>2.3376445184127245E-3</v>
      </c>
      <c r="AF788" s="26">
        <f t="shared" si="477"/>
        <v>-3.4067808462855007</v>
      </c>
      <c r="AG788" s="26">
        <f t="shared" si="478"/>
        <v>3.2084217285567075E-2</v>
      </c>
      <c r="AH788" s="26">
        <f t="shared" si="479"/>
        <v>-2.5510833678931775</v>
      </c>
      <c r="AI788" s="26">
        <f t="shared" si="480"/>
        <v>7.2353737448073357E-2</v>
      </c>
      <c r="AJ788" s="26">
        <f t="shared" si="481"/>
        <v>-2.4764528873702618</v>
      </c>
      <c r="AK788" s="26">
        <f t="shared" si="482"/>
        <v>7.7525495093179686E-2</v>
      </c>
      <c r="AL788" s="26">
        <f t="shared" si="483"/>
        <v>3.0051011947213138E-3</v>
      </c>
      <c r="AM788" s="27">
        <f t="shared" si="484"/>
        <v>1.2685049743481076E-2</v>
      </c>
    </row>
    <row r="789" spans="1:39" ht="15" customHeight="1" x14ac:dyDescent="0.2">
      <c r="A789" s="24">
        <v>778</v>
      </c>
      <c r="B789" s="29">
        <f t="shared" si="485"/>
        <v>5.7559251491426409</v>
      </c>
      <c r="C789" s="29">
        <f t="shared" si="486"/>
        <v>-5.6849475635572038</v>
      </c>
      <c r="D789" s="29">
        <f t="shared" si="487"/>
        <v>-3.4776732434940483</v>
      </c>
      <c r="E789" s="29">
        <f t="shared" si="488"/>
        <v>-4.3878585558964991</v>
      </c>
      <c r="F789" s="29">
        <f t="shared" si="489"/>
        <v>4.0741155135047071</v>
      </c>
      <c r="G789" s="29">
        <f t="shared" si="490"/>
        <v>-2.2387738505850003</v>
      </c>
      <c r="H789" s="29">
        <f t="shared" si="491"/>
        <v>6.3418486503041089</v>
      </c>
      <c r="I789" s="29">
        <f t="shared" si="492"/>
        <v>6.4367088250125848</v>
      </c>
      <c r="J789" s="29">
        <f t="shared" si="493"/>
        <v>-3.1471880007705493</v>
      </c>
      <c r="K789" s="26">
        <f t="shared" si="456"/>
        <v>-3.4776732434940483</v>
      </c>
      <c r="L789" s="26">
        <f t="shared" si="457"/>
        <v>2.9954214381188424E-2</v>
      </c>
      <c r="M789" s="26">
        <f t="shared" si="458"/>
        <v>-2.2387738505850003</v>
      </c>
      <c r="N789" s="26">
        <f t="shared" si="459"/>
        <v>9.6322218150072386E-2</v>
      </c>
      <c r="O789" s="26">
        <f t="shared" si="460"/>
        <v>-2.337224835114931</v>
      </c>
      <c r="P789" s="26">
        <f t="shared" si="461"/>
        <v>8.808658175148712E-2</v>
      </c>
      <c r="Q789" s="26">
        <f t="shared" si="462"/>
        <v>3.8796229423307118E-3</v>
      </c>
      <c r="R789" s="26">
        <f t="shared" si="463"/>
        <v>-9.1626208070512511</v>
      </c>
      <c r="S789" s="26">
        <f t="shared" si="464"/>
        <v>1.0487664696770282E-4</v>
      </c>
      <c r="T789" s="26">
        <f t="shared" si="465"/>
        <v>1.8353416629197068</v>
      </c>
      <c r="U789" s="26">
        <f t="shared" si="466"/>
        <v>0.86239684205491951</v>
      </c>
      <c r="V789" s="26">
        <f t="shared" si="467"/>
        <v>2.4044744749693563</v>
      </c>
      <c r="W789" s="26">
        <f t="shared" si="468"/>
        <v>0.91716786883969215</v>
      </c>
      <c r="X789" s="26">
        <f t="shared" si="469"/>
        <v>3.4305809762792214E-3</v>
      </c>
      <c r="Y789" s="26">
        <f t="shared" si="470"/>
        <v>2.2782519056485926</v>
      </c>
      <c r="Z789" s="26">
        <f t="shared" si="471"/>
        <v>0.90705978327817538</v>
      </c>
      <c r="AA789" s="26">
        <f t="shared" si="472"/>
        <v>-6.6266324064814999</v>
      </c>
      <c r="AB789" s="26">
        <f t="shared" si="473"/>
        <v>1.3228640654862757E-3</v>
      </c>
      <c r="AC789" s="26">
        <f t="shared" si="474"/>
        <v>2.6137627523618927</v>
      </c>
      <c r="AD789" s="26">
        <f t="shared" si="475"/>
        <v>0.93174209179511336</v>
      </c>
      <c r="AE789" s="26">
        <f t="shared" si="476"/>
        <v>2.3295710162533657E-3</v>
      </c>
      <c r="AF789" s="26">
        <f t="shared" si="477"/>
        <v>-3.4066956579086112</v>
      </c>
      <c r="AG789" s="26">
        <f t="shared" si="478"/>
        <v>3.2086862900757129E-2</v>
      </c>
      <c r="AH789" s="26">
        <f t="shared" si="479"/>
        <v>-2.5525168929767923</v>
      </c>
      <c r="AI789" s="26">
        <f t="shared" si="480"/>
        <v>7.2257580110055161E-2</v>
      </c>
      <c r="AJ789" s="26">
        <f t="shared" si="481"/>
        <v>-2.4785969690224441</v>
      </c>
      <c r="AK789" s="26">
        <f t="shared" si="482"/>
        <v>7.7372299292725627E-2</v>
      </c>
      <c r="AL789" s="26">
        <f t="shared" si="483"/>
        <v>2.9932363489215551E-3</v>
      </c>
      <c r="AM789" s="27">
        <f t="shared" si="484"/>
        <v>1.2633011283784853E-2</v>
      </c>
    </row>
    <row r="790" spans="1:39" ht="15" customHeight="1" x14ac:dyDescent="0.2">
      <c r="A790" s="24">
        <v>779</v>
      </c>
      <c r="B790" s="29">
        <f t="shared" si="485"/>
        <v>5.7571581828691825</v>
      </c>
      <c r="C790" s="29">
        <f t="shared" si="486"/>
        <v>-5.6860312485848823</v>
      </c>
      <c r="D790" s="29">
        <f t="shared" si="487"/>
        <v>-3.4777399093806887</v>
      </c>
      <c r="E790" s="29">
        <f t="shared" si="488"/>
        <v>-4.3902049048303891</v>
      </c>
      <c r="F790" s="29">
        <f t="shared" si="489"/>
        <v>4.0765389372193832</v>
      </c>
      <c r="G790" s="29">
        <f t="shared" si="490"/>
        <v>-2.2402779079345834</v>
      </c>
      <c r="H790" s="29">
        <f t="shared" si="491"/>
        <v>6.3453977907513384</v>
      </c>
      <c r="I790" s="29">
        <f t="shared" si="492"/>
        <v>6.4410608385375303</v>
      </c>
      <c r="J790" s="29">
        <f t="shared" si="493"/>
        <v>-3.1491530907196892</v>
      </c>
      <c r="K790" s="26">
        <f t="shared" si="456"/>
        <v>-3.4777399093806887</v>
      </c>
      <c r="L790" s="26">
        <f t="shared" si="457"/>
        <v>2.9952277333925553E-2</v>
      </c>
      <c r="M790" s="26">
        <f t="shared" si="458"/>
        <v>-2.2402779079345834</v>
      </c>
      <c r="N790" s="26">
        <f t="shared" si="459"/>
        <v>9.6191378073277545E-2</v>
      </c>
      <c r="O790" s="26">
        <f t="shared" si="460"/>
        <v>-2.3395194579842808</v>
      </c>
      <c r="P790" s="26">
        <f t="shared" si="461"/>
        <v>8.7902434943347804E-2</v>
      </c>
      <c r="Q790" s="26">
        <f t="shared" si="462"/>
        <v>3.8634190344847465E-3</v>
      </c>
      <c r="R790" s="26">
        <f t="shared" si="463"/>
        <v>-9.1637711579655701</v>
      </c>
      <c r="S790" s="26">
        <f t="shared" si="464"/>
        <v>1.0475608401741019E-4</v>
      </c>
      <c r="T790" s="26">
        <f t="shared" si="465"/>
        <v>1.8362610292847998</v>
      </c>
      <c r="U790" s="26">
        <f t="shared" si="466"/>
        <v>0.86250590556398865</v>
      </c>
      <c r="V790" s="26">
        <f t="shared" si="467"/>
        <v>2.4069646396399595</v>
      </c>
      <c r="W790" s="26">
        <f t="shared" si="468"/>
        <v>0.91735685264601685</v>
      </c>
      <c r="X790" s="26">
        <f t="shared" si="469"/>
        <v>3.4149449022860857E-3</v>
      </c>
      <c r="Y790" s="26">
        <f t="shared" si="470"/>
        <v>2.2794182734884938</v>
      </c>
      <c r="Z790" s="26">
        <f t="shared" si="471"/>
        <v>0.90715806413495703</v>
      </c>
      <c r="AA790" s="26">
        <f t="shared" si="472"/>
        <v>-6.6304828127649724</v>
      </c>
      <c r="AB790" s="26">
        <f t="shared" si="473"/>
        <v>1.3177869942748955E-3</v>
      </c>
      <c r="AC790" s="26">
        <f t="shared" si="474"/>
        <v>2.6156136315068861</v>
      </c>
      <c r="AD790" s="26">
        <f t="shared" si="475"/>
        <v>0.93185971140137758</v>
      </c>
      <c r="AE790" s="26">
        <f t="shared" si="476"/>
        <v>2.3215494651517765E-3</v>
      </c>
      <c r="AF790" s="26">
        <f t="shared" si="477"/>
        <v>-3.4066129750963885</v>
      </c>
      <c r="AG790" s="26">
        <f t="shared" si="478"/>
        <v>3.2089430904691622E-2</v>
      </c>
      <c r="AH790" s="26">
        <f t="shared" si="479"/>
        <v>-2.5539438755455892</v>
      </c>
      <c r="AI790" s="26">
        <f t="shared" si="480"/>
        <v>7.2161978673583968E-2</v>
      </c>
      <c r="AJ790" s="26">
        <f t="shared" si="481"/>
        <v>-2.4807331918847892</v>
      </c>
      <c r="AK790" s="26">
        <f t="shared" si="482"/>
        <v>7.7219940869138068E-2</v>
      </c>
      <c r="AL790" s="26">
        <f t="shared" si="483"/>
        <v>2.9814596339165899E-3</v>
      </c>
      <c r="AM790" s="27">
        <f t="shared" si="484"/>
        <v>1.2581373035839198E-2</v>
      </c>
    </row>
    <row r="791" spans="1:39" ht="15" customHeight="1" x14ac:dyDescent="0.2">
      <c r="A791" s="24">
        <v>780</v>
      </c>
      <c r="B791" s="29">
        <f t="shared" si="485"/>
        <v>5.7583860252315331</v>
      </c>
      <c r="C791" s="29">
        <f t="shared" si="486"/>
        <v>-5.6871115434932493</v>
      </c>
      <c r="D791" s="29">
        <f t="shared" si="487"/>
        <v>-3.4778072489780287</v>
      </c>
      <c r="E791" s="29">
        <f t="shared" si="488"/>
        <v>-4.392541214035095</v>
      </c>
      <c r="F791" s="29">
        <f t="shared" si="489"/>
        <v>4.078951762319238</v>
      </c>
      <c r="G791" s="29">
        <f t="shared" si="490"/>
        <v>-2.241774915631761</v>
      </c>
      <c r="H791" s="29">
        <f t="shared" si="491"/>
        <v>6.3489357996777702</v>
      </c>
      <c r="I791" s="29">
        <f t="shared" si="492"/>
        <v>6.4453955347129339</v>
      </c>
      <c r="J791" s="29">
        <f t="shared" si="493"/>
        <v>-3.1511110208583046</v>
      </c>
      <c r="K791" s="26">
        <f t="shared" si="456"/>
        <v>-3.4778072489780287</v>
      </c>
      <c r="L791" s="26">
        <f t="shared" si="457"/>
        <v>2.99503208345334E-2</v>
      </c>
      <c r="M791" s="26">
        <f t="shared" si="458"/>
        <v>-2.241774915631761</v>
      </c>
      <c r="N791" s="26">
        <f t="shared" si="459"/>
        <v>9.6061308976260015E-2</v>
      </c>
      <c r="O791" s="26">
        <f t="shared" si="460"/>
        <v>-2.3418052247658347</v>
      </c>
      <c r="P791" s="26">
        <f t="shared" si="461"/>
        <v>8.7719344770459895E-2</v>
      </c>
      <c r="Q791" s="26">
        <f t="shared" si="462"/>
        <v>3.8473417234794051E-3</v>
      </c>
      <c r="R791" s="26">
        <f t="shared" si="463"/>
        <v>-9.1649187924712781</v>
      </c>
      <c r="S791" s="26">
        <f t="shared" si="464"/>
        <v>1.0463594385190544E-4</v>
      </c>
      <c r="T791" s="26">
        <f t="shared" si="465"/>
        <v>1.8371768466874769</v>
      </c>
      <c r="U791" s="26">
        <f t="shared" si="466"/>
        <v>0.86261447581121253</v>
      </c>
      <c r="V791" s="26">
        <f t="shared" si="467"/>
        <v>2.4094447966038768</v>
      </c>
      <c r="W791" s="26">
        <f t="shared" si="468"/>
        <v>0.91754468689919322</v>
      </c>
      <c r="X791" s="26">
        <f t="shared" si="469"/>
        <v>3.3994393292760394E-3</v>
      </c>
      <c r="Y791" s="26">
        <f t="shared" si="470"/>
        <v>2.2805787762535044</v>
      </c>
      <c r="Z791" s="26">
        <f t="shared" si="471"/>
        <v>0.90725575818733617</v>
      </c>
      <c r="AA791" s="26">
        <f t="shared" si="472"/>
        <v>-6.634316129666856</v>
      </c>
      <c r="AB791" s="26">
        <f t="shared" si="473"/>
        <v>1.3127517874134834E-3</v>
      </c>
      <c r="AC791" s="26">
        <f t="shared" si="474"/>
        <v>2.6174587462698531</v>
      </c>
      <c r="AD791" s="26">
        <f t="shared" si="475"/>
        <v>0.93197677768821474</v>
      </c>
      <c r="AE791" s="26">
        <f t="shared" si="476"/>
        <v>2.3135793868392799E-3</v>
      </c>
      <c r="AF791" s="26">
        <f t="shared" si="477"/>
        <v>-3.406532767239745</v>
      </c>
      <c r="AG791" s="26">
        <f t="shared" si="478"/>
        <v>3.2091922230101148E-2</v>
      </c>
      <c r="AH791" s="26">
        <f t="shared" si="479"/>
        <v>-2.5553643673476181</v>
      </c>
      <c r="AI791" s="26">
        <f t="shared" si="480"/>
        <v>7.2066927956245586E-2</v>
      </c>
      <c r="AJ791" s="26">
        <f t="shared" si="481"/>
        <v>-2.4828616112814768</v>
      </c>
      <c r="AK791" s="26">
        <f t="shared" si="482"/>
        <v>7.7068412452758028E-2</v>
      </c>
      <c r="AL791" s="26">
        <f t="shared" si="483"/>
        <v>2.9697700989942144E-3</v>
      </c>
      <c r="AM791" s="27">
        <f t="shared" si="484"/>
        <v>1.253013053858894E-2</v>
      </c>
    </row>
    <row r="792" spans="1:39" ht="15" customHeight="1" x14ac:dyDescent="0.2">
      <c r="A792" s="24">
        <v>781</v>
      </c>
      <c r="B792" s="29">
        <f t="shared" si="485"/>
        <v>5.7596087163532825</v>
      </c>
      <c r="C792" s="29">
        <f t="shared" si="486"/>
        <v>-5.6881884679335677</v>
      </c>
      <c r="D792" s="29">
        <f t="shared" si="487"/>
        <v>-3.4778752525680803</v>
      </c>
      <c r="E792" s="29">
        <f t="shared" si="488"/>
        <v>-4.3948675607991117</v>
      </c>
      <c r="F792" s="29">
        <f t="shared" si="489"/>
        <v>4.0813540729788613</v>
      </c>
      <c r="G792" s="29">
        <f t="shared" si="490"/>
        <v>-2.2432649317395446</v>
      </c>
      <c r="H792" s="29">
        <f t="shared" si="491"/>
        <v>6.3524627425142866</v>
      </c>
      <c r="I792" s="29">
        <f t="shared" si="492"/>
        <v>6.449713043814655</v>
      </c>
      <c r="J792" s="29">
        <f t="shared" si="493"/>
        <v>-3.1530618414655387</v>
      </c>
      <c r="K792" s="26">
        <f t="shared" si="456"/>
        <v>-3.4778752525680803</v>
      </c>
      <c r="L792" s="26">
        <f t="shared" si="457"/>
        <v>2.994834516904368E-2</v>
      </c>
      <c r="M792" s="26">
        <f t="shared" si="458"/>
        <v>-2.2432649317395446</v>
      </c>
      <c r="N792" s="26">
        <f t="shared" si="459"/>
        <v>9.5932003461762005E-2</v>
      </c>
      <c r="O792" s="26">
        <f t="shared" si="460"/>
        <v>-2.3440822005326321</v>
      </c>
      <c r="P792" s="26">
        <f t="shared" si="461"/>
        <v>8.753730152818312E-2</v>
      </c>
      <c r="Q792" s="26">
        <f t="shared" si="462"/>
        <v>3.8313895794180254E-3</v>
      </c>
      <c r="R792" s="26">
        <f t="shared" si="463"/>
        <v>-9.1660637205016471</v>
      </c>
      <c r="S792" s="26">
        <f t="shared" si="464"/>
        <v>1.0451622429612983E-4</v>
      </c>
      <c r="T792" s="26">
        <f t="shared" si="465"/>
        <v>1.8380891412393168</v>
      </c>
      <c r="U792" s="26">
        <f t="shared" si="466"/>
        <v>0.86272255675352827</v>
      </c>
      <c r="V792" s="26">
        <f t="shared" si="467"/>
        <v>2.4119150214416503</v>
      </c>
      <c r="W792" s="26">
        <f t="shared" si="468"/>
        <v>0.91773138264430132</v>
      </c>
      <c r="X792" s="26">
        <f t="shared" si="469"/>
        <v>3.384062700809183E-3</v>
      </c>
      <c r="Y792" s="26">
        <f t="shared" si="470"/>
        <v>2.2817334637852023</v>
      </c>
      <c r="Z792" s="26">
        <f t="shared" si="471"/>
        <v>0.90735287109023033</v>
      </c>
      <c r="AA792" s="26">
        <f t="shared" si="472"/>
        <v>-6.6381324925386558</v>
      </c>
      <c r="AB792" s="26">
        <f t="shared" si="473"/>
        <v>1.3077579372505269E-3</v>
      </c>
      <c r="AC792" s="26">
        <f t="shared" si="474"/>
        <v>2.6192981298745548</v>
      </c>
      <c r="AD792" s="26">
        <f t="shared" si="475"/>
        <v>0.93209329475415603</v>
      </c>
      <c r="AE792" s="26">
        <f t="shared" si="476"/>
        <v>2.3056603086729663E-3</v>
      </c>
      <c r="AF792" s="26">
        <f t="shared" si="477"/>
        <v>-3.4064550041483654</v>
      </c>
      <c r="AG792" s="26">
        <f t="shared" si="478"/>
        <v>3.209433779752896E-2</v>
      </c>
      <c r="AH792" s="26">
        <f t="shared" si="479"/>
        <v>-2.5567784195597949</v>
      </c>
      <c r="AI792" s="26">
        <f t="shared" si="480"/>
        <v>7.1972422841107025E-2</v>
      </c>
      <c r="AJ792" s="26">
        <f t="shared" si="481"/>
        <v>-2.4849822819678362</v>
      </c>
      <c r="AK792" s="26">
        <f t="shared" si="482"/>
        <v>7.6917706762619081E-2</v>
      </c>
      <c r="AL792" s="26">
        <f t="shared" si="483"/>
        <v>2.9581668068101286E-3</v>
      </c>
      <c r="AM792" s="27">
        <f t="shared" si="484"/>
        <v>1.2479279395710304E-2</v>
      </c>
    </row>
    <row r="793" spans="1:39" ht="15" customHeight="1" x14ac:dyDescent="0.2">
      <c r="A793" s="24">
        <v>782</v>
      </c>
      <c r="B793" s="29">
        <f t="shared" si="485"/>
        <v>5.7608262959196086</v>
      </c>
      <c r="C793" s="29">
        <f t="shared" si="486"/>
        <v>-5.6892620413939827</v>
      </c>
      <c r="D793" s="29">
        <f t="shared" si="487"/>
        <v>-3.4779439105697314</v>
      </c>
      <c r="E793" s="29">
        <f t="shared" si="488"/>
        <v>-4.3971840215655478</v>
      </c>
      <c r="F793" s="29">
        <f t="shared" si="489"/>
        <v>4.0837459524179813</v>
      </c>
      <c r="G793" s="29">
        <f t="shared" si="490"/>
        <v>-2.2447480136483469</v>
      </c>
      <c r="H793" s="29">
        <f t="shared" si="491"/>
        <v>6.3559786841468036</v>
      </c>
      <c r="I793" s="29">
        <f t="shared" si="492"/>
        <v>6.4540134947023606</v>
      </c>
      <c r="J793" s="29">
        <f t="shared" si="493"/>
        <v>-3.1550056023040947</v>
      </c>
      <c r="K793" s="26">
        <f t="shared" si="456"/>
        <v>-3.4779439105697314</v>
      </c>
      <c r="L793" s="26">
        <f t="shared" si="457"/>
        <v>2.9946350619475745E-2</v>
      </c>
      <c r="M793" s="26">
        <f t="shared" si="458"/>
        <v>-2.2447480136483469</v>
      </c>
      <c r="N793" s="26">
        <f t="shared" si="459"/>
        <v>9.5803454229288057E-2</v>
      </c>
      <c r="O793" s="26">
        <f t="shared" si="460"/>
        <v>-2.3463504496637952</v>
      </c>
      <c r="P793" s="26">
        <f t="shared" si="461"/>
        <v>8.7356295633174028E-2</v>
      </c>
      <c r="Q793" s="26">
        <f t="shared" si="462"/>
        <v>3.8155611933752497E-3</v>
      </c>
      <c r="R793" s="26">
        <f t="shared" si="463"/>
        <v>-9.1672059519637141</v>
      </c>
      <c r="S793" s="26">
        <f t="shared" si="464"/>
        <v>1.0439692318723751E-4</v>
      </c>
      <c r="T793" s="26">
        <f t="shared" si="465"/>
        <v>1.8389979387696345</v>
      </c>
      <c r="U793" s="26">
        <f t="shared" si="466"/>
        <v>0.86283015230248106</v>
      </c>
      <c r="V793" s="26">
        <f t="shared" si="467"/>
        <v>2.4143753889106803</v>
      </c>
      <c r="W793" s="26">
        <f t="shared" si="468"/>
        <v>0.91791695078312308</v>
      </c>
      <c r="X793" s="26">
        <f t="shared" si="469"/>
        <v>3.3688134843701196E-3</v>
      </c>
      <c r="Y793" s="26">
        <f t="shared" si="470"/>
        <v>2.2828823853498772</v>
      </c>
      <c r="Z793" s="26">
        <f t="shared" si="471"/>
        <v>0.90744940842552502</v>
      </c>
      <c r="AA793" s="26">
        <f t="shared" si="472"/>
        <v>-6.6419320352138946</v>
      </c>
      <c r="AB793" s="26">
        <f t="shared" si="473"/>
        <v>1.3028049441561986E-3</v>
      </c>
      <c r="AC793" s="26">
        <f t="shared" si="474"/>
        <v>2.6211318152807177</v>
      </c>
      <c r="AD793" s="26">
        <f t="shared" si="475"/>
        <v>0.93220926665750548</v>
      </c>
      <c r="AE793" s="26">
        <f t="shared" si="476"/>
        <v>2.2977917635565994E-3</v>
      </c>
      <c r="AF793" s="26">
        <f t="shared" si="477"/>
        <v>-3.4063796560441055</v>
      </c>
      <c r="AG793" s="26">
        <f t="shared" si="478"/>
        <v>3.2096678515509791E-2</v>
      </c>
      <c r="AH793" s="26">
        <f t="shared" si="479"/>
        <v>-2.5581860827959133</v>
      </c>
      <c r="AI793" s="26">
        <f t="shared" si="480"/>
        <v>7.1878458275681373E-2</v>
      </c>
      <c r="AJ793" s="26">
        <f t="shared" si="481"/>
        <v>-2.4870952581379537</v>
      </c>
      <c r="AK793" s="26">
        <f t="shared" si="482"/>
        <v>7.676781660510254E-2</v>
      </c>
      <c r="AL793" s="26">
        <f t="shared" si="483"/>
        <v>2.9466488331573288E-3</v>
      </c>
      <c r="AM793" s="27">
        <f t="shared" si="484"/>
        <v>1.2428815274459297E-2</v>
      </c>
    </row>
    <row r="794" spans="1:39" ht="15" customHeight="1" x14ac:dyDescent="0.2">
      <c r="A794" s="24">
        <v>783</v>
      </c>
      <c r="B794" s="29">
        <f t="shared" si="485"/>
        <v>5.7620388031833532</v>
      </c>
      <c r="C794" s="29">
        <f t="shared" si="486"/>
        <v>-5.6903322832012577</v>
      </c>
      <c r="D794" s="29">
        <f t="shared" si="487"/>
        <v>-3.4780132135366011</v>
      </c>
      <c r="E794" s="29">
        <f t="shared" si="488"/>
        <v>-4.399490671944001</v>
      </c>
      <c r="F794" s="29">
        <f t="shared" si="489"/>
        <v>4.0861274829154146</v>
      </c>
      <c r="G794" s="29">
        <f t="shared" si="490"/>
        <v>-2.2462242180859353</v>
      </c>
      <c r="H794" s="29">
        <f t="shared" si="491"/>
        <v>6.3594836889219337</v>
      </c>
      <c r="I794" s="29">
        <f t="shared" si="492"/>
        <v>6.4582970148394381</v>
      </c>
      <c r="J794" s="29">
        <f t="shared" si="493"/>
        <v>-3.1569423526271492</v>
      </c>
      <c r="K794" s="26">
        <f t="shared" si="456"/>
        <v>-3.4780132135366011</v>
      </c>
      <c r="L794" s="26">
        <f t="shared" si="457"/>
        <v>2.9944337463898466E-2</v>
      </c>
      <c r="M794" s="26">
        <f t="shared" si="458"/>
        <v>-2.2462242180859353</v>
      </c>
      <c r="N794" s="26">
        <f t="shared" si="459"/>
        <v>9.5675654073515456E-2</v>
      </c>
      <c r="O794" s="26">
        <f t="shared" si="460"/>
        <v>-2.3486100358541173</v>
      </c>
      <c r="P794" s="26">
        <f t="shared" si="461"/>
        <v>8.7176317621482841E-2</v>
      </c>
      <c r="Q794" s="26">
        <f t="shared" si="462"/>
        <v>3.7998551770208298E-3</v>
      </c>
      <c r="R794" s="26">
        <f t="shared" si="463"/>
        <v>-9.1683454967378584</v>
      </c>
      <c r="S794" s="26">
        <f t="shared" si="464"/>
        <v>1.0427803837456474E-4</v>
      </c>
      <c r="T794" s="26">
        <f t="shared" si="465"/>
        <v>1.8399032648294793</v>
      </c>
      <c r="U794" s="26">
        <f t="shared" si="466"/>
        <v>0.86293726632489809</v>
      </c>
      <c r="V794" s="26">
        <f t="shared" si="467"/>
        <v>2.4168259729568011</v>
      </c>
      <c r="W794" s="26">
        <f t="shared" si="468"/>
        <v>0.91810140207646407</v>
      </c>
      <c r="X794" s="26">
        <f t="shared" si="469"/>
        <v>3.353690170920502E-3</v>
      </c>
      <c r="Y794" s="26">
        <f t="shared" si="470"/>
        <v>2.2840255896467521</v>
      </c>
      <c r="Z794" s="26">
        <f t="shared" si="471"/>
        <v>0.90754537570323701</v>
      </c>
      <c r="AA794" s="26">
        <f t="shared" si="472"/>
        <v>-6.6457148900299359</v>
      </c>
      <c r="AB794" s="26">
        <f t="shared" si="473"/>
        <v>1.297892316367185E-3</v>
      </c>
      <c r="AC794" s="26">
        <f t="shared" si="474"/>
        <v>2.6229598351864918</v>
      </c>
      <c r="AD794" s="26">
        <f t="shared" si="475"/>
        <v>0.93232469741681334</v>
      </c>
      <c r="AE794" s="26">
        <f t="shared" si="476"/>
        <v>2.2899732898629356E-3</v>
      </c>
      <c r="AF794" s="26">
        <f t="shared" si="477"/>
        <v>-3.4063066935545057</v>
      </c>
      <c r="AG794" s="26">
        <f t="shared" si="478"/>
        <v>3.2098945280745909E-2</v>
      </c>
      <c r="AH794" s="26">
        <f t="shared" si="479"/>
        <v>-2.5595874071145217</v>
      </c>
      <c r="AI794" s="26">
        <f t="shared" si="480"/>
        <v>7.1785029270912015E-2</v>
      </c>
      <c r="AJ794" s="26">
        <f t="shared" si="481"/>
        <v>-2.4892005934321553</v>
      </c>
      <c r="AK794" s="26">
        <f t="shared" si="482"/>
        <v>7.6618734872617153E-2</v>
      </c>
      <c r="AL794" s="26">
        <f t="shared" si="483"/>
        <v>2.9352152667401999E-3</v>
      </c>
      <c r="AM794" s="27">
        <f t="shared" si="484"/>
        <v>1.2378733904544467E-2</v>
      </c>
    </row>
    <row r="795" spans="1:39" ht="15" customHeight="1" x14ac:dyDescent="0.2">
      <c r="A795" s="24">
        <v>784</v>
      </c>
      <c r="B795" s="29">
        <f t="shared" si="485"/>
        <v>5.7632462769710004</v>
      </c>
      <c r="C795" s="29">
        <f t="shared" si="486"/>
        <v>-5.6913992125224917</v>
      </c>
      <c r="D795" s="29">
        <f t="shared" si="487"/>
        <v>-3.4780831521549325</v>
      </c>
      <c r="E795" s="29">
        <f t="shared" si="488"/>
        <v>-4.4017875867222243</v>
      </c>
      <c r="F795" s="29">
        <f t="shared" si="489"/>
        <v>4.0884987458227675</v>
      </c>
      <c r="G795" s="29">
        <f t="shared" si="490"/>
        <v>-2.2476936011272093</v>
      </c>
      <c r="H795" s="29">
        <f t="shared" si="491"/>
        <v>6.362977820652584</v>
      </c>
      <c r="I795" s="29">
        <f t="shared" si="492"/>
        <v>6.4625637303125743</v>
      </c>
      <c r="J795" s="29">
        <f t="shared" si="493"/>
        <v>-3.1588721411851508</v>
      </c>
      <c r="K795" s="26">
        <f t="shared" si="456"/>
        <v>-3.4780831521549325</v>
      </c>
      <c r="L795" s="26">
        <f t="shared" si="457"/>
        <v>2.9942305976490995E-2</v>
      </c>
      <c r="M795" s="26">
        <f t="shared" si="458"/>
        <v>-2.2476936011272093</v>
      </c>
      <c r="N795" s="26">
        <f t="shared" si="459"/>
        <v>9.5548595882735551E-2</v>
      </c>
      <c r="O795" s="26">
        <f t="shared" si="460"/>
        <v>-2.3508610221234854</v>
      </c>
      <c r="P795" s="26">
        <f t="shared" si="461"/>
        <v>8.6997358146686077E-2</v>
      </c>
      <c r="Q795" s="26">
        <f t="shared" si="462"/>
        <v>3.7842701622513831E-3</v>
      </c>
      <c r="R795" s="26">
        <f t="shared" si="463"/>
        <v>-9.1694823646774246</v>
      </c>
      <c r="S795" s="26">
        <f t="shared" si="464"/>
        <v>1.0415956771959462E-4</v>
      </c>
      <c r="T795" s="26">
        <f t="shared" si="465"/>
        <v>1.8408051446955582</v>
      </c>
      <c r="U795" s="26">
        <f t="shared" si="466"/>
        <v>0.86304390264354858</v>
      </c>
      <c r="V795" s="26">
        <f t="shared" si="467"/>
        <v>2.4192668467256708</v>
      </c>
      <c r="W795" s="26">
        <f t="shared" si="468"/>
        <v>0.91828474714643227</v>
      </c>
      <c r="X795" s="26">
        <f t="shared" si="469"/>
        <v>3.3386912744612549E-3</v>
      </c>
      <c r="Y795" s="26">
        <f t="shared" si="470"/>
        <v>2.285163124816068</v>
      </c>
      <c r="Z795" s="26">
        <f t="shared" si="471"/>
        <v>0.90764077836265755</v>
      </c>
      <c r="AA795" s="26">
        <f t="shared" si="472"/>
        <v>-6.6494811878494335</v>
      </c>
      <c r="AB795" s="26">
        <f t="shared" si="473"/>
        <v>1.2930195698350393E-3</v>
      </c>
      <c r="AC795" s="26">
        <f t="shared" si="474"/>
        <v>2.6247822220308872</v>
      </c>
      <c r="AD795" s="26">
        <f t="shared" si="475"/>
        <v>0.93243959101134521</v>
      </c>
      <c r="AE795" s="26">
        <f t="shared" si="476"/>
        <v>2.282204431357153E-3</v>
      </c>
      <c r="AF795" s="26">
        <f t="shared" si="477"/>
        <v>-3.4062360877064237</v>
      </c>
      <c r="AG795" s="26">
        <f t="shared" si="478"/>
        <v>3.2101138978280208E-2</v>
      </c>
      <c r="AH795" s="26">
        <f t="shared" si="479"/>
        <v>-2.560982442026666</v>
      </c>
      <c r="AI795" s="26">
        <f t="shared" si="480"/>
        <v>7.169213090017626E-2</v>
      </c>
      <c r="AJ795" s="26">
        <f t="shared" si="481"/>
        <v>-2.4912983409443674</v>
      </c>
      <c r="AK795" s="26">
        <f t="shared" si="482"/>
        <v>7.6470454542302571E-2</v>
      </c>
      <c r="AL795" s="26">
        <f t="shared" si="483"/>
        <v>2.9238652089531819E-3</v>
      </c>
      <c r="AM795" s="27">
        <f t="shared" si="484"/>
        <v>1.2329031077022974E-2</v>
      </c>
    </row>
    <row r="796" spans="1:39" ht="15" customHeight="1" x14ac:dyDescent="0.2">
      <c r="A796" s="24">
        <v>785</v>
      </c>
      <c r="B796" s="29">
        <f t="shared" si="485"/>
        <v>5.764448755688556</v>
      </c>
      <c r="C796" s="29">
        <f t="shared" si="486"/>
        <v>-5.6924628483668132</v>
      </c>
      <c r="D796" s="29">
        <f t="shared" si="487"/>
        <v>-3.4781537172415233</v>
      </c>
      <c r="E796" s="29">
        <f t="shared" si="488"/>
        <v>-4.4040748398776</v>
      </c>
      <c r="F796" s="29">
        <f t="shared" si="489"/>
        <v>4.0908598215778973</v>
      </c>
      <c r="G796" s="29">
        <f t="shared" si="490"/>
        <v>-2.2491562182038005</v>
      </c>
      <c r="H796" s="29">
        <f t="shared" si="491"/>
        <v>6.3664611426234874</v>
      </c>
      <c r="I796" s="29">
        <f t="shared" si="492"/>
        <v>6.4668137658509961</v>
      </c>
      <c r="J796" s="29">
        <f t="shared" si="493"/>
        <v>-3.160795016232508</v>
      </c>
      <c r="K796" s="26">
        <f t="shared" si="456"/>
        <v>-3.4781537172415233</v>
      </c>
      <c r="L796" s="26">
        <f t="shared" si="457"/>
        <v>2.9940256427602514E-2</v>
      </c>
      <c r="M796" s="26">
        <f t="shared" si="458"/>
        <v>-2.2491562182038005</v>
      </c>
      <c r="N796" s="26">
        <f t="shared" si="459"/>
        <v>9.5422272637325889E-2</v>
      </c>
      <c r="O796" s="26">
        <f t="shared" si="460"/>
        <v>-2.3531034708261478</v>
      </c>
      <c r="P796" s="26">
        <f t="shared" si="461"/>
        <v>8.6819407978054125E-2</v>
      </c>
      <c r="Q796" s="26">
        <f t="shared" si="462"/>
        <v>3.7688048008299043E-3</v>
      </c>
      <c r="R796" s="26">
        <f t="shared" si="463"/>
        <v>-9.170616565608336</v>
      </c>
      <c r="S796" s="26">
        <f t="shared" si="464"/>
        <v>1.0404150909592334E-4</v>
      </c>
      <c r="T796" s="26">
        <f t="shared" si="465"/>
        <v>1.8417036033740968</v>
      </c>
      <c r="U796" s="26">
        <f t="shared" si="466"/>
        <v>0.86315006503779346</v>
      </c>
      <c r="V796" s="26">
        <f t="shared" si="467"/>
        <v>2.4216980825739567</v>
      </c>
      <c r="W796" s="26">
        <f t="shared" si="468"/>
        <v>0.91846699647867147</v>
      </c>
      <c r="X796" s="26">
        <f t="shared" si="469"/>
        <v>3.3238153316044851E-3</v>
      </c>
      <c r="Y796" s="26">
        <f t="shared" si="470"/>
        <v>2.2862950384470326</v>
      </c>
      <c r="Z796" s="26">
        <f t="shared" si="471"/>
        <v>0.90773562177347322</v>
      </c>
      <c r="AA796" s="26">
        <f t="shared" si="472"/>
        <v>-6.6532310580814009</v>
      </c>
      <c r="AB796" s="26">
        <f t="shared" si="473"/>
        <v>1.288186228077992E-3</v>
      </c>
      <c r="AC796" s="26">
        <f t="shared" si="474"/>
        <v>2.6265990079961945</v>
      </c>
      <c r="AD796" s="26">
        <f t="shared" si="475"/>
        <v>0.93255395138154318</v>
      </c>
      <c r="AE796" s="26">
        <f t="shared" si="476"/>
        <v>2.2744847371216205E-3</v>
      </c>
      <c r="AF796" s="26">
        <f t="shared" si="477"/>
        <v>-3.4061678099197805</v>
      </c>
      <c r="AG796" s="26">
        <f t="shared" si="478"/>
        <v>3.2103260481666562E-2</v>
      </c>
      <c r="AH796" s="26">
        <f t="shared" si="479"/>
        <v>-2.5623712365035032</v>
      </c>
      <c r="AI796" s="26">
        <f t="shared" si="480"/>
        <v>7.1599758298307406E-2</v>
      </c>
      <c r="AJ796" s="26">
        <f t="shared" si="481"/>
        <v>-2.4933885532293592</v>
      </c>
      <c r="AK796" s="26">
        <f t="shared" si="482"/>
        <v>7.6322968674756367E-2</v>
      </c>
      <c r="AL796" s="26">
        <f t="shared" si="483"/>
        <v>2.912597773663921E-3</v>
      </c>
      <c r="AM796" s="27">
        <f t="shared" si="484"/>
        <v>1.227970264321993E-2</v>
      </c>
    </row>
    <row r="797" spans="1:39" ht="15" customHeight="1" x14ac:dyDescent="0.2">
      <c r="A797" s="24">
        <v>786</v>
      </c>
      <c r="B797" s="29">
        <f t="shared" si="485"/>
        <v>5.7656462773273276</v>
      </c>
      <c r="C797" s="29">
        <f t="shared" si="486"/>
        <v>-5.6935232095870525</v>
      </c>
      <c r="D797" s="29">
        <f t="shared" si="487"/>
        <v>-3.4782248997416896</v>
      </c>
      <c r="E797" s="29">
        <f t="shared" si="488"/>
        <v>-4.4063525045884155</v>
      </c>
      <c r="F797" s="29">
        <f t="shared" si="489"/>
        <v>4.0932107897181336</v>
      </c>
      <c r="G797" s="29">
        <f t="shared" si="490"/>
        <v>-2.2506121241135046</v>
      </c>
      <c r="H797" s="29">
        <f t="shared" si="491"/>
        <v>6.3699337175966697</v>
      </c>
      <c r="I797" s="29">
        <f t="shared" si="492"/>
        <v>6.4710472448453853</v>
      </c>
      <c r="J797" s="29">
        <f t="shared" si="493"/>
        <v>-3.1627110255341702</v>
      </c>
      <c r="K797" s="26">
        <f t="shared" si="456"/>
        <v>-3.4782248997416896</v>
      </c>
      <c r="L797" s="26">
        <f t="shared" si="457"/>
        <v>2.9938189083811042E-2</v>
      </c>
      <c r="M797" s="26">
        <f t="shared" si="458"/>
        <v>-2.2506121241135046</v>
      </c>
      <c r="N797" s="26">
        <f t="shared" si="459"/>
        <v>9.5296677408251942E-2</v>
      </c>
      <c r="O797" s="26">
        <f t="shared" si="460"/>
        <v>-2.3553374436598293</v>
      </c>
      <c r="P797" s="26">
        <f t="shared" si="461"/>
        <v>8.6642457998752656E-2</v>
      </c>
      <c r="Q797" s="26">
        <f t="shared" si="462"/>
        <v>3.7534577640328092E-3</v>
      </c>
      <c r="R797" s="26">
        <f t="shared" si="463"/>
        <v>-9.1717481093287425</v>
      </c>
      <c r="S797" s="26">
        <f t="shared" si="464"/>
        <v>1.0392386038922287E-4</v>
      </c>
      <c r="T797" s="26">
        <f t="shared" si="465"/>
        <v>1.8425986656046289</v>
      </c>
      <c r="U797" s="26">
        <f t="shared" si="466"/>
        <v>0.86325575724422321</v>
      </c>
      <c r="V797" s="26">
        <f t="shared" si="467"/>
        <v>2.4241197520803333</v>
      </c>
      <c r="W797" s="26">
        <f t="shared" si="468"/>
        <v>0.91864816042455233</v>
      </c>
      <c r="X797" s="26">
        <f t="shared" si="469"/>
        <v>3.3090609011546868E-3</v>
      </c>
      <c r="Y797" s="26">
        <f t="shared" si="470"/>
        <v>2.287421377585638</v>
      </c>
      <c r="Z797" s="26">
        <f t="shared" si="471"/>
        <v>0.90782991123686574</v>
      </c>
      <c r="AA797" s="26">
        <f t="shared" si="472"/>
        <v>-6.6569646287019202</v>
      </c>
      <c r="AB797" s="26">
        <f t="shared" si="473"/>
        <v>1.2833918220361037E-3</v>
      </c>
      <c r="AC797" s="26">
        <f t="shared" si="474"/>
        <v>2.6284102250103762</v>
      </c>
      <c r="AD797" s="26">
        <f t="shared" si="475"/>
        <v>0.93266778242948345</v>
      </c>
      <c r="AE797" s="26">
        <f t="shared" si="476"/>
        <v>2.2668137614816888E-3</v>
      </c>
      <c r="AF797" s="26">
        <f t="shared" si="477"/>
        <v>-3.4061018320014145</v>
      </c>
      <c r="AG797" s="26">
        <f t="shared" si="478"/>
        <v>3.2105310653137452E-2</v>
      </c>
      <c r="AH797" s="26">
        <f t="shared" si="479"/>
        <v>-2.5637538389837866</v>
      </c>
      <c r="AI797" s="26">
        <f t="shared" si="480"/>
        <v>7.1507906660635265E-2</v>
      </c>
      <c r="AJ797" s="26">
        <f t="shared" si="481"/>
        <v>-2.4954712823098695</v>
      </c>
      <c r="AK797" s="26">
        <f t="shared" si="482"/>
        <v>7.6176270412783825E-2</v>
      </c>
      <c r="AL797" s="26">
        <f t="shared" si="483"/>
        <v>2.9014120870007824E-3</v>
      </c>
      <c r="AM797" s="27">
        <f t="shared" si="484"/>
        <v>1.2230744513669968E-2</v>
      </c>
    </row>
    <row r="798" spans="1:39" ht="15" customHeight="1" x14ac:dyDescent="0.2">
      <c r="A798" s="24">
        <v>787</v>
      </c>
      <c r="B798" s="29">
        <f t="shared" si="485"/>
        <v>5.7668388794696126</v>
      </c>
      <c r="C798" s="29">
        <f t="shared" si="486"/>
        <v>-5.6945803148813914</v>
      </c>
      <c r="D798" s="29">
        <f t="shared" si="487"/>
        <v>-3.4782966907272672</v>
      </c>
      <c r="E798" s="29">
        <f t="shared" si="488"/>
        <v>-4.4086206532449523</v>
      </c>
      <c r="F798" s="29">
        <f t="shared" si="489"/>
        <v>4.0955517288932697</v>
      </c>
      <c r="G798" s="29">
        <f t="shared" si="490"/>
        <v>-2.252061373029544</v>
      </c>
      <c r="H798" s="29">
        <f t="shared" si="491"/>
        <v>6.3733956078168479</v>
      </c>
      <c r="I798" s="29">
        <f t="shared" si="492"/>
        <v>6.4752642893664731</v>
      </c>
      <c r="J798" s="29">
        <f t="shared" si="493"/>
        <v>-3.1646202163720996</v>
      </c>
      <c r="K798" s="26">
        <f t="shared" si="456"/>
        <v>-3.4782966907272672</v>
      </c>
      <c r="L798" s="26">
        <f t="shared" si="457"/>
        <v>2.9936104207981151E-2</v>
      </c>
      <c r="M798" s="26">
        <f t="shared" si="458"/>
        <v>-2.252061373029544</v>
      </c>
      <c r="N798" s="26">
        <f t="shared" si="459"/>
        <v>9.5171803355598369E-2</v>
      </c>
      <c r="O798" s="26">
        <f t="shared" si="460"/>
        <v>-2.3575630016746905</v>
      </c>
      <c r="P798" s="26">
        <f t="shared" si="461"/>
        <v>8.6466499204077882E-2</v>
      </c>
      <c r="Q798" s="26">
        <f t="shared" si="462"/>
        <v>3.7382277423044005E-3</v>
      </c>
      <c r="R798" s="26">
        <f t="shared" si="463"/>
        <v>-9.1728770056086582</v>
      </c>
      <c r="S798" s="26">
        <f t="shared" si="464"/>
        <v>1.038066194972052E-4</v>
      </c>
      <c r="T798" s="26">
        <f t="shared" si="465"/>
        <v>1.8434903558637257</v>
      </c>
      <c r="U798" s="26">
        <f t="shared" si="466"/>
        <v>0.86336098295728336</v>
      </c>
      <c r="V798" s="26">
        <f t="shared" si="467"/>
        <v>2.4265319260562994</v>
      </c>
      <c r="W798" s="26">
        <f t="shared" si="468"/>
        <v>0.91882824920332096</v>
      </c>
      <c r="X798" s="26">
        <f t="shared" si="469"/>
        <v>3.2944265636990822E-3</v>
      </c>
      <c r="Y798" s="26">
        <f t="shared" si="470"/>
        <v>2.2885421887423454</v>
      </c>
      <c r="Z798" s="26">
        <f t="shared" si="471"/>
        <v>0.90792365198659275</v>
      </c>
      <c r="AA798" s="26">
        <f t="shared" si="472"/>
        <v>-6.6606820262744968</v>
      </c>
      <c r="AB798" s="26">
        <f t="shared" si="473"/>
        <v>1.2786358899296866E-3</v>
      </c>
      <c r="AC798" s="26">
        <f t="shared" si="474"/>
        <v>2.6302159047494471</v>
      </c>
      <c r="AD798" s="26">
        <f t="shared" si="475"/>
        <v>0.93278108801932591</v>
      </c>
      <c r="AE798" s="26">
        <f t="shared" si="476"/>
        <v>2.2591910639328055E-3</v>
      </c>
      <c r="AF798" s="26">
        <f t="shared" si="477"/>
        <v>-3.406038126139046</v>
      </c>
      <c r="AG798" s="26">
        <f t="shared" si="478"/>
        <v>3.2107290343768871E-2</v>
      </c>
      <c r="AH798" s="26">
        <f t="shared" si="479"/>
        <v>-2.5651302973812267</v>
      </c>
      <c r="AI798" s="26">
        <f t="shared" si="480"/>
        <v>7.1416571242044508E-2</v>
      </c>
      <c r="AJ798" s="26">
        <f t="shared" si="481"/>
        <v>-2.4975465796836156</v>
      </c>
      <c r="AK798" s="26">
        <f t="shared" si="482"/>
        <v>7.6030352980170343E-2</v>
      </c>
      <c r="AL798" s="26">
        <f t="shared" si="483"/>
        <v>2.8903072871446487E-3</v>
      </c>
      <c r="AM798" s="27">
        <f t="shared" si="484"/>
        <v>1.2182152657080936E-2</v>
      </c>
    </row>
    <row r="799" spans="1:39" ht="15" customHeight="1" x14ac:dyDescent="0.2">
      <c r="A799" s="24">
        <v>788</v>
      </c>
      <c r="B799" s="29">
        <f t="shared" si="485"/>
        <v>5.7680265992942923</v>
      </c>
      <c r="C799" s="29">
        <f t="shared" si="486"/>
        <v>-5.6956341827949943</v>
      </c>
      <c r="D799" s="29">
        <f t="shared" si="487"/>
        <v>-3.4783690813946464</v>
      </c>
      <c r="E799" s="29">
        <f t="shared" si="488"/>
        <v>-4.4108793574603835</v>
      </c>
      <c r="F799" s="29">
        <f t="shared" si="489"/>
        <v>4.0978827168783241</v>
      </c>
      <c r="G799" s="29">
        <f t="shared" si="490"/>
        <v>-2.2535040185096689</v>
      </c>
      <c r="H799" s="29">
        <f t="shared" si="491"/>
        <v>6.3768468750167697</v>
      </c>
      <c r="I799" s="29">
        <f t="shared" si="492"/>
        <v>6.4794650201833193</v>
      </c>
      <c r="J799" s="29">
        <f t="shared" si="493"/>
        <v>-3.1665226355516403</v>
      </c>
      <c r="K799" s="26">
        <f t="shared" si="456"/>
        <v>-3.4783690813946464</v>
      </c>
      <c r="L799" s="26">
        <f t="shared" si="457"/>
        <v>2.9934002059320786E-2</v>
      </c>
      <c r="M799" s="26">
        <f t="shared" si="458"/>
        <v>-2.2535040185096689</v>
      </c>
      <c r="N799" s="26">
        <f t="shared" si="459"/>
        <v>9.5047643727128359E-2</v>
      </c>
      <c r="O799" s="26">
        <f t="shared" si="460"/>
        <v>-2.3597802052821404</v>
      </c>
      <c r="P799" s="26">
        <f t="shared" si="461"/>
        <v>8.6291522699724191E-2</v>
      </c>
      <c r="Q799" s="26">
        <f t="shared" si="462"/>
        <v>3.7231134449185075E-3</v>
      </c>
      <c r="R799" s="26">
        <f t="shared" si="463"/>
        <v>-9.1740032641896399</v>
      </c>
      <c r="S799" s="26">
        <f t="shared" si="464"/>
        <v>1.0368978432958255E-4</v>
      </c>
      <c r="T799" s="26">
        <f t="shared" si="465"/>
        <v>1.8443786983686552</v>
      </c>
      <c r="U799" s="26">
        <f t="shared" si="466"/>
        <v>0.86346574582988966</v>
      </c>
      <c r="V799" s="26">
        <f t="shared" si="467"/>
        <v>2.4289346745568032</v>
      </c>
      <c r="W799" s="26">
        <f t="shared" si="468"/>
        <v>0.91900727290420803</v>
      </c>
      <c r="X799" s="26">
        <f t="shared" si="469"/>
        <v>3.2799109212067177E-3</v>
      </c>
      <c r="Y799" s="26">
        <f t="shared" si="470"/>
        <v>2.2896575178996459</v>
      </c>
      <c r="Z799" s="26">
        <f t="shared" si="471"/>
        <v>0.90801684919004577</v>
      </c>
      <c r="AA799" s="26">
        <f t="shared" si="472"/>
        <v>-6.6643833759700524</v>
      </c>
      <c r="AB799" s="26">
        <f t="shared" si="473"/>
        <v>1.2739179771209164E-3</v>
      </c>
      <c r="AC799" s="26">
        <f t="shared" si="474"/>
        <v>2.6320160786398148</v>
      </c>
      <c r="AD799" s="26">
        <f t="shared" si="475"/>
        <v>0.93289387197775842</v>
      </c>
      <c r="AE799" s="26">
        <f t="shared" si="476"/>
        <v>2.2516162090687386E-3</v>
      </c>
      <c r="AF799" s="26">
        <f t="shared" si="477"/>
        <v>-3.4059766648953484</v>
      </c>
      <c r="AG799" s="26">
        <f t="shared" si="478"/>
        <v>3.2109200393642665E-2</v>
      </c>
      <c r="AH799" s="26">
        <f t="shared" si="479"/>
        <v>-2.5665006590917283</v>
      </c>
      <c r="AI799" s="26">
        <f t="shared" si="480"/>
        <v>7.1325747356050531E-2</v>
      </c>
      <c r="AJ799" s="26">
        <f t="shared" si="481"/>
        <v>-2.4996144963301905</v>
      </c>
      <c r="AK799" s="26">
        <f t="shared" si="482"/>
        <v>7.5885209680475921E-2</v>
      </c>
      <c r="AL799" s="26">
        <f t="shared" si="483"/>
        <v>2.8792825241248984E-3</v>
      </c>
      <c r="AM799" s="27">
        <f t="shared" si="484"/>
        <v>1.2133923099318862E-2</v>
      </c>
    </row>
    <row r="800" spans="1:39" ht="15" customHeight="1" x14ac:dyDescent="0.2">
      <c r="A800" s="24">
        <v>789</v>
      </c>
      <c r="B800" s="29">
        <f t="shared" si="485"/>
        <v>5.7692094735823316</v>
      </c>
      <c r="C800" s="29">
        <f t="shared" si="486"/>
        <v>-5.6966848317216163</v>
      </c>
      <c r="D800" s="29">
        <f t="shared" si="487"/>
        <v>-3.4784420630628419</v>
      </c>
      <c r="E800" s="29">
        <f t="shared" si="488"/>
        <v>-4.4131286880814953</v>
      </c>
      <c r="F800" s="29">
        <f t="shared" si="489"/>
        <v>4.1002038305860804</v>
      </c>
      <c r="G800" s="29">
        <f t="shared" si="490"/>
        <v>-2.2549401135050942</v>
      </c>
      <c r="H800" s="29">
        <f t="shared" si="491"/>
        <v>6.3802875804224879</v>
      </c>
      <c r="I800" s="29">
        <f t="shared" si="492"/>
        <v>6.4836495567812822</v>
      </c>
      <c r="J800" s="29">
        <f t="shared" si="493"/>
        <v>-3.1684183294077846</v>
      </c>
      <c r="K800" s="26">
        <f t="shared" si="456"/>
        <v>-3.4784420630628419</v>
      </c>
      <c r="L800" s="26">
        <f t="shared" si="457"/>
        <v>2.9931882893437071E-2</v>
      </c>
      <c r="M800" s="26">
        <f t="shared" si="458"/>
        <v>-2.2549401135050942</v>
      </c>
      <c r="N800" s="26">
        <f t="shared" si="459"/>
        <v>9.4924191856871371E-2</v>
      </c>
      <c r="O800" s="26">
        <f t="shared" si="460"/>
        <v>-2.3619891142635021</v>
      </c>
      <c r="P800" s="26">
        <f t="shared" si="461"/>
        <v>8.6117519700084161E-2</v>
      </c>
      <c r="Q800" s="26">
        <f t="shared" si="462"/>
        <v>3.7081135996471916E-3</v>
      </c>
      <c r="R800" s="26">
        <f t="shared" si="463"/>
        <v>-9.1751268947844586</v>
      </c>
      <c r="S800" s="26">
        <f t="shared" si="464"/>
        <v>1.0357335280802881E-4</v>
      </c>
      <c r="T800" s="26">
        <f t="shared" si="465"/>
        <v>1.8452637170809862</v>
      </c>
      <c r="U800" s="26">
        <f t="shared" si="466"/>
        <v>0.86357004947403226</v>
      </c>
      <c r="V800" s="26">
        <f t="shared" si="467"/>
        <v>2.4313280668906989</v>
      </c>
      <c r="W800" s="26">
        <f t="shared" si="468"/>
        <v>0.91918524148849556</v>
      </c>
      <c r="X800" s="26">
        <f t="shared" si="469"/>
        <v>3.2655125966363895E-3</v>
      </c>
      <c r="Y800" s="26">
        <f t="shared" si="470"/>
        <v>2.2907674105194897</v>
      </c>
      <c r="Z800" s="26">
        <f t="shared" si="471"/>
        <v>0.90810950794929191</v>
      </c>
      <c r="AA800" s="26">
        <f t="shared" si="472"/>
        <v>-6.668068801586589</v>
      </c>
      <c r="AB800" s="26">
        <f t="shared" si="473"/>
        <v>1.2692376359785308E-3</v>
      </c>
      <c r="AC800" s="26">
        <f t="shared" si="474"/>
        <v>2.6338107778606217</v>
      </c>
      <c r="AD800" s="26">
        <f t="shared" si="475"/>
        <v>0.93300613809443489</v>
      </c>
      <c r="AE800" s="26">
        <f t="shared" si="476"/>
        <v>2.2440887665109641E-3</v>
      </c>
      <c r="AF800" s="26">
        <f t="shared" si="477"/>
        <v>-3.4059174212021266</v>
      </c>
      <c r="AG800" s="26">
        <f t="shared" si="478"/>
        <v>3.2111041632006058E-2</v>
      </c>
      <c r="AH800" s="26">
        <f t="shared" si="479"/>
        <v>-2.567864971000509</v>
      </c>
      <c r="AI800" s="26">
        <f t="shared" si="480"/>
        <v>7.1235430373892433E-2</v>
      </c>
      <c r="AJ800" s="26">
        <f t="shared" si="481"/>
        <v>-2.5016750827178553</v>
      </c>
      <c r="AK800" s="26">
        <f t="shared" si="482"/>
        <v>7.5740833895850512E-2</v>
      </c>
      <c r="AL800" s="26">
        <f t="shared" si="483"/>
        <v>2.8683369596194091E-3</v>
      </c>
      <c r="AM800" s="27">
        <f t="shared" si="484"/>
        <v>1.2086051922413955E-2</v>
      </c>
    </row>
    <row r="801" spans="1:39" ht="15" customHeight="1" x14ac:dyDescent="0.2">
      <c r="A801" s="24">
        <v>790</v>
      </c>
      <c r="B801" s="29">
        <f t="shared" si="485"/>
        <v>5.7703875387221952</v>
      </c>
      <c r="C801" s="29">
        <f t="shared" si="486"/>
        <v>-5.6977322799051935</v>
      </c>
      <c r="D801" s="29">
        <f t="shared" si="487"/>
        <v>-3.4785156271715936</v>
      </c>
      <c r="E801" s="29">
        <f t="shared" si="488"/>
        <v>-4.4153687151992234</v>
      </c>
      <c r="F801" s="29">
        <f t="shared" si="489"/>
        <v>4.1025151460794076</v>
      </c>
      <c r="G801" s="29">
        <f t="shared" si="490"/>
        <v>-2.2563697103692832</v>
      </c>
      <c r="H801" s="29">
        <f t="shared" si="491"/>
        <v>6.3837177847585727</v>
      </c>
      <c r="I801" s="29">
        <f t="shared" si="492"/>
        <v>6.4878180173796904</v>
      </c>
      <c r="J801" s="29">
        <f t="shared" si="493"/>
        <v>-3.1703073438113378</v>
      </c>
      <c r="K801" s="26">
        <f t="shared" si="456"/>
        <v>-3.4785156271715936</v>
      </c>
      <c r="L801" s="26">
        <f t="shared" si="457"/>
        <v>2.9929746962391278E-2</v>
      </c>
      <c r="M801" s="26">
        <f t="shared" si="458"/>
        <v>-2.2563697103692832</v>
      </c>
      <c r="N801" s="26">
        <f t="shared" si="459"/>
        <v>9.4801441163737718E-2</v>
      </c>
      <c r="O801" s="26">
        <f t="shared" si="460"/>
        <v>-2.3641897877785385</v>
      </c>
      <c r="P801" s="26">
        <f t="shared" si="461"/>
        <v>8.5944481526579339E-2</v>
      </c>
      <c r="Q801" s="26">
        <f t="shared" si="462"/>
        <v>3.6932269524362687E-3</v>
      </c>
      <c r="R801" s="26">
        <f t="shared" si="463"/>
        <v>-9.1762479070767871</v>
      </c>
      <c r="S801" s="26">
        <f t="shared" si="464"/>
        <v>1.034573228661394E-4</v>
      </c>
      <c r="T801" s="26">
        <f t="shared" si="465"/>
        <v>1.8461454357101243</v>
      </c>
      <c r="U801" s="26">
        <f t="shared" si="466"/>
        <v>0.86367389746136869</v>
      </c>
      <c r="V801" s="26">
        <f t="shared" si="467"/>
        <v>2.4337121716310133</v>
      </c>
      <c r="W801" s="26">
        <f t="shared" si="468"/>
        <v>0.91936216479154609</v>
      </c>
      <c r="X801" s="26">
        <f t="shared" si="469"/>
        <v>3.2512302335528848E-3</v>
      </c>
      <c r="Y801" s="26">
        <f t="shared" si="470"/>
        <v>2.2918719115506017</v>
      </c>
      <c r="Z801" s="26">
        <f t="shared" si="471"/>
        <v>0.90820163330209358</v>
      </c>
      <c r="AA801" s="26">
        <f t="shared" si="472"/>
        <v>-6.6717384255685062</v>
      </c>
      <c r="AB801" s="26">
        <f t="shared" si="473"/>
        <v>1.2645944257455579E-3</v>
      </c>
      <c r="AC801" s="26">
        <f t="shared" si="474"/>
        <v>2.6356000333460505</v>
      </c>
      <c r="AD801" s="26">
        <f t="shared" si="475"/>
        <v>0.93311789012240931</v>
      </c>
      <c r="AE801" s="26">
        <f t="shared" si="476"/>
        <v>2.2366083108390569E-3</v>
      </c>
      <c r="AF801" s="26">
        <f t="shared" si="477"/>
        <v>-3.4058603683545918</v>
      </c>
      <c r="AG801" s="26">
        <f t="shared" si="478"/>
        <v>3.2112814877428918E-2</v>
      </c>
      <c r="AH801" s="26">
        <f t="shared" si="479"/>
        <v>-2.569223279489099</v>
      </c>
      <c r="AI801" s="26">
        <f t="shared" si="480"/>
        <v>7.1145615723642711E-2</v>
      </c>
      <c r="AJ801" s="26">
        <f t="shared" si="481"/>
        <v>-2.503728388810214</v>
      </c>
      <c r="AK801" s="26">
        <f t="shared" si="482"/>
        <v>7.5597219085871442E-2</v>
      </c>
      <c r="AL801" s="26">
        <f t="shared" si="483"/>
        <v>2.8574697667586228E-3</v>
      </c>
      <c r="AM801" s="27">
        <f t="shared" si="484"/>
        <v>1.2038535263586834E-2</v>
      </c>
    </row>
    <row r="802" spans="1:39" ht="15" customHeight="1" x14ac:dyDescent="0.2">
      <c r="A802" s="24">
        <v>791</v>
      </c>
      <c r="B802" s="29">
        <f t="shared" si="485"/>
        <v>5.7715608307151687</v>
      </c>
      <c r="C802" s="29">
        <f t="shared" si="486"/>
        <v>-5.6987765454414081</v>
      </c>
      <c r="D802" s="29">
        <f t="shared" si="487"/>
        <v>-3.4785897652795024</v>
      </c>
      <c r="E802" s="29">
        <f t="shared" si="488"/>
        <v>-4.4175995081590154</v>
      </c>
      <c r="F802" s="29">
        <f t="shared" si="489"/>
        <v>4.1048167385833674</v>
      </c>
      <c r="G802" s="29">
        <f t="shared" si="490"/>
        <v>-2.2577928608665756</v>
      </c>
      <c r="H802" s="29">
        <f t="shared" si="491"/>
        <v>6.3871375482532597</v>
      </c>
      <c r="I802" s="29">
        <f t="shared" si="492"/>
        <v>6.4919705189492145</v>
      </c>
      <c r="J802" s="29">
        <f t="shared" si="493"/>
        <v>-3.1721897241749848</v>
      </c>
      <c r="K802" s="26">
        <f t="shared" si="456"/>
        <v>-3.4785897652795024</v>
      </c>
      <c r="L802" s="26">
        <f t="shared" si="457"/>
        <v>2.9927594514752725E-2</v>
      </c>
      <c r="M802" s="26">
        <f t="shared" si="458"/>
        <v>-2.2577928608665756</v>
      </c>
      <c r="N802" s="26">
        <f t="shared" si="459"/>
        <v>9.4679385150159931E-2</v>
      </c>
      <c r="O802" s="26">
        <f t="shared" si="460"/>
        <v>-2.3663822843738331</v>
      </c>
      <c r="P802" s="26">
        <f t="shared" si="461"/>
        <v>8.5772399606022245E-2</v>
      </c>
      <c r="Q802" s="26">
        <f t="shared" si="462"/>
        <v>3.6784522670875825E-3</v>
      </c>
      <c r="R802" s="26">
        <f t="shared" si="463"/>
        <v>-9.1773663107209096</v>
      </c>
      <c r="S802" s="26">
        <f t="shared" si="464"/>
        <v>1.0334169244938936E-4</v>
      </c>
      <c r="T802" s="26">
        <f t="shared" si="465"/>
        <v>1.8470238777167918</v>
      </c>
      <c r="U802" s="26">
        <f t="shared" si="466"/>
        <v>0.86377729332380704</v>
      </c>
      <c r="V802" s="26">
        <f t="shared" si="467"/>
        <v>2.4360870566250621</v>
      </c>
      <c r="W802" s="26">
        <f t="shared" si="468"/>
        <v>0.91953805252479315</v>
      </c>
      <c r="X802" s="26">
        <f t="shared" si="469"/>
        <v>3.237062495751473E-3</v>
      </c>
      <c r="Y802" s="26">
        <f t="shared" si="470"/>
        <v>2.2929710654356663</v>
      </c>
      <c r="Z802" s="26">
        <f t="shared" si="471"/>
        <v>0.90829323022291142</v>
      </c>
      <c r="AA802" s="26">
        <f t="shared" si="472"/>
        <v>-6.675392369025591</v>
      </c>
      <c r="AB802" s="26">
        <f t="shared" si="473"/>
        <v>1.2599879124099865E-3</v>
      </c>
      <c r="AC802" s="26">
        <f t="shared" si="474"/>
        <v>2.6373838757876134</v>
      </c>
      <c r="AD802" s="26">
        <f t="shared" si="475"/>
        <v>0.9332291317785627</v>
      </c>
      <c r="AE802" s="26">
        <f t="shared" si="476"/>
        <v>2.2291744215222724E-3</v>
      </c>
      <c r="AF802" s="26">
        <f t="shared" si="477"/>
        <v>-3.4058054800057418</v>
      </c>
      <c r="AG802" s="26">
        <f t="shared" si="478"/>
        <v>3.2114520937958295E-2</v>
      </c>
      <c r="AH802" s="26">
        <f t="shared" si="479"/>
        <v>-2.5705756304422236</v>
      </c>
      <c r="AI802" s="26">
        <f t="shared" si="480"/>
        <v>7.1056298889333541E-2</v>
      </c>
      <c r="AJ802" s="26">
        <f t="shared" si="481"/>
        <v>-2.5057744640727888</v>
      </c>
      <c r="AK802" s="26">
        <f t="shared" si="482"/>
        <v>7.5454358786400638E-2</v>
      </c>
      <c r="AL802" s="26">
        <f t="shared" si="483"/>
        <v>2.8466801299334376E-3</v>
      </c>
      <c r="AM802" s="27">
        <f t="shared" si="484"/>
        <v>1.1991369314294766E-2</v>
      </c>
    </row>
    <row r="803" spans="1:39" ht="15" customHeight="1" x14ac:dyDescent="0.2">
      <c r="A803" s="24">
        <v>792</v>
      </c>
      <c r="B803" s="29">
        <f t="shared" si="485"/>
        <v>5.7727293851805985</v>
      </c>
      <c r="C803" s="29">
        <f t="shared" si="486"/>
        <v>-5.699817646279242</v>
      </c>
      <c r="D803" s="29">
        <f t="shared" si="487"/>
        <v>-3.4786644690621964</v>
      </c>
      <c r="E803" s="29">
        <f t="shared" si="488"/>
        <v>-4.4198211355710226</v>
      </c>
      <c r="F803" s="29">
        <f t="shared" si="489"/>
        <v>4.1071086824971124</v>
      </c>
      <c r="G803" s="29">
        <f t="shared" si="490"/>
        <v>-2.2592096161806641</v>
      </c>
      <c r="H803" s="29">
        <f t="shared" si="491"/>
        <v>6.3905469306435432</v>
      </c>
      <c r="I803" s="29">
        <f t="shared" si="492"/>
        <v>6.4961071772289483</v>
      </c>
      <c r="J803" s="29">
        <f t="shared" si="493"/>
        <v>-3.1740655154592607</v>
      </c>
      <c r="K803" s="26">
        <f t="shared" si="456"/>
        <v>-3.4786644690621964</v>
      </c>
      <c r="L803" s="26">
        <f t="shared" si="457"/>
        <v>2.9925425795651935E-2</v>
      </c>
      <c r="M803" s="26">
        <f t="shared" si="458"/>
        <v>-2.2592096161806641</v>
      </c>
      <c r="N803" s="26">
        <f t="shared" si="459"/>
        <v>9.4558017400760239E-2</v>
      </c>
      <c r="O803" s="26">
        <f t="shared" si="460"/>
        <v>-2.3685666619910379</v>
      </c>
      <c r="P803" s="26">
        <f t="shared" si="461"/>
        <v>8.5601265469007967E-2</v>
      </c>
      <c r="Q803" s="26">
        <f t="shared" si="462"/>
        <v>3.6637883249477877E-3</v>
      </c>
      <c r="R803" s="26">
        <f t="shared" si="463"/>
        <v>-9.1784821153414384</v>
      </c>
      <c r="S803" s="26">
        <f t="shared" si="464"/>
        <v>1.0322645951509097E-4</v>
      </c>
      <c r="T803" s="26">
        <f t="shared" si="465"/>
        <v>1.8478990663164483</v>
      </c>
      <c r="U803" s="26">
        <f t="shared" si="466"/>
        <v>0.86388024055407786</v>
      </c>
      <c r="V803" s="26">
        <f t="shared" si="467"/>
        <v>2.4384527890043701</v>
      </c>
      <c r="W803" s="26">
        <f t="shared" si="468"/>
        <v>0.91971291427769353</v>
      </c>
      <c r="X803" s="26">
        <f t="shared" si="469"/>
        <v>3.2230080668904939E-3</v>
      </c>
      <c r="Y803" s="26">
        <f t="shared" si="470"/>
        <v>2.2940649161184021</v>
      </c>
      <c r="Z803" s="26">
        <f t="shared" si="471"/>
        <v>0.90838430362388678</v>
      </c>
      <c r="AA803" s="26">
        <f t="shared" si="472"/>
        <v>-6.6790307517516867</v>
      </c>
      <c r="AB803" s="26">
        <f t="shared" si="473"/>
        <v>1.255417668578301E-3</v>
      </c>
      <c r="AC803" s="26">
        <f t="shared" si="474"/>
        <v>2.6391623356364127</v>
      </c>
      <c r="AD803" s="26">
        <f t="shared" si="475"/>
        <v>0.93333986674402314</v>
      </c>
      <c r="AE803" s="26">
        <f t="shared" si="476"/>
        <v>2.2217866828522963E-3</v>
      </c>
      <c r="AF803" s="26">
        <f t="shared" si="477"/>
        <v>-3.4057527301608399</v>
      </c>
      <c r="AG803" s="26">
        <f t="shared" si="478"/>
        <v>3.2116160611270539E-2</v>
      </c>
      <c r="AH803" s="26">
        <f t="shared" si="479"/>
        <v>-2.5719220692545743</v>
      </c>
      <c r="AI803" s="26">
        <f t="shared" si="480"/>
        <v>7.0967475410098887E-2</v>
      </c>
      <c r="AJ803" s="26">
        <f t="shared" si="481"/>
        <v>-2.5078133574794883</v>
      </c>
      <c r="AK803" s="26">
        <f t="shared" si="482"/>
        <v>7.5312246608462599E-2</v>
      </c>
      <c r="AL803" s="26">
        <f t="shared" si="483"/>
        <v>2.8359672446069432E-3</v>
      </c>
      <c r="AM803" s="27">
        <f t="shared" si="484"/>
        <v>1.1944550319297521E-2</v>
      </c>
    </row>
    <row r="804" spans="1:39" ht="15" customHeight="1" x14ac:dyDescent="0.2">
      <c r="A804" s="24">
        <v>793</v>
      </c>
      <c r="B804" s="29">
        <f t="shared" si="485"/>
        <v>5.773893237361043</v>
      </c>
      <c r="C804" s="29">
        <f t="shared" si="486"/>
        <v>-5.7008556002225008</v>
      </c>
      <c r="D804" s="29">
        <f t="shared" si="487"/>
        <v>-3.4787397303105299</v>
      </c>
      <c r="E804" s="29">
        <f t="shared" si="488"/>
        <v>-4.4220336653201198</v>
      </c>
      <c r="F804" s="29">
        <f t="shared" si="489"/>
        <v>4.1093910514055771</v>
      </c>
      <c r="G804" s="29">
        <f t="shared" si="490"/>
        <v>-2.2606200269229242</v>
      </c>
      <c r="H804" s="29">
        <f t="shared" si="491"/>
        <v>6.3939459911802041</v>
      </c>
      <c r="I804" s="29">
        <f t="shared" si="492"/>
        <v>6.5002281067432106</v>
      </c>
      <c r="J804" s="29">
        <f t="shared" si="493"/>
        <v>-3.1759347621784246</v>
      </c>
      <c r="K804" s="26">
        <f t="shared" si="456"/>
        <v>-3.4787397303105299</v>
      </c>
      <c r="L804" s="26">
        <f t="shared" si="457"/>
        <v>2.9923241046832784E-2</v>
      </c>
      <c r="M804" s="26">
        <f t="shared" si="458"/>
        <v>-2.2606200269229242</v>
      </c>
      <c r="N804" s="26">
        <f t="shared" si="459"/>
        <v>9.4437331581043504E-2</v>
      </c>
      <c r="O804" s="26">
        <f t="shared" si="460"/>
        <v>-2.3707429779749818</v>
      </c>
      <c r="P804" s="26">
        <f t="shared" si="461"/>
        <v>8.5431070748335378E-2</v>
      </c>
      <c r="Q804" s="26">
        <f t="shared" si="462"/>
        <v>3.6492339246035422E-3</v>
      </c>
      <c r="R804" s="26">
        <f t="shared" si="463"/>
        <v>-9.1795953305330311</v>
      </c>
      <c r="S804" s="26">
        <f t="shared" si="464"/>
        <v>1.0311162203235191E-4</v>
      </c>
      <c r="T804" s="26">
        <f t="shared" si="465"/>
        <v>1.848771024482653</v>
      </c>
      <c r="U804" s="26">
        <f t="shared" si="466"/>
        <v>0.8639827426062977</v>
      </c>
      <c r="V804" s="26">
        <f t="shared" si="467"/>
        <v>2.440809435194454</v>
      </c>
      <c r="W804" s="26">
        <f t="shared" si="468"/>
        <v>0.91988675951964405</v>
      </c>
      <c r="X804" s="26">
        <f t="shared" si="469"/>
        <v>3.2090656501316717E-3</v>
      </c>
      <c r="Y804" s="26">
        <f t="shared" si="470"/>
        <v>2.2951535070505131</v>
      </c>
      <c r="Z804" s="26">
        <f t="shared" si="471"/>
        <v>0.90847485835580877</v>
      </c>
      <c r="AA804" s="26">
        <f t="shared" si="472"/>
        <v>-6.6826536922430435</v>
      </c>
      <c r="AB804" s="26">
        <f t="shared" si="473"/>
        <v>1.2508832733518129E-3</v>
      </c>
      <c r="AC804" s="26">
        <f t="shared" si="474"/>
        <v>2.6409354431053988</v>
      </c>
      <c r="AD804" s="26">
        <f t="shared" si="475"/>
        <v>0.93345009866458406</v>
      </c>
      <c r="AE804" s="26">
        <f t="shared" si="476"/>
        <v>2.2144446838767979E-3</v>
      </c>
      <c r="AF804" s="26">
        <f t="shared" si="477"/>
        <v>-3.4057020931719877</v>
      </c>
      <c r="AG804" s="26">
        <f t="shared" si="478"/>
        <v>3.2117734684821007E-2</v>
      </c>
      <c r="AH804" s="26">
        <f t="shared" si="479"/>
        <v>-2.5732626408374668</v>
      </c>
      <c r="AI804" s="26">
        <f t="shared" si="480"/>
        <v>7.0879140879332531E-2</v>
      </c>
      <c r="AJ804" s="26">
        <f t="shared" si="481"/>
        <v>-2.5098451175189749</v>
      </c>
      <c r="AK804" s="26">
        <f t="shared" si="482"/>
        <v>7.5170876237141776E-2</v>
      </c>
      <c r="AL804" s="26">
        <f t="shared" si="483"/>
        <v>2.8253303171298432E-3</v>
      </c>
      <c r="AM804" s="27">
        <f t="shared" si="484"/>
        <v>1.1898074575741855E-2</v>
      </c>
    </row>
    <row r="805" spans="1:39" ht="15" customHeight="1" x14ac:dyDescent="0.2">
      <c r="A805" s="24">
        <v>794</v>
      </c>
      <c r="B805" s="29">
        <f t="shared" si="485"/>
        <v>5.7750524221273443</v>
      </c>
      <c r="C805" s="29">
        <f t="shared" si="486"/>
        <v>-5.7018904249313271</v>
      </c>
      <c r="D805" s="29">
        <f t="shared" si="487"/>
        <v>-3.4788155409288115</v>
      </c>
      <c r="E805" s="29">
        <f t="shared" si="488"/>
        <v>-4.4242371645757617</v>
      </c>
      <c r="F805" s="29">
        <f t="shared" si="489"/>
        <v>4.1116639180909678</v>
      </c>
      <c r="G805" s="29">
        <f t="shared" si="490"/>
        <v>-2.2620241431405992</v>
      </c>
      <c r="H805" s="29">
        <f t="shared" si="491"/>
        <v>6.3973347886327812</v>
      </c>
      <c r="I805" s="29">
        <f t="shared" si="492"/>
        <v>6.5043334208180612</v>
      </c>
      <c r="J805" s="29">
        <f t="shared" si="493"/>
        <v>-3.1777975084062402</v>
      </c>
      <c r="K805" s="26">
        <f t="shared" si="456"/>
        <v>-3.4788155409288115</v>
      </c>
      <c r="L805" s="26">
        <f t="shared" si="457"/>
        <v>2.9921040506703817E-2</v>
      </c>
      <c r="M805" s="26">
        <f t="shared" si="458"/>
        <v>-2.2620241431405992</v>
      </c>
      <c r="N805" s="26">
        <f t="shared" si="459"/>
        <v>9.4317321436115015E-2</v>
      </c>
      <c r="O805" s="26">
        <f t="shared" si="460"/>
        <v>-2.3729112890816504</v>
      </c>
      <c r="P805" s="26">
        <f t="shared" si="461"/>
        <v>8.5261807177456961E-2</v>
      </c>
      <c r="Q805" s="26">
        <f t="shared" si="462"/>
        <v>3.6347878815829256E-3</v>
      </c>
      <c r="R805" s="26">
        <f t="shared" si="463"/>
        <v>-9.1807059658601382</v>
      </c>
      <c r="S805" s="26">
        <f t="shared" si="464"/>
        <v>1.0299717798203015E-4</v>
      </c>
      <c r="T805" s="26">
        <f t="shared" si="465"/>
        <v>1.8496397749503686</v>
      </c>
      <c r="U805" s="26">
        <f t="shared" si="466"/>
        <v>0.86408480289652045</v>
      </c>
      <c r="V805" s="26">
        <f t="shared" si="467"/>
        <v>2.4431570609244209</v>
      </c>
      <c r="W805" s="26">
        <f t="shared" si="468"/>
        <v>0.92005959760186151</v>
      </c>
      <c r="X805" s="26">
        <f t="shared" si="469"/>
        <v>3.195233967788153E-3</v>
      </c>
      <c r="Y805" s="26">
        <f t="shared" si="470"/>
        <v>2.2962368811985328</v>
      </c>
      <c r="Z805" s="26">
        <f t="shared" si="471"/>
        <v>0.90856489920906092</v>
      </c>
      <c r="AA805" s="26">
        <f t="shared" si="472"/>
        <v>-6.6862613077163608</v>
      </c>
      <c r="AB805" s="26">
        <f t="shared" si="473"/>
        <v>1.2463843122057128E-3</v>
      </c>
      <c r="AC805" s="26">
        <f t="shared" si="474"/>
        <v>2.6427032281715852</v>
      </c>
      <c r="AD805" s="26">
        <f t="shared" si="475"/>
        <v>0.93355983115111418</v>
      </c>
      <c r="AE805" s="26">
        <f t="shared" si="476"/>
        <v>2.2071480183342286E-3</v>
      </c>
      <c r="AF805" s="26">
        <f t="shared" si="477"/>
        <v>-3.4056535437327944</v>
      </c>
      <c r="AG805" s="26">
        <f t="shared" si="478"/>
        <v>3.2119243935991408E-2</v>
      </c>
      <c r="AH805" s="26">
        <f t="shared" si="479"/>
        <v>-2.5745973896253931</v>
      </c>
      <c r="AI805" s="26">
        <f t="shared" si="480"/>
        <v>7.0791290943861204E-2</v>
      </c>
      <c r="AJ805" s="26">
        <f t="shared" si="481"/>
        <v>-2.5118697922009288</v>
      </c>
      <c r="AK805" s="26">
        <f t="shared" si="482"/>
        <v>7.5030241430499772E-2</v>
      </c>
      <c r="AL805" s="26">
        <f t="shared" si="483"/>
        <v>2.8147685645595424E-3</v>
      </c>
      <c r="AM805" s="27">
        <f t="shared" si="484"/>
        <v>1.185193843226485E-2</v>
      </c>
    </row>
    <row r="806" spans="1:39" ht="15" customHeight="1" x14ac:dyDescent="0.2">
      <c r="A806" s="24">
        <v>795</v>
      </c>
      <c r="B806" s="29">
        <f t="shared" si="485"/>
        <v>5.7762069739836148</v>
      </c>
      <c r="C806" s="29">
        <f t="shared" si="486"/>
        <v>-5.7029221379236903</v>
      </c>
      <c r="D806" s="29">
        <f t="shared" si="487"/>
        <v>-3.4788918929330652</v>
      </c>
      <c r="E806" s="29">
        <f t="shared" si="488"/>
        <v>-4.4264316998016762</v>
      </c>
      <c r="F806" s="29">
        <f t="shared" si="489"/>
        <v>4.1139273545440576</v>
      </c>
      <c r="G806" s="29">
        <f t="shared" si="490"/>
        <v>-2.2634220143248438</v>
      </c>
      <c r="H806" s="29">
        <f t="shared" si="491"/>
        <v>6.4007133812944828</v>
      </c>
      <c r="I806" s="29">
        <f t="shared" si="492"/>
        <v>6.5084232315975461</v>
      </c>
      <c r="J806" s="29">
        <f t="shared" si="493"/>
        <v>-3.1796537977816675</v>
      </c>
      <c r="K806" s="26">
        <f t="shared" si="456"/>
        <v>-3.4788918929330652</v>
      </c>
      <c r="L806" s="26">
        <f t="shared" si="457"/>
        <v>2.9918824410388727E-2</v>
      </c>
      <c r="M806" s="26">
        <f t="shared" si="458"/>
        <v>-2.2634220143248438</v>
      </c>
      <c r="N806" s="26">
        <f t="shared" si="459"/>
        <v>9.4197980789422625E-2</v>
      </c>
      <c r="O806" s="26">
        <f t="shared" si="460"/>
        <v>-2.3750716514860351</v>
      </c>
      <c r="P806" s="26">
        <f t="shared" si="461"/>
        <v>8.5093466588956654E-2</v>
      </c>
      <c r="Q806" s="26">
        <f t="shared" si="462"/>
        <v>3.6204490280629413E-3</v>
      </c>
      <c r="R806" s="26">
        <f t="shared" si="463"/>
        <v>-9.1818140308567564</v>
      </c>
      <c r="S806" s="26">
        <f t="shared" si="464"/>
        <v>1.0288312535668918E-4</v>
      </c>
      <c r="T806" s="26">
        <f t="shared" si="465"/>
        <v>1.8505053402192138</v>
      </c>
      <c r="U806" s="26">
        <f t="shared" si="466"/>
        <v>0.86418642480328134</v>
      </c>
      <c r="V806" s="26">
        <f t="shared" si="467"/>
        <v>2.4454957312364138</v>
      </c>
      <c r="W806" s="26">
        <f t="shared" si="468"/>
        <v>0.92023143775922622</v>
      </c>
      <c r="X806" s="26">
        <f t="shared" si="469"/>
        <v>3.1815117609800998E-3</v>
      </c>
      <c r="Y806" s="26">
        <f t="shared" si="470"/>
        <v>2.2973150810505496</v>
      </c>
      <c r="Z806" s="26">
        <f t="shared" si="471"/>
        <v>0.90865443091455256</v>
      </c>
      <c r="AA806" s="26">
        <f t="shared" si="472"/>
        <v>-6.68985371412652</v>
      </c>
      <c r="AB806" s="26">
        <f t="shared" si="473"/>
        <v>1.2419203768707862E-3</v>
      </c>
      <c r="AC806" s="26">
        <f t="shared" si="474"/>
        <v>2.6444657205782525</v>
      </c>
      <c r="AD806" s="26">
        <f t="shared" si="475"/>
        <v>0.93366906777996184</v>
      </c>
      <c r="AE806" s="26">
        <f t="shared" si="476"/>
        <v>2.1998962845896485E-3</v>
      </c>
      <c r="AF806" s="26">
        <f t="shared" si="477"/>
        <v>-3.4056070568731407</v>
      </c>
      <c r="AG806" s="26">
        <f t="shared" si="478"/>
        <v>3.2120689132234682E-2</v>
      </c>
      <c r="AH806" s="26">
        <f t="shared" si="479"/>
        <v>-2.5759263595824624</v>
      </c>
      <c r="AI806" s="26">
        <f t="shared" si="480"/>
        <v>7.0703921303133091E-2</v>
      </c>
      <c r="AJ806" s="26">
        <f t="shared" si="481"/>
        <v>-2.5138874290622164</v>
      </c>
      <c r="AK806" s="26">
        <f t="shared" si="482"/>
        <v>7.489033601851118E-2</v>
      </c>
      <c r="AL806" s="26">
        <f t="shared" si="483"/>
        <v>2.8042812144827567E-3</v>
      </c>
      <c r="AM806" s="27">
        <f t="shared" si="484"/>
        <v>1.1806138288115445E-2</v>
      </c>
    </row>
    <row r="807" spans="1:39" ht="15" customHeight="1" x14ac:dyDescent="0.2">
      <c r="A807" s="24">
        <v>796</v>
      </c>
      <c r="B807" s="29">
        <f t="shared" si="485"/>
        <v>5.7773569270721481</v>
      </c>
      <c r="C807" s="29">
        <f t="shared" si="486"/>
        <v>-5.7039507565768579</v>
      </c>
      <c r="D807" s="29">
        <f t="shared" si="487"/>
        <v>-3.4789687784493175</v>
      </c>
      <c r="E807" s="29">
        <f t="shared" si="488"/>
        <v>-4.4286173367653978</v>
      </c>
      <c r="F807" s="29">
        <f t="shared" si="489"/>
        <v>4.1161814319752841</v>
      </c>
      <c r="G807" s="29">
        <f t="shared" si="490"/>
        <v>-2.2648136894186273</v>
      </c>
      <c r="H807" s="29">
        <f t="shared" si="491"/>
        <v>6.4040818269870403</v>
      </c>
      <c r="I807" s="29">
        <f t="shared" si="492"/>
        <v>6.512497650059677</v>
      </c>
      <c r="J807" s="29">
        <f t="shared" si="493"/>
        <v>-3.18150367351446</v>
      </c>
      <c r="K807" s="26">
        <f t="shared" si="456"/>
        <v>-3.4789687784493175</v>
      </c>
      <c r="L807" s="26">
        <f t="shared" si="457"/>
        <v>2.9916592989775979E-2</v>
      </c>
      <c r="M807" s="26">
        <f t="shared" si="458"/>
        <v>-2.2648136894186273</v>
      </c>
      <c r="N807" s="26">
        <f t="shared" si="459"/>
        <v>9.407930354152276E-2</v>
      </c>
      <c r="O807" s="26">
        <f t="shared" si="460"/>
        <v>-2.3772241207898497</v>
      </c>
      <c r="P807" s="26">
        <f t="shared" si="461"/>
        <v>8.4926040913055875E-2</v>
      </c>
      <c r="Q807" s="26">
        <f t="shared" si="462"/>
        <v>3.6062162125830204E-3</v>
      </c>
      <c r="R807" s="26">
        <f t="shared" si="463"/>
        <v>-9.1829195350261763</v>
      </c>
      <c r="S807" s="26">
        <f t="shared" si="464"/>
        <v>1.0276946216055377E-4</v>
      </c>
      <c r="T807" s="26">
        <f t="shared" si="465"/>
        <v>1.8513677425566568</v>
      </c>
      <c r="U807" s="26">
        <f t="shared" si="466"/>
        <v>0.86428761166813006</v>
      </c>
      <c r="V807" s="26">
        <f t="shared" si="467"/>
        <v>2.4478255104949196</v>
      </c>
      <c r="W807" s="26">
        <f t="shared" si="468"/>
        <v>0.92040228911209587</v>
      </c>
      <c r="X807" s="26">
        <f t="shared" si="469"/>
        <v>3.1678977892971856E-3</v>
      </c>
      <c r="Y807" s="26">
        <f t="shared" si="470"/>
        <v>2.2983881486228306</v>
      </c>
      <c r="Z807" s="26">
        <f t="shared" si="471"/>
        <v>0.90874345814463253</v>
      </c>
      <c r="AA807" s="26">
        <f t="shared" si="472"/>
        <v>-6.6934310261840251</v>
      </c>
      <c r="AB807" s="26">
        <f t="shared" si="473"/>
        <v>1.2374910652177061E-3</v>
      </c>
      <c r="AC807" s="26">
        <f t="shared" si="474"/>
        <v>2.6462229498371399</v>
      </c>
      <c r="AD807" s="26">
        <f t="shared" si="475"/>
        <v>0.93377781209335675</v>
      </c>
      <c r="AE807" s="26">
        <f t="shared" si="476"/>
        <v>2.1926890855713836E-3</v>
      </c>
      <c r="AF807" s="26">
        <f t="shared" si="477"/>
        <v>-3.4055626079540273</v>
      </c>
      <c r="AG807" s="26">
        <f t="shared" si="478"/>
        <v>3.2122071031217836E-2</v>
      </c>
      <c r="AH807" s="26">
        <f t="shared" si="479"/>
        <v>-2.577249594208741</v>
      </c>
      <c r="AI807" s="26">
        <f t="shared" si="480"/>
        <v>7.0617027708420738E-2</v>
      </c>
      <c r="AJ807" s="26">
        <f t="shared" si="481"/>
        <v>-2.515898075172962</v>
      </c>
      <c r="AK807" s="26">
        <f t="shared" si="482"/>
        <v>7.4751153902018114E-2</v>
      </c>
      <c r="AL807" s="26">
        <f t="shared" si="483"/>
        <v>2.7938675048415989E-3</v>
      </c>
      <c r="AM807" s="27">
        <f t="shared" si="484"/>
        <v>1.1760670592293189E-2</v>
      </c>
    </row>
    <row r="808" spans="1:39" ht="15" customHeight="1" x14ac:dyDescent="0.2">
      <c r="A808" s="24">
        <v>797</v>
      </c>
      <c r="B808" s="29">
        <f t="shared" si="485"/>
        <v>5.778502315178244</v>
      </c>
      <c r="C808" s="29">
        <f t="shared" si="486"/>
        <v>-5.7049762981288517</v>
      </c>
      <c r="D808" s="29">
        <f t="shared" si="487"/>
        <v>-3.4790461897119167</v>
      </c>
      <c r="E808" s="29">
        <f t="shared" si="488"/>
        <v>-4.4307941405476443</v>
      </c>
      <c r="F808" s="29">
        <f t="shared" si="489"/>
        <v>4.1184262208256639</v>
      </c>
      <c r="G808" s="29">
        <f t="shared" si="490"/>
        <v>-2.2661992168245031</v>
      </c>
      <c r="H808" s="29">
        <f t="shared" si="491"/>
        <v>6.407440183065507</v>
      </c>
      <c r="I808" s="29">
        <f t="shared" si="492"/>
        <v>6.5165567860321412</v>
      </c>
      <c r="J808" s="29">
        <f t="shared" si="493"/>
        <v>-3.1833471783906782</v>
      </c>
      <c r="K808" s="26">
        <f t="shared" si="456"/>
        <v>-3.4790461897119167</v>
      </c>
      <c r="L808" s="26">
        <f t="shared" si="457"/>
        <v>2.9914346473567614E-2</v>
      </c>
      <c r="M808" s="26">
        <f t="shared" si="458"/>
        <v>-2.2661992168245031</v>
      </c>
      <c r="N808" s="26">
        <f t="shared" si="459"/>
        <v>9.3961283668869702E-2</v>
      </c>
      <c r="O808" s="26">
        <f t="shared" si="460"/>
        <v>-2.3793687520291331</v>
      </c>
      <c r="P808" s="26">
        <f t="shared" si="461"/>
        <v>8.4759522176145435E-2</v>
      </c>
      <c r="Q808" s="26">
        <f t="shared" si="462"/>
        <v>3.5920882997642449E-3</v>
      </c>
      <c r="R808" s="26">
        <f t="shared" si="463"/>
        <v>-9.1840224878407675</v>
      </c>
      <c r="S808" s="26">
        <f t="shared" si="464"/>
        <v>1.0265618640946252E-4</v>
      </c>
      <c r="T808" s="26">
        <f t="shared" si="465"/>
        <v>1.8522270040011608</v>
      </c>
      <c r="U808" s="26">
        <f t="shared" si="466"/>
        <v>0.86438836679615505</v>
      </c>
      <c r="V808" s="26">
        <f t="shared" si="467"/>
        <v>2.4501464623958857</v>
      </c>
      <c r="W808" s="26">
        <f t="shared" si="468"/>
        <v>0.92057216066807945</v>
      </c>
      <c r="X808" s="26">
        <f t="shared" si="469"/>
        <v>3.1543908304686925E-3</v>
      </c>
      <c r="Y808" s="26">
        <f t="shared" si="470"/>
        <v>2.2994561254663273</v>
      </c>
      <c r="Z808" s="26">
        <f t="shared" si="471"/>
        <v>0.90883198551398614</v>
      </c>
      <c r="AA808" s="26">
        <f t="shared" si="472"/>
        <v>-6.696993357372147</v>
      </c>
      <c r="AB808" s="26">
        <f t="shared" si="473"/>
        <v>1.2330959811438576E-3</v>
      </c>
      <c r="AC808" s="26">
        <f t="shared" si="474"/>
        <v>2.6479749452305978</v>
      </c>
      <c r="AD808" s="26">
        <f t="shared" si="475"/>
        <v>0.93388606759980308</v>
      </c>
      <c r="AE808" s="26">
        <f t="shared" si="476"/>
        <v>2.1855260287089039E-3</v>
      </c>
      <c r="AF808" s="26">
        <f t="shared" si="477"/>
        <v>-3.4055201726625244</v>
      </c>
      <c r="AG808" s="26">
        <f t="shared" si="478"/>
        <v>3.2123390380962097E-2</v>
      </c>
      <c r="AH808" s="26">
        <f t="shared" si="479"/>
        <v>-2.5785671365464835</v>
      </c>
      <c r="AI808" s="26">
        <f t="shared" si="480"/>
        <v>7.0530605962038861E-2</v>
      </c>
      <c r="AJ808" s="26">
        <f t="shared" si="481"/>
        <v>-2.5179017771425185</v>
      </c>
      <c r="AK808" s="26">
        <f t="shared" si="482"/>
        <v>7.4612689051703332E-2</v>
      </c>
      <c r="AL808" s="26">
        <f t="shared" si="483"/>
        <v>2.7835266837630849E-3</v>
      </c>
      <c r="AM808" s="27">
        <f t="shared" si="484"/>
        <v>1.1715531842704924E-2</v>
      </c>
    </row>
    <row r="809" spans="1:39" ht="15" customHeight="1" x14ac:dyDescent="0.2">
      <c r="A809" s="24">
        <v>798</v>
      </c>
      <c r="B809" s="29">
        <f t="shared" si="485"/>
        <v>5.7796431717349632</v>
      </c>
      <c r="C809" s="29">
        <f t="shared" si="486"/>
        <v>-5.7059987796798808</v>
      </c>
      <c r="D809" s="29">
        <f t="shared" si="487"/>
        <v>-3.4791241190618796</v>
      </c>
      <c r="E809" s="29">
        <f t="shared" si="488"/>
        <v>-4.4329621755515412</v>
      </c>
      <c r="F809" s="29">
        <f t="shared" si="489"/>
        <v>4.1206617907775147</v>
      </c>
      <c r="G809" s="29">
        <f t="shared" si="490"/>
        <v>-2.2675786444122421</v>
      </c>
      <c r="H809" s="29">
        <f t="shared" si="491"/>
        <v>6.4107885064229961</v>
      </c>
      <c r="I809" s="29">
        <f t="shared" si="492"/>
        <v>6.5206007482077615</v>
      </c>
      <c r="J809" s="29">
        <f t="shared" si="493"/>
        <v>-3.185184354778114</v>
      </c>
      <c r="K809" s="26">
        <f t="shared" si="456"/>
        <v>-3.4791241190618796</v>
      </c>
      <c r="L809" s="26">
        <f t="shared" si="457"/>
        <v>2.9912085087327206E-2</v>
      </c>
      <c r="M809" s="26">
        <f t="shared" si="458"/>
        <v>-2.2675786444122421</v>
      </c>
      <c r="N809" s="26">
        <f t="shared" si="459"/>
        <v>9.3843915222627777E-2</v>
      </c>
      <c r="O809" s="26">
        <f t="shared" si="460"/>
        <v>-2.3815055996817174</v>
      </c>
      <c r="P809" s="26">
        <f t="shared" si="461"/>
        <v>8.4593902499344911E-2</v>
      </c>
      <c r="Q809" s="26">
        <f t="shared" si="462"/>
        <v>3.5780641700343366E-3</v>
      </c>
      <c r="R809" s="26">
        <f t="shared" si="463"/>
        <v>-9.1851228987417599</v>
      </c>
      <c r="S809" s="26">
        <f t="shared" si="464"/>
        <v>1.0254329613082099E-4</v>
      </c>
      <c r="T809" s="26">
        <f t="shared" si="465"/>
        <v>1.8530831463652726</v>
      </c>
      <c r="U809" s="26">
        <f t="shared" si="466"/>
        <v>0.8644886934564987</v>
      </c>
      <c r="V809" s="26">
        <f t="shared" si="467"/>
        <v>2.4524586499757284</v>
      </c>
      <c r="W809" s="26">
        <f t="shared" si="468"/>
        <v>0.92074106132378264</v>
      </c>
      <c r="X809" s="26">
        <f t="shared" si="469"/>
        <v>3.140989680040192E-3</v>
      </c>
      <c r="Y809" s="26">
        <f t="shared" si="470"/>
        <v>2.3005190526730837</v>
      </c>
      <c r="Z809" s="26">
        <f t="shared" si="471"/>
        <v>0.90892001758051688</v>
      </c>
      <c r="AA809" s="26">
        <f t="shared" si="472"/>
        <v>-6.7005408199637833</v>
      </c>
      <c r="AB809" s="26">
        <f t="shared" si="473"/>
        <v>1.2287347344626159E-3</v>
      </c>
      <c r="AC809" s="26">
        <f t="shared" si="474"/>
        <v>2.6497217358137366</v>
      </c>
      <c r="AD809" s="26">
        <f t="shared" si="475"/>
        <v>0.93399383777447065</v>
      </c>
      <c r="AE809" s="26">
        <f t="shared" si="476"/>
        <v>2.1784067258714488E-3</v>
      </c>
      <c r="AF809" s="26">
        <f t="shared" si="477"/>
        <v>-3.4054797270067971</v>
      </c>
      <c r="AG809" s="26">
        <f t="shared" si="478"/>
        <v>3.2124647919981236E-2</v>
      </c>
      <c r="AH809" s="26">
        <f t="shared" si="479"/>
        <v>-2.5798790291862685</v>
      </c>
      <c r="AI809" s="26">
        <f t="shared" si="480"/>
        <v>7.0444651916575757E-2</v>
      </c>
      <c r="AJ809" s="26">
        <f t="shared" si="481"/>
        <v>-2.5198985811253536</v>
      </c>
      <c r="AK809" s="26">
        <f t="shared" si="482"/>
        <v>7.4474935507080661E-2</v>
      </c>
      <c r="AL809" s="26">
        <f t="shared" si="483"/>
        <v>2.773258009391912E-3</v>
      </c>
      <c r="AM809" s="27">
        <f t="shared" si="484"/>
        <v>1.1670718585337889E-2</v>
      </c>
    </row>
    <row r="810" spans="1:39" ht="15" customHeight="1" x14ac:dyDescent="0.2">
      <c r="A810" s="24">
        <v>799</v>
      </c>
      <c r="B810" s="29">
        <f t="shared" si="485"/>
        <v>5.7807795298278046</v>
      </c>
      <c r="C810" s="29">
        <f t="shared" si="486"/>
        <v>-5.7070182181937597</v>
      </c>
      <c r="D810" s="29">
        <f t="shared" si="487"/>
        <v>-3.4792025589452664</v>
      </c>
      <c r="E810" s="29">
        <f t="shared" si="488"/>
        <v>-4.4351215055116961</v>
      </c>
      <c r="F810" s="29">
        <f t="shared" si="489"/>
        <v>4.1228882107649989</v>
      </c>
      <c r="G810" s="29">
        <f t="shared" si="490"/>
        <v>-2.2689520195263384</v>
      </c>
      <c r="H810" s="29">
        <f t="shared" si="491"/>
        <v>6.414126853495369</v>
      </c>
      <c r="I810" s="29">
        <f t="shared" si="492"/>
        <v>6.5246296441596945</v>
      </c>
      <c r="J810" s="29">
        <f t="shared" si="493"/>
        <v>-3.1870152446316307</v>
      </c>
      <c r="K810" s="26">
        <f t="shared" si="456"/>
        <v>-3.4792025589452664</v>
      </c>
      <c r="L810" s="26">
        <f t="shared" si="457"/>
        <v>2.9909809053527109E-2</v>
      </c>
      <c r="M810" s="26">
        <f t="shared" si="458"/>
        <v>-2.2689520195263384</v>
      </c>
      <c r="N810" s="26">
        <f t="shared" si="459"/>
        <v>9.372719232750544E-2</v>
      </c>
      <c r="O810" s="26">
        <f t="shared" si="460"/>
        <v>-2.3836347176745845</v>
      </c>
      <c r="P810" s="26">
        <f t="shared" si="461"/>
        <v>8.4429174097087126E-2</v>
      </c>
      <c r="Q810" s="26">
        <f t="shared" si="462"/>
        <v>3.564142719358124E-3</v>
      </c>
      <c r="R810" s="26">
        <f t="shared" si="463"/>
        <v>-9.1862207771390256</v>
      </c>
      <c r="S810" s="26">
        <f t="shared" si="464"/>
        <v>1.0243078936355531E-4</v>
      </c>
      <c r="T810" s="26">
        <f t="shared" si="465"/>
        <v>1.8539361912386605</v>
      </c>
      <c r="U810" s="26">
        <f t="shared" si="466"/>
        <v>0.86458859488286388</v>
      </c>
      <c r="V810" s="26">
        <f t="shared" si="467"/>
        <v>2.4547621356201614</v>
      </c>
      <c r="W810" s="26">
        <f t="shared" si="468"/>
        <v>0.92090899986651975</v>
      </c>
      <c r="X810" s="26">
        <f t="shared" si="469"/>
        <v>3.1276931510570865E-3</v>
      </c>
      <c r="Y810" s="26">
        <f t="shared" si="470"/>
        <v>2.3015769708825382</v>
      </c>
      <c r="Z810" s="26">
        <f t="shared" si="471"/>
        <v>0.90900755884621032</v>
      </c>
      <c r="AA810" s="26">
        <f t="shared" si="472"/>
        <v>-6.7040735250380346</v>
      </c>
      <c r="AB810" s="26">
        <f t="shared" si="473"/>
        <v>1.2244069407950297E-3</v>
      </c>
      <c r="AC810" s="26">
        <f t="shared" si="474"/>
        <v>2.6514633504165448</v>
      </c>
      <c r="AD810" s="26">
        <f t="shared" si="475"/>
        <v>0.93410112605957873</v>
      </c>
      <c r="AE810" s="26">
        <f t="shared" si="476"/>
        <v>2.1713307933077667E-3</v>
      </c>
      <c r="AF810" s="26">
        <f t="shared" si="477"/>
        <v>-3.4054412473112214</v>
      </c>
      <c r="AG810" s="26">
        <f t="shared" si="478"/>
        <v>3.2125844377417556E-2</v>
      </c>
      <c r="AH810" s="26">
        <f t="shared" si="479"/>
        <v>-2.5811853142730357</v>
      </c>
      <c r="AI810" s="26">
        <f t="shared" si="480"/>
        <v>7.0359161474138662E-2</v>
      </c>
      <c r="AJ810" s="26">
        <f t="shared" si="481"/>
        <v>-2.5218885328268397</v>
      </c>
      <c r="AK810" s="26">
        <f t="shared" si="482"/>
        <v>7.4337887375503273E-2</v>
      </c>
      <c r="AL810" s="26">
        <f t="shared" si="483"/>
        <v>2.7630607497265043E-3</v>
      </c>
      <c r="AM810" s="27">
        <f t="shared" si="484"/>
        <v>1.1626227413449482E-2</v>
      </c>
    </row>
    <row r="811" spans="1:39" ht="15" customHeight="1" x14ac:dyDescent="0.2">
      <c r="A811" s="24">
        <v>800</v>
      </c>
      <c r="B811" s="29">
        <f t="shared" si="485"/>
        <v>5.7819114221993049</v>
      </c>
      <c r="C811" s="29">
        <f t="shared" si="486"/>
        <v>-5.708034630499311</v>
      </c>
      <c r="D811" s="29">
        <f t="shared" si="487"/>
        <v>-3.4792815019115837</v>
      </c>
      <c r="E811" s="29">
        <f t="shared" si="488"/>
        <v>-4.437272193503123</v>
      </c>
      <c r="F811" s="29">
        <f t="shared" si="489"/>
        <v>4.1251055489844903</v>
      </c>
      <c r="G811" s="29">
        <f t="shared" si="490"/>
        <v>-2.2703193889933844</v>
      </c>
      <c r="H811" s="29">
        <f t="shared" si="491"/>
        <v>6.4174552802658633</v>
      </c>
      <c r="I811" s="29">
        <f t="shared" si="492"/>
        <v>6.5286435803563876</v>
      </c>
      <c r="J811" s="29">
        <f t="shared" si="493"/>
        <v>-3.1888398894984191</v>
      </c>
      <c r="K811" s="26">
        <f t="shared" si="456"/>
        <v>-3.4792815019115837</v>
      </c>
      <c r="L811" s="26">
        <f t="shared" si="457"/>
        <v>2.9907518591594778E-2</v>
      </c>
      <c r="M811" s="26">
        <f t="shared" si="458"/>
        <v>-2.2703193889933844</v>
      </c>
      <c r="N811" s="26">
        <f t="shared" si="459"/>
        <v>9.3611109180611718E-2</v>
      </c>
      <c r="O811" s="26">
        <f t="shared" si="460"/>
        <v>-2.3857561593910983</v>
      </c>
      <c r="P811" s="26">
        <f t="shared" si="461"/>
        <v>8.4265329275728509E-2</v>
      </c>
      <c r="Q811" s="26">
        <f t="shared" si="462"/>
        <v>3.5503228589734742E-3</v>
      </c>
      <c r="R811" s="26">
        <f t="shared" si="463"/>
        <v>-9.1873161324108956</v>
      </c>
      <c r="S811" s="26">
        <f t="shared" si="464"/>
        <v>1.0231866415806254E-4</v>
      </c>
      <c r="T811" s="26">
        <f t="shared" si="465"/>
        <v>1.854786159991106</v>
      </c>
      <c r="U811" s="26">
        <f t="shared" si="466"/>
        <v>0.86468807427401118</v>
      </c>
      <c r="V811" s="26">
        <f t="shared" si="467"/>
        <v>2.4570569810729022</v>
      </c>
      <c r="W811" s="26">
        <f t="shared" si="468"/>
        <v>0.92107598497599397</v>
      </c>
      <c r="X811" s="26">
        <f t="shared" si="469"/>
        <v>3.114500073754765E-3</v>
      </c>
      <c r="Y811" s="26">
        <f t="shared" si="470"/>
        <v>2.3026299202877212</v>
      </c>
      <c r="Z811" s="26">
        <f t="shared" si="471"/>
        <v>0.90909461375798506</v>
      </c>
      <c r="AA811" s="26">
        <f t="shared" si="472"/>
        <v>-6.7075915824965069</v>
      </c>
      <c r="AB811" s="26">
        <f t="shared" si="473"/>
        <v>1.2201122214638364E-3</v>
      </c>
      <c r="AC811" s="26">
        <f t="shared" si="474"/>
        <v>2.6531998176459921</v>
      </c>
      <c r="AD811" s="26">
        <f t="shared" si="475"/>
        <v>0.9342079358647758</v>
      </c>
      <c r="AE811" s="26">
        <f t="shared" si="476"/>
        <v>2.1642978515867277E-3</v>
      </c>
      <c r="AF811" s="26">
        <f t="shared" si="477"/>
        <v>-3.4054047102115899</v>
      </c>
      <c r="AG811" s="26">
        <f t="shared" si="478"/>
        <v>3.2126980473175561E-2</v>
      </c>
      <c r="AH811" s="26">
        <f t="shared" si="479"/>
        <v>-2.582486033512017</v>
      </c>
      <c r="AI811" s="26">
        <f t="shared" si="480"/>
        <v>7.0274130585613145E-2</v>
      </c>
      <c r="AJ811" s="26">
        <f t="shared" si="481"/>
        <v>-2.5238716775089505</v>
      </c>
      <c r="AK811" s="26">
        <f t="shared" si="482"/>
        <v>7.4201538831189212E-2</v>
      </c>
      <c r="AL811" s="26">
        <f t="shared" si="483"/>
        <v>2.7529341824582402E-3</v>
      </c>
      <c r="AM811" s="27">
        <f t="shared" si="484"/>
        <v>1.1582054966773206E-2</v>
      </c>
    </row>
    <row r="812" spans="1:39" ht="15" customHeight="1" x14ac:dyDescent="0.2">
      <c r="A812" s="24">
        <v>801</v>
      </c>
      <c r="B812" s="29">
        <f t="shared" si="485"/>
        <v>5.7830388812535682</v>
      </c>
      <c r="C812" s="29">
        <f t="shared" si="486"/>
        <v>-5.7090480332917437</v>
      </c>
      <c r="D812" s="29">
        <f t="shared" si="487"/>
        <v>-3.4793609406122123</v>
      </c>
      <c r="E812" s="29">
        <f t="shared" si="488"/>
        <v>-4.4394143019500252</v>
      </c>
      <c r="F812" s="29">
        <f t="shared" si="489"/>
        <v>4.1273138729047636</v>
      </c>
      <c r="G812" s="29">
        <f t="shared" si="490"/>
        <v>-2.2716807991293217</v>
      </c>
      <c r="H812" s="29">
        <f t="shared" si="491"/>
        <v>6.420773842269667</v>
      </c>
      <c r="I812" s="29">
        <f t="shared" si="492"/>
        <v>6.5326426621762881</v>
      </c>
      <c r="J812" s="29">
        <f t="shared" si="493"/>
        <v>-3.1906583305231728</v>
      </c>
      <c r="K812" s="26">
        <f t="shared" si="456"/>
        <v>-3.4793609406122123</v>
      </c>
      <c r="L812" s="26">
        <f t="shared" si="457"/>
        <v>2.9905213917958518E-2</v>
      </c>
      <c r="M812" s="26">
        <f t="shared" si="458"/>
        <v>-2.2716807991293217</v>
      </c>
      <c r="N812" s="26">
        <f t="shared" si="459"/>
        <v>9.3495660050333551E-2</v>
      </c>
      <c r="O812" s="26">
        <f t="shared" si="460"/>
        <v>-2.3878699776781258</v>
      </c>
      <c r="P812" s="26">
        <f t="shared" si="461"/>
        <v>8.4102360432183873E-2</v>
      </c>
      <c r="Q812" s="26">
        <f t="shared" si="462"/>
        <v>3.5366035151324837E-3</v>
      </c>
      <c r="R812" s="26">
        <f t="shared" si="463"/>
        <v>-9.1884089739039556</v>
      </c>
      <c r="S812" s="26">
        <f t="shared" si="464"/>
        <v>1.0220691857616347E-4</v>
      </c>
      <c r="T812" s="26">
        <f t="shared" si="465"/>
        <v>1.8556330737754418</v>
      </c>
      <c r="U812" s="26">
        <f t="shared" si="466"/>
        <v>0.86478713479424862</v>
      </c>
      <c r="V812" s="26">
        <f t="shared" si="467"/>
        <v>2.4593432474442243</v>
      </c>
      <c r="W812" s="26">
        <f t="shared" si="468"/>
        <v>0.92124202522594645</v>
      </c>
      <c r="X812" s="26">
        <f t="shared" si="469"/>
        <v>3.1014092952552277E-3</v>
      </c>
      <c r="Y812" s="26">
        <f t="shared" si="470"/>
        <v>2.3036779406413559</v>
      </c>
      <c r="Z812" s="26">
        <f t="shared" si="471"/>
        <v>0.9091811867085261</v>
      </c>
      <c r="AA812" s="26">
        <f t="shared" si="472"/>
        <v>-6.7110951010793469</v>
      </c>
      <c r="AB812" s="26">
        <f t="shared" si="473"/>
        <v>1.2158502033897598E-3</v>
      </c>
      <c r="AC812" s="26">
        <f t="shared" si="474"/>
        <v>2.6549311658881058</v>
      </c>
      <c r="AD812" s="26">
        <f t="shared" si="475"/>
        <v>0.93431427056751437</v>
      </c>
      <c r="AE812" s="26">
        <f t="shared" si="476"/>
        <v>2.1573075255388544E-3</v>
      </c>
      <c r="AF812" s="26">
        <f t="shared" si="477"/>
        <v>-3.4053700926503878</v>
      </c>
      <c r="AG812" s="26">
        <f t="shared" si="478"/>
        <v>3.2128056918053871E-2</v>
      </c>
      <c r="AH812" s="26">
        <f t="shared" si="479"/>
        <v>-2.5837812281745833</v>
      </c>
      <c r="AI812" s="26">
        <f t="shared" si="480"/>
        <v>7.0189555249934962E-2</v>
      </c>
      <c r="AJ812" s="26">
        <f t="shared" si="481"/>
        <v>-2.5258480599958766</v>
      </c>
      <c r="AK812" s="26">
        <f t="shared" si="482"/>
        <v>7.4065884114263431E-2</v>
      </c>
      <c r="AL812" s="26">
        <f t="shared" si="483"/>
        <v>2.7428775948137498E-3</v>
      </c>
      <c r="AM812" s="27">
        <f t="shared" si="484"/>
        <v>1.1538197930740316E-2</v>
      </c>
    </row>
    <row r="813" spans="1:39" ht="15" customHeight="1" x14ac:dyDescent="0.2">
      <c r="A813" s="24">
        <v>802</v>
      </c>
      <c r="B813" s="29">
        <f t="shared" si="485"/>
        <v>5.7841619390607244</v>
      </c>
      <c r="C813" s="29">
        <f t="shared" si="486"/>
        <v>-5.7100584431340229</v>
      </c>
      <c r="D813" s="29">
        <f t="shared" si="487"/>
        <v>-3.4794408677988655</v>
      </c>
      <c r="E813" s="29">
        <f t="shared" si="488"/>
        <v>-4.4415478926344338</v>
      </c>
      <c r="F813" s="29">
        <f t="shared" si="489"/>
        <v>4.1295132492770117</v>
      </c>
      <c r="G813" s="29">
        <f t="shared" si="490"/>
        <v>-2.2730362957465688</v>
      </c>
      <c r="H813" s="29">
        <f t="shared" si="491"/>
        <v>6.4240825945984437</v>
      </c>
      <c r="I813" s="29">
        <f t="shared" si="492"/>
        <v>6.5366269939223161</v>
      </c>
      <c r="J813" s="29">
        <f t="shared" si="493"/>
        <v>-3.1924706084531822</v>
      </c>
      <c r="K813" s="26">
        <f t="shared" si="456"/>
        <v>-3.4794408677988655</v>
      </c>
      <c r="L813" s="26">
        <f t="shared" si="457"/>
        <v>2.9902895246092309E-2</v>
      </c>
      <c r="M813" s="26">
        <f t="shared" si="458"/>
        <v>-2.2730362957465688</v>
      </c>
      <c r="N813" s="26">
        <f t="shared" si="459"/>
        <v>9.338083927523419E-2</v>
      </c>
      <c r="O813" s="26">
        <f t="shared" si="460"/>
        <v>-2.3899762248530432</v>
      </c>
      <c r="P813" s="26">
        <f t="shared" si="461"/>
        <v>8.3940260052585494E-2</v>
      </c>
      <c r="Q813" s="26">
        <f t="shared" si="462"/>
        <v>3.5229836288478401E-3</v>
      </c>
      <c r="R813" s="26">
        <f t="shared" si="463"/>
        <v>-9.189499310932888</v>
      </c>
      <c r="S813" s="26">
        <f t="shared" si="464"/>
        <v>1.0209555069105141E-4</v>
      </c>
      <c r="T813" s="26">
        <f t="shared" si="465"/>
        <v>1.8564769535304428</v>
      </c>
      <c r="U813" s="26">
        <f t="shared" si="466"/>
        <v>0.86488577957391122</v>
      </c>
      <c r="V813" s="26">
        <f t="shared" si="467"/>
        <v>2.4616209952193726</v>
      </c>
      <c r="W813" s="26">
        <f t="shared" si="468"/>
        <v>0.92140712908577638</v>
      </c>
      <c r="X813" s="26">
        <f t="shared" si="469"/>
        <v>3.0884196792699088E-3</v>
      </c>
      <c r="Y813" s="26">
        <f t="shared" si="470"/>
        <v>2.3047210712618589</v>
      </c>
      <c r="Z813" s="26">
        <f t="shared" si="471"/>
        <v>0.90926728203710427</v>
      </c>
      <c r="AA813" s="26">
        <f t="shared" si="472"/>
        <v>-6.7145841883810027</v>
      </c>
      <c r="AB813" s="26">
        <f t="shared" si="473"/>
        <v>1.2116205189900398E-3</v>
      </c>
      <c r="AC813" s="26">
        <f t="shared" si="474"/>
        <v>2.6566574233100342</v>
      </c>
      <c r="AD813" s="26">
        <f t="shared" si="475"/>
        <v>0.93442013351342035</v>
      </c>
      <c r="AE813" s="26">
        <f t="shared" si="476"/>
        <v>2.1503594441988063E-3</v>
      </c>
      <c r="AF813" s="26">
        <f t="shared" si="477"/>
        <v>-3.405337371872164</v>
      </c>
      <c r="AG813" s="26">
        <f t="shared" si="478"/>
        <v>3.2129074413874657E-2</v>
      </c>
      <c r="AH813" s="26">
        <f t="shared" si="479"/>
        <v>-2.585070939103991</v>
      </c>
      <c r="AI813" s="26">
        <f t="shared" si="480"/>
        <v>7.0105431513375505E-2</v>
      </c>
      <c r="AJ813" s="26">
        <f t="shared" si="481"/>
        <v>-2.527817724679549</v>
      </c>
      <c r="AK813" s="26">
        <f t="shared" si="482"/>
        <v>7.3930917529816495E-2</v>
      </c>
      <c r="AL813" s="26">
        <f t="shared" si="483"/>
        <v>2.7328902834002642E-3</v>
      </c>
      <c r="AM813" s="27">
        <f t="shared" si="484"/>
        <v>1.1494653035716819E-2</v>
      </c>
    </row>
    <row r="814" spans="1:39" ht="15" customHeight="1" x14ac:dyDescent="0.2">
      <c r="A814" s="24">
        <v>803</v>
      </c>
      <c r="B814" s="29">
        <f t="shared" si="485"/>
        <v>5.7852806273613133</v>
      </c>
      <c r="C814" s="29">
        <f t="shared" si="486"/>
        <v>-5.7110658764582158</v>
      </c>
      <c r="D814" s="29">
        <f t="shared" si="487"/>
        <v>-3.4795212763220693</v>
      </c>
      <c r="E814" s="29">
        <f t="shared" si="488"/>
        <v>-4.4436730267047073</v>
      </c>
      <c r="F814" s="29">
        <f t="shared" si="489"/>
        <v>4.1317037441446987</v>
      </c>
      <c r="G814" s="29">
        <f t="shared" si="490"/>
        <v>-2.2743859241610282</v>
      </c>
      <c r="H814" s="29">
        <f t="shared" si="491"/>
        <v>6.4273815919048003</v>
      </c>
      <c r="I814" s="29">
        <f t="shared" si="492"/>
        <v>6.540596678836101</v>
      </c>
      <c r="J814" s="29">
        <f t="shared" si="493"/>
        <v>-3.1942767636433489</v>
      </c>
      <c r="K814" s="26">
        <f t="shared" si="456"/>
        <v>-3.4795212763220693</v>
      </c>
      <c r="L814" s="26">
        <f t="shared" si="457"/>
        <v>2.990056278655993E-2</v>
      </c>
      <c r="M814" s="26">
        <f t="shared" si="458"/>
        <v>-2.2743859241610282</v>
      </c>
      <c r="N814" s="26">
        <f t="shared" si="459"/>
        <v>9.3266641262971947E-2</v>
      </c>
      <c r="O814" s="26">
        <f t="shared" si="460"/>
        <v>-2.3920749527106278</v>
      </c>
      <c r="P814" s="26">
        <f t="shared" si="461"/>
        <v>8.3779020710966282E-2</v>
      </c>
      <c r="Q814" s="26">
        <f t="shared" si="462"/>
        <v>3.5094621556442584E-3</v>
      </c>
      <c r="R814" s="26">
        <f t="shared" si="463"/>
        <v>-9.1905871527802852</v>
      </c>
      <c r="S814" s="26">
        <f t="shared" si="464"/>
        <v>1.0198455858724381E-4</v>
      </c>
      <c r="T814" s="26">
        <f t="shared" si="465"/>
        <v>1.8573178199836704</v>
      </c>
      <c r="U814" s="26">
        <f t="shared" si="466"/>
        <v>0.86498401170983508</v>
      </c>
      <c r="V814" s="26">
        <f t="shared" si="467"/>
        <v>2.4638902842668475</v>
      </c>
      <c r="W814" s="26">
        <f t="shared" si="468"/>
        <v>0.92157130492213013</v>
      </c>
      <c r="X814" s="26">
        <f t="shared" si="469"/>
        <v>3.0755301058087449E-3</v>
      </c>
      <c r="Y814" s="26">
        <f t="shared" si="470"/>
        <v>2.305759351039244</v>
      </c>
      <c r="Z814" s="26">
        <f t="shared" si="471"/>
        <v>0.90935290403038149</v>
      </c>
      <c r="AA814" s="26">
        <f t="shared" si="472"/>
        <v>-6.7180589508657356</v>
      </c>
      <c r="AB814" s="26">
        <f t="shared" si="473"/>
        <v>1.2074228060791198E-3</v>
      </c>
      <c r="AC814" s="26">
        <f t="shared" si="474"/>
        <v>2.6583786178620894</v>
      </c>
      <c r="AD814" s="26">
        <f t="shared" si="475"/>
        <v>0.93452552801665834</v>
      </c>
      <c r="AE814" s="26">
        <f t="shared" si="476"/>
        <v>2.1434532407486962E-3</v>
      </c>
      <c r="AF814" s="26">
        <f t="shared" si="477"/>
        <v>-3.4053065254189718</v>
      </c>
      <c r="AG814" s="26">
        <f t="shared" si="478"/>
        <v>3.2130033653611299E-2</v>
      </c>
      <c r="AH814" s="26">
        <f t="shared" si="479"/>
        <v>-2.5863552067210369</v>
      </c>
      <c r="AI814" s="26">
        <f t="shared" si="480"/>
        <v>7.0021755468839722E-2</v>
      </c>
      <c r="AJ814" s="26">
        <f t="shared" si="481"/>
        <v>-2.5297807155250793</v>
      </c>
      <c r="AK814" s="26">
        <f t="shared" si="482"/>
        <v>7.379663344697944E-2</v>
      </c>
      <c r="AL814" s="26">
        <f t="shared" si="483"/>
        <v>2.7229715540539223E-3</v>
      </c>
      <c r="AM814" s="27">
        <f t="shared" si="484"/>
        <v>1.145141705625562E-2</v>
      </c>
    </row>
    <row r="815" spans="1:39" ht="15" customHeight="1" x14ac:dyDescent="0.2">
      <c r="A815" s="24">
        <v>804</v>
      </c>
      <c r="B815" s="29">
        <f t="shared" si="485"/>
        <v>5.7863949775706054</v>
      </c>
      <c r="C815" s="29">
        <f t="shared" si="486"/>
        <v>-5.7120703495668241</v>
      </c>
      <c r="D815" s="29">
        <f t="shared" si="487"/>
        <v>-3.479602159129672</v>
      </c>
      <c r="E815" s="29">
        <f t="shared" si="488"/>
        <v>-4.4457897646838962</v>
      </c>
      <c r="F815" s="29">
        <f t="shared" si="489"/>
        <v>4.133885422853246</v>
      </c>
      <c r="G815" s="29">
        <f t="shared" si="490"/>
        <v>-2.2757297291989746</v>
      </c>
      <c r="H815" s="29">
        <f t="shared" si="491"/>
        <v>6.4306708884067012</v>
      </c>
      <c r="I815" s="29">
        <f t="shared" si="492"/>
        <v>6.54455181911199</v>
      </c>
      <c r="J815" s="29">
        <f t="shared" si="493"/>
        <v>-3.1960768360611245</v>
      </c>
      <c r="K815" s="26">
        <f t="shared" si="456"/>
        <v>-3.479602159129672</v>
      </c>
      <c r="L815" s="26">
        <f t="shared" si="457"/>
        <v>2.9898216747058441E-2</v>
      </c>
      <c r="M815" s="26">
        <f t="shared" si="458"/>
        <v>-2.2757297291989746</v>
      </c>
      <c r="N815" s="26">
        <f t="shared" si="459"/>
        <v>9.315306048923902E-2</v>
      </c>
      <c r="O815" s="26">
        <f t="shared" si="460"/>
        <v>-2.3941662125298437</v>
      </c>
      <c r="P815" s="26">
        <f t="shared" si="461"/>
        <v>8.3618635067965977E-2</v>
      </c>
      <c r="Q815" s="26">
        <f t="shared" si="462"/>
        <v>3.4960380653148346E-3</v>
      </c>
      <c r="R815" s="26">
        <f t="shared" si="463"/>
        <v>-9.1916725086964952</v>
      </c>
      <c r="S815" s="26">
        <f t="shared" si="464"/>
        <v>1.0187394036053147E-4</v>
      </c>
      <c r="T815" s="26">
        <f t="shared" si="465"/>
        <v>1.8581556936542714</v>
      </c>
      <c r="U815" s="26">
        <f t="shared" si="466"/>
        <v>0.8650818342658203</v>
      </c>
      <c r="V815" s="26">
        <f t="shared" si="467"/>
        <v>2.46615117384655</v>
      </c>
      <c r="W815" s="26">
        <f t="shared" si="468"/>
        <v>0.92173456100046214</v>
      </c>
      <c r="X815" s="26">
        <f t="shared" si="469"/>
        <v>3.062739470895191E-3</v>
      </c>
      <c r="Y815" s="26">
        <f t="shared" si="470"/>
        <v>2.3067928184409334</v>
      </c>
      <c r="Z815" s="26">
        <f t="shared" si="471"/>
        <v>0.90943805692320112</v>
      </c>
      <c r="AA815" s="26">
        <f t="shared" si="472"/>
        <v>-6.7215194938828713</v>
      </c>
      <c r="AB815" s="26">
        <f t="shared" si="473"/>
        <v>1.2032567077714582E-3</v>
      </c>
      <c r="AC815" s="26">
        <f t="shared" si="474"/>
        <v>2.6600947772797654</v>
      </c>
      <c r="AD815" s="26">
        <f t="shared" si="475"/>
        <v>0.93463045736029238</v>
      </c>
      <c r="AE815" s="26">
        <f t="shared" si="476"/>
        <v>2.1365885524622765E-3</v>
      </c>
      <c r="AF815" s="26">
        <f t="shared" si="477"/>
        <v>-3.4052775311258907</v>
      </c>
      <c r="AG815" s="26">
        <f t="shared" si="478"/>
        <v>3.2130935321513981E-2</v>
      </c>
      <c r="AH815" s="26">
        <f t="shared" si="479"/>
        <v>-2.5876340710296248</v>
      </c>
      <c r="AI815" s="26">
        <f t="shared" si="480"/>
        <v>6.9938523255176563E-2</v>
      </c>
      <c r="AJ815" s="26">
        <f t="shared" si="481"/>
        <v>-2.531737076076114</v>
      </c>
      <c r="AK815" s="26">
        <f t="shared" si="482"/>
        <v>7.3663026298014481E-2</v>
      </c>
      <c r="AL815" s="26">
        <f t="shared" si="483"/>
        <v>2.7131207216909863E-3</v>
      </c>
      <c r="AM815" s="27">
        <f t="shared" si="484"/>
        <v>1.1408486810363288E-2</v>
      </c>
    </row>
    <row r="816" spans="1:39" ht="15" customHeight="1" x14ac:dyDescent="0.2">
      <c r="A816" s="24">
        <v>805</v>
      </c>
      <c r="B816" s="29">
        <f t="shared" si="485"/>
        <v>5.7875050207828469</v>
      </c>
      <c r="C816" s="29">
        <f t="shared" si="486"/>
        <v>-5.7130718786341017</v>
      </c>
      <c r="D816" s="29">
        <f t="shared" si="487"/>
        <v>-3.4796835092653748</v>
      </c>
      <c r="E816" s="29">
        <f t="shared" si="488"/>
        <v>-4.4478981664779713</v>
      </c>
      <c r="F816" s="29">
        <f t="shared" si="489"/>
        <v>4.1360583500595567</v>
      </c>
      <c r="G816" s="29">
        <f t="shared" si="490"/>
        <v>-2.2770677552038294</v>
      </c>
      <c r="H816" s="29">
        <f t="shared" si="491"/>
        <v>6.433950537891838</v>
      </c>
      <c r="I816" s="29">
        <f t="shared" si="492"/>
        <v>6.5484925159108283</v>
      </c>
      <c r="J816" s="29">
        <f t="shared" si="493"/>
        <v>-3.1978708652913723</v>
      </c>
      <c r="K816" s="26">
        <f t="shared" si="456"/>
        <v>-3.4796835092653748</v>
      </c>
      <c r="L816" s="26">
        <f t="shared" si="457"/>
        <v>2.9895857332460835E-2</v>
      </c>
      <c r="M816" s="26">
        <f t="shared" si="458"/>
        <v>-2.2770677552038294</v>
      </c>
      <c r="N816" s="26">
        <f t="shared" si="459"/>
        <v>9.3040091496719685E-2</v>
      </c>
      <c r="O816" s="26">
        <f t="shared" si="460"/>
        <v>-2.3962500550805208</v>
      </c>
      <c r="P816" s="26">
        <f t="shared" si="461"/>
        <v>8.345909586955999E-2</v>
      </c>
      <c r="Q816" s="26">
        <f t="shared" si="462"/>
        <v>3.4827103416822029E-3</v>
      </c>
      <c r="R816" s="26">
        <f t="shared" si="463"/>
        <v>-9.1927553878994761</v>
      </c>
      <c r="S816" s="26">
        <f t="shared" si="464"/>
        <v>1.0176369411792703E-4</v>
      </c>
      <c r="T816" s="26">
        <f t="shared" si="465"/>
        <v>1.8589905948557273</v>
      </c>
      <c r="U816" s="26">
        <f t="shared" si="466"/>
        <v>0.8651792502730894</v>
      </c>
      <c r="V816" s="26">
        <f t="shared" si="467"/>
        <v>2.4684037226178028</v>
      </c>
      <c r="W816" s="26">
        <f t="shared" si="468"/>
        <v>0.92189690548656777</v>
      </c>
      <c r="X816" s="26">
        <f t="shared" si="469"/>
        <v>3.0500466862870635E-3</v>
      </c>
      <c r="Y816" s="26">
        <f t="shared" si="470"/>
        <v>2.3078215115174721</v>
      </c>
      <c r="Z816" s="26">
        <f t="shared" si="471"/>
        <v>0.90952274489936402</v>
      </c>
      <c r="AA816" s="26">
        <f t="shared" si="472"/>
        <v>-6.7249659216818003</v>
      </c>
      <c r="AB816" s="26">
        <f t="shared" si="473"/>
        <v>1.1991218723864049E-3</v>
      </c>
      <c r="AC816" s="26">
        <f t="shared" si="474"/>
        <v>2.6618059290857388</v>
      </c>
      <c r="AD816" s="26">
        <f t="shared" si="475"/>
        <v>0.93473492479664</v>
      </c>
      <c r="AE816" s="26">
        <f t="shared" si="476"/>
        <v>2.1297650206501184E-3</v>
      </c>
      <c r="AF816" s="26">
        <f t="shared" si="477"/>
        <v>-3.4052503671166297</v>
      </c>
      <c r="AG816" s="26">
        <f t="shared" si="478"/>
        <v>3.2131780093233142E-2</v>
      </c>
      <c r="AH816" s="26">
        <f t="shared" si="479"/>
        <v>-2.5889075716222441</v>
      </c>
      <c r="AI816" s="26">
        <f t="shared" si="480"/>
        <v>6.9855731056501433E-2</v>
      </c>
      <c r="AJ816" s="26">
        <f t="shared" si="481"/>
        <v>-2.5336868494601132</v>
      </c>
      <c r="AK816" s="26">
        <f t="shared" si="482"/>
        <v>7.3530090577420881E-2</v>
      </c>
      <c r="AL816" s="26">
        <f t="shared" si="483"/>
        <v>2.7033371101618593E-3</v>
      </c>
      <c r="AM816" s="27">
        <f t="shared" si="484"/>
        <v>1.1365859158781244E-2</v>
      </c>
    </row>
    <row r="817" spans="1:39" ht="15" customHeight="1" x14ac:dyDescent="0.2">
      <c r="A817" s="24">
        <v>806</v>
      </c>
      <c r="B817" s="29">
        <f t="shared" si="485"/>
        <v>5.7886107877754487</v>
      </c>
      <c r="C817" s="29">
        <f t="shared" si="486"/>
        <v>-5.7140704797073498</v>
      </c>
      <c r="D817" s="29">
        <f t="shared" si="487"/>
        <v>-3.4797653198672909</v>
      </c>
      <c r="E817" s="29">
        <f t="shared" si="488"/>
        <v>-4.4499982913839213</v>
      </c>
      <c r="F817" s="29">
        <f t="shared" si="489"/>
        <v>4.1382225897413836</v>
      </c>
      <c r="G817" s="29">
        <f t="shared" si="490"/>
        <v>-2.2784000460428184</v>
      </c>
      <c r="H817" s="29">
        <f t="shared" si="491"/>
        <v>6.4372205937219391</v>
      </c>
      <c r="I817" s="29">
        <f t="shared" si="492"/>
        <v>6.5524188693735219</v>
      </c>
      <c r="J817" s="29">
        <f t="shared" si="493"/>
        <v>-3.1996588905411536</v>
      </c>
      <c r="K817" s="26">
        <f t="shared" si="456"/>
        <v>-3.4797653198672909</v>
      </c>
      <c r="L817" s="26">
        <f t="shared" si="457"/>
        <v>2.9893484744858093E-2</v>
      </c>
      <c r="M817" s="26">
        <f t="shared" si="458"/>
        <v>-2.2784000460428184</v>
      </c>
      <c r="N817" s="26">
        <f t="shared" si="459"/>
        <v>9.2927728894067765E-2</v>
      </c>
      <c r="O817" s="26">
        <f t="shared" si="460"/>
        <v>-2.398326530629924</v>
      </c>
      <c r="P817" s="26">
        <f t="shared" si="461"/>
        <v>8.3300395945811123E-2</v>
      </c>
      <c r="Q817" s="26">
        <f t="shared" si="462"/>
        <v>3.4694779823644531E-3</v>
      </c>
      <c r="R817" s="26">
        <f t="shared" si="463"/>
        <v>-9.1938357995746411</v>
      </c>
      <c r="S817" s="26">
        <f t="shared" si="464"/>
        <v>1.0165381797761474E-4</v>
      </c>
      <c r="T817" s="26">
        <f t="shared" si="465"/>
        <v>1.8598225436985651</v>
      </c>
      <c r="U817" s="26">
        <f t="shared" si="466"/>
        <v>0.86527626273073444</v>
      </c>
      <c r="V817" s="26">
        <f t="shared" si="467"/>
        <v>2.4706479886472281</v>
      </c>
      <c r="W817" s="26">
        <f t="shared" si="468"/>
        <v>0.92205834644808804</v>
      </c>
      <c r="X817" s="26">
        <f t="shared" si="469"/>
        <v>3.0374506792031353E-3</v>
      </c>
      <c r="Y817" s="26">
        <f t="shared" si="470"/>
        <v>2.3088454679081578</v>
      </c>
      <c r="Z817" s="26">
        <f t="shared" si="471"/>
        <v>0.90960697209239139</v>
      </c>
      <c r="AA817" s="26">
        <f t="shared" si="472"/>
        <v>-6.7283983374267393</v>
      </c>
      <c r="AB817" s="26">
        <f t="shared" si="473"/>
        <v>1.1950179533550835E-3</v>
      </c>
      <c r="AC817" s="26">
        <f t="shared" si="474"/>
        <v>2.663512100591849</v>
      </c>
      <c r="AD817" s="26">
        <f t="shared" si="475"/>
        <v>0.93483893354762504</v>
      </c>
      <c r="AE817" s="26">
        <f t="shared" si="476"/>
        <v>2.1229822906054128E-3</v>
      </c>
      <c r="AF817" s="26">
        <f t="shared" si="477"/>
        <v>-3.405225011799192</v>
      </c>
      <c r="AG817" s="26">
        <f t="shared" si="478"/>
        <v>3.2132568635941397E-2</v>
      </c>
      <c r="AH817" s="26">
        <f t="shared" si="479"/>
        <v>-2.5901757476853562</v>
      </c>
      <c r="AI817" s="26">
        <f t="shared" si="480"/>
        <v>6.9773375101531032E-2</v>
      </c>
      <c r="AJ817" s="26">
        <f t="shared" si="481"/>
        <v>-2.535630078393539</v>
      </c>
      <c r="AK817" s="26">
        <f t="shared" si="482"/>
        <v>7.3397820841056685E-2</v>
      </c>
      <c r="AL817" s="26">
        <f t="shared" si="483"/>
        <v>2.6936200521079277E-3</v>
      </c>
      <c r="AM817" s="27">
        <f t="shared" si="484"/>
        <v>1.1323531004280929E-2</v>
      </c>
    </row>
    <row r="818" spans="1:39" ht="15" customHeight="1" x14ac:dyDescent="0.2">
      <c r="A818" s="24">
        <v>807</v>
      </c>
      <c r="B818" s="29">
        <f t="shared" si="485"/>
        <v>5.7897123090130993</v>
      </c>
      <c r="C818" s="29">
        <f t="shared" si="486"/>
        <v>-5.7150661687082058</v>
      </c>
      <c r="D818" s="29">
        <f t="shared" si="487"/>
        <v>-3.4798475841665271</v>
      </c>
      <c r="E818" s="29">
        <f t="shared" si="488"/>
        <v>-4.4520901980977214</v>
      </c>
      <c r="F818" s="29">
        <f t="shared" si="489"/>
        <v>4.140378205206539</v>
      </c>
      <c r="G818" s="29">
        <f t="shared" si="490"/>
        <v>-2.2797266451135214</v>
      </c>
      <c r="H818" s="29">
        <f t="shared" si="491"/>
        <v>6.4404811088370364</v>
      </c>
      <c r="I818" s="29">
        <f t="shared" si="492"/>
        <v>6.5563309786343797</v>
      </c>
      <c r="J818" s="29">
        <f t="shared" si="493"/>
        <v>-3.2014409506444417</v>
      </c>
      <c r="K818" s="26">
        <f t="shared" si="456"/>
        <v>-3.4798475841665271</v>
      </c>
      <c r="L818" s="26">
        <f t="shared" si="457"/>
        <v>2.9891099183600417E-2</v>
      </c>
      <c r="M818" s="26">
        <f t="shared" si="458"/>
        <v>-2.2797266451135214</v>
      </c>
      <c r="N818" s="26">
        <f t="shared" si="459"/>
        <v>9.2815967354902815E-2</v>
      </c>
      <c r="O818" s="26">
        <f t="shared" si="460"/>
        <v>-2.4003956889492226</v>
      </c>
      <c r="P818" s="26">
        <f t="shared" si="461"/>
        <v>8.3142528209642713E-2</v>
      </c>
      <c r="Q818" s="26">
        <f t="shared" si="462"/>
        <v>3.456339998545617E-3</v>
      </c>
      <c r="R818" s="26">
        <f t="shared" si="463"/>
        <v>-9.1949137528747329</v>
      </c>
      <c r="S818" s="26">
        <f t="shared" si="464"/>
        <v>1.0154431006889789E-4</v>
      </c>
      <c r="T818" s="26">
        <f t="shared" si="465"/>
        <v>1.8606515600930176</v>
      </c>
      <c r="U818" s="26">
        <f t="shared" si="466"/>
        <v>0.86537287460615997</v>
      </c>
      <c r="V818" s="26">
        <f t="shared" si="467"/>
        <v>2.4728840294165173</v>
      </c>
      <c r="W818" s="26">
        <f t="shared" si="468"/>
        <v>0.9222188918559866</v>
      </c>
      <c r="X818" s="26">
        <f t="shared" si="469"/>
        <v>3.0249503920553537E-3</v>
      </c>
      <c r="Y818" s="26">
        <f t="shared" si="470"/>
        <v>2.3098647248465722</v>
      </c>
      <c r="Z818" s="26">
        <f t="shared" si="471"/>
        <v>0.90969074258627414</v>
      </c>
      <c r="AA818" s="26">
        <f t="shared" si="472"/>
        <v>-6.7318168432112433</v>
      </c>
      <c r="AB818" s="26">
        <f t="shared" si="473"/>
        <v>1.1909446091292514E-3</v>
      </c>
      <c r="AC818" s="26">
        <f t="shared" si="474"/>
        <v>2.6652133189010638</v>
      </c>
      <c r="AD818" s="26">
        <f t="shared" si="475"/>
        <v>0.93494248680512215</v>
      </c>
      <c r="AE818" s="26">
        <f t="shared" si="476"/>
        <v>2.1162400115508524E-3</v>
      </c>
      <c r="AF818" s="26">
        <f t="shared" si="477"/>
        <v>-3.4052014438616336</v>
      </c>
      <c r="AG818" s="26">
        <f t="shared" si="478"/>
        <v>3.2133301608452923E-2</v>
      </c>
      <c r="AH818" s="26">
        <f t="shared" si="479"/>
        <v>-2.5914386380047039</v>
      </c>
      <c r="AI818" s="26">
        <f t="shared" si="480"/>
        <v>6.969145166292931E-2</v>
      </c>
      <c r="AJ818" s="26">
        <f t="shared" si="481"/>
        <v>-2.537566805186974</v>
      </c>
      <c r="AK818" s="26">
        <f t="shared" si="482"/>
        <v>7.326621170527467E-2</v>
      </c>
      <c r="AL818" s="26">
        <f t="shared" si="483"/>
        <v>2.6839688888210633E-3</v>
      </c>
      <c r="AM818" s="27">
        <f t="shared" si="484"/>
        <v>1.1281499290972887E-2</v>
      </c>
    </row>
    <row r="819" spans="1:39" ht="15" customHeight="1" x14ac:dyDescent="0.2">
      <c r="A819" s="24">
        <v>808</v>
      </c>
      <c r="B819" s="29">
        <f t="shared" si="485"/>
        <v>5.7908096146518195</v>
      </c>
      <c r="C819" s="29">
        <f t="shared" si="486"/>
        <v>-5.7160589614339061</v>
      </c>
      <c r="D819" s="29">
        <f t="shared" si="487"/>
        <v>-3.4799302954857878</v>
      </c>
      <c r="E819" s="29">
        <f t="shared" si="488"/>
        <v>-4.454173944722176</v>
      </c>
      <c r="F819" s="29">
        <f t="shared" si="489"/>
        <v>4.142525259101955</v>
      </c>
      <c r="G819" s="29">
        <f t="shared" si="490"/>
        <v>-2.2810475953503104</v>
      </c>
      <c r="H819" s="29">
        <f t="shared" si="491"/>
        <v>6.4437321357596771</v>
      </c>
      <c r="I819" s="29">
        <f t="shared" si="492"/>
        <v>6.5602289418342457</v>
      </c>
      <c r="J819" s="29">
        <f t="shared" si="493"/>
        <v>-3.2032170840667624</v>
      </c>
      <c r="K819" s="26">
        <f t="shared" si="456"/>
        <v>-3.4799302954857878</v>
      </c>
      <c r="L819" s="26">
        <f t="shared" si="457"/>
        <v>2.9888700845337953E-2</v>
      </c>
      <c r="M819" s="26">
        <f t="shared" si="458"/>
        <v>-2.2810475953503104</v>
      </c>
      <c r="N819" s="26">
        <f t="shared" si="459"/>
        <v>9.2704801616824567E-2</v>
      </c>
      <c r="O819" s="26">
        <f t="shared" si="460"/>
        <v>-2.4024575793198562</v>
      </c>
      <c r="P819" s="26">
        <f t="shared" si="461"/>
        <v>8.2985485655633531E-2</v>
      </c>
      <c r="Q819" s="26">
        <f t="shared" si="462"/>
        <v>3.4432954147506794E-3</v>
      </c>
      <c r="R819" s="26">
        <f t="shared" si="463"/>
        <v>-9.1959892569196935</v>
      </c>
      <c r="S819" s="26">
        <f t="shared" si="464"/>
        <v>1.0143516853214684E-4</v>
      </c>
      <c r="T819" s="26">
        <f t="shared" si="465"/>
        <v>1.8614776637516446</v>
      </c>
      <c r="U819" s="26">
        <f t="shared" si="466"/>
        <v>0.86546908883551532</v>
      </c>
      <c r="V819" s="26">
        <f t="shared" si="467"/>
        <v>2.4751119018300662</v>
      </c>
      <c r="W819" s="26">
        <f t="shared" si="468"/>
        <v>0.92237854958600185</v>
      </c>
      <c r="X819" s="26">
        <f t="shared" si="469"/>
        <v>3.0125447821863867E-3</v>
      </c>
      <c r="Y819" s="26">
        <f t="shared" si="470"/>
        <v>2.3108793191660317</v>
      </c>
      <c r="Z819" s="26">
        <f t="shared" si="471"/>
        <v>0.90977406041620912</v>
      </c>
      <c r="AA819" s="26">
        <f t="shared" si="472"/>
        <v>-6.7352215400724864</v>
      </c>
      <c r="AB819" s="26">
        <f t="shared" si="473"/>
        <v>1.1869015030920697E-3</v>
      </c>
      <c r="AC819" s="26">
        <f t="shared" si="474"/>
        <v>2.6669096109094217</v>
      </c>
      <c r="AD819" s="26">
        <f t="shared" si="475"/>
        <v>0.93504558773130053</v>
      </c>
      <c r="AE819" s="26">
        <f t="shared" si="476"/>
        <v>2.109537836586088E-3</v>
      </c>
      <c r="AF819" s="26">
        <f t="shared" si="477"/>
        <v>-3.4051796422678744</v>
      </c>
      <c r="AG819" s="26">
        <f t="shared" si="478"/>
        <v>3.21339796613416E-2</v>
      </c>
      <c r="AH819" s="26">
        <f t="shared" si="479"/>
        <v>-2.5926962809705314</v>
      </c>
      <c r="AI819" s="26">
        <f t="shared" si="480"/>
        <v>6.960995705666527E-2</v>
      </c>
      <c r="AJ819" s="26">
        <f t="shared" si="481"/>
        <v>-2.5394970717501533</v>
      </c>
      <c r="AK819" s="26">
        <f t="shared" si="482"/>
        <v>7.3135257846073484E-2</v>
      </c>
      <c r="AL819" s="26">
        <f t="shared" si="483"/>
        <v>2.6743829701058267E-3</v>
      </c>
      <c r="AM819" s="27">
        <f t="shared" si="484"/>
        <v>1.1239761003628982E-2</v>
      </c>
    </row>
    <row r="820" spans="1:39" ht="15" customHeight="1" x14ac:dyDescent="0.2">
      <c r="A820" s="24">
        <v>809</v>
      </c>
      <c r="B820" s="29">
        <f t="shared" si="485"/>
        <v>5.7919027345429539</v>
      </c>
      <c r="C820" s="29">
        <f t="shared" si="486"/>
        <v>-5.7170488735585421</v>
      </c>
      <c r="D820" s="29">
        <f t="shared" si="487"/>
        <v>-3.4800134472380053</v>
      </c>
      <c r="E820" s="29">
        <f t="shared" si="488"/>
        <v>-4.4562495887746341</v>
      </c>
      <c r="F820" s="29">
        <f t="shared" si="489"/>
        <v>4.1446638134225946</v>
      </c>
      <c r="G820" s="29">
        <f t="shared" si="490"/>
        <v>-2.2823629392306817</v>
      </c>
      <c r="H820" s="29">
        <f t="shared" si="491"/>
        <v>6.4469737265990892</v>
      </c>
      <c r="I820" s="29">
        <f t="shared" si="492"/>
        <v>6.5641128561334181</v>
      </c>
      <c r="J820" s="29">
        <f t="shared" si="493"/>
        <v>-3.2049873289097661</v>
      </c>
      <c r="K820" s="26">
        <f t="shared" si="456"/>
        <v>-3.4800134472380053</v>
      </c>
      <c r="L820" s="26">
        <f t="shared" si="457"/>
        <v>2.988628992406071E-2</v>
      </c>
      <c r="M820" s="26">
        <f t="shared" si="458"/>
        <v>-2.2823629392306817</v>
      </c>
      <c r="N820" s="26">
        <f t="shared" si="459"/>
        <v>9.2594226480445296E-2</v>
      </c>
      <c r="O820" s="26">
        <f t="shared" si="460"/>
        <v>-2.4045122505398031</v>
      </c>
      <c r="P820" s="26">
        <f t="shared" si="461"/>
        <v>8.2829261358833353E-2</v>
      </c>
      <c r="Q820" s="26">
        <f t="shared" si="462"/>
        <v>3.4303432686249619E-3</v>
      </c>
      <c r="R820" s="26">
        <f t="shared" si="463"/>
        <v>-9.1970623207965474</v>
      </c>
      <c r="S820" s="26">
        <f t="shared" si="464"/>
        <v>1.013263915187465E-4</v>
      </c>
      <c r="T820" s="26">
        <f t="shared" si="465"/>
        <v>1.8623008741919129</v>
      </c>
      <c r="U820" s="26">
        <f t="shared" si="466"/>
        <v>0.86556490832412325</v>
      </c>
      <c r="V820" s="26">
        <f t="shared" si="467"/>
        <v>2.4773316622224879</v>
      </c>
      <c r="W820" s="26">
        <f t="shared" si="468"/>
        <v>0.92253732742007066</v>
      </c>
      <c r="X820" s="26">
        <f t="shared" si="469"/>
        <v>3.0002328216126683E-3</v>
      </c>
      <c r="Y820" s="26">
        <f t="shared" si="470"/>
        <v>2.3118892873049486</v>
      </c>
      <c r="Z820" s="26">
        <f t="shared" si="471"/>
        <v>0.90985692956932129</v>
      </c>
      <c r="AA820" s="26">
        <f t="shared" si="472"/>
        <v>-6.7386125280053157</v>
      </c>
      <c r="AB820" s="26">
        <f t="shared" si="473"/>
        <v>1.1828883034707414E-3</v>
      </c>
      <c r="AC820" s="26">
        <f t="shared" si="474"/>
        <v>2.6686010033079484</v>
      </c>
      <c r="AD820" s="26">
        <f t="shared" si="475"/>
        <v>0.93514823945895964</v>
      </c>
      <c r="AE820" s="26">
        <f t="shared" si="476"/>
        <v>2.1028754226362196E-3</v>
      </c>
      <c r="AF820" s="26">
        <f t="shared" si="477"/>
        <v>-3.4051595862535935</v>
      </c>
      <c r="AG820" s="26">
        <f t="shared" si="478"/>
        <v>3.2134603437056868E-2</v>
      </c>
      <c r="AH820" s="26">
        <f t="shared" si="479"/>
        <v>-2.5939487145827211</v>
      </c>
      <c r="AI820" s="26">
        <f t="shared" si="480"/>
        <v>6.9528887641382084E-2</v>
      </c>
      <c r="AJ820" s="26">
        <f t="shared" si="481"/>
        <v>-2.5414209195969275</v>
      </c>
      <c r="AK820" s="26">
        <f t="shared" si="482"/>
        <v>7.3004953998262664E-2</v>
      </c>
      <c r="AL820" s="26">
        <f t="shared" si="483"/>
        <v>2.6648616541442237E-3</v>
      </c>
      <c r="AM820" s="27">
        <f t="shared" si="484"/>
        <v>1.1198313167018074E-2</v>
      </c>
    </row>
    <row r="821" spans="1:39" ht="15" customHeight="1" x14ac:dyDescent="0.2">
      <c r="A821" s="24">
        <v>810</v>
      </c>
      <c r="B821" s="29">
        <f t="shared" si="485"/>
        <v>5.7929916982370981</v>
      </c>
      <c r="C821" s="29">
        <f t="shared" si="486"/>
        <v>-5.7180359206342937</v>
      </c>
      <c r="D821" s="29">
        <f t="shared" si="487"/>
        <v>-3.4800970329249905</v>
      </c>
      <c r="E821" s="29">
        <f t="shared" si="488"/>
        <v>-4.4583171871945861</v>
      </c>
      <c r="F821" s="29">
        <f t="shared" si="489"/>
        <v>4.1467939295202134</v>
      </c>
      <c r="G821" s="29">
        <f t="shared" si="490"/>
        <v>-2.2836727187814825</v>
      </c>
      <c r="H821" s="29">
        <f t="shared" si="491"/>
        <v>6.4502059330552983</v>
      </c>
      <c r="I821" s="29">
        <f t="shared" si="492"/>
        <v>6.5679828177243671</v>
      </c>
      <c r="J821" s="29">
        <f t="shared" si="493"/>
        <v>-3.2067517229157279</v>
      </c>
      <c r="K821" s="26">
        <f t="shared" si="456"/>
        <v>-3.4800970329249905</v>
      </c>
      <c r="L821" s="26">
        <f t="shared" si="457"/>
        <v>2.9883866611137878E-2</v>
      </c>
      <c r="M821" s="26">
        <f t="shared" si="458"/>
        <v>-2.2836727187814825</v>
      </c>
      <c r="N821" s="26">
        <f t="shared" si="459"/>
        <v>9.2484236808439868E-2</v>
      </c>
      <c r="O821" s="26">
        <f t="shared" si="460"/>
        <v>-2.4065597509297487</v>
      </c>
      <c r="P821" s="26">
        <f t="shared" si="461"/>
        <v>8.2673848473599459E-2</v>
      </c>
      <c r="Q821" s="26">
        <f t="shared" si="462"/>
        <v>3.4174826107178416E-3</v>
      </c>
      <c r="R821" s="26">
        <f t="shared" si="463"/>
        <v>-9.1981329535592842</v>
      </c>
      <c r="S821" s="26">
        <f t="shared" si="464"/>
        <v>1.012179771910438E-4</v>
      </c>
      <c r="T821" s="26">
        <f t="shared" si="465"/>
        <v>1.8631212107387309</v>
      </c>
      <c r="U821" s="26">
        <f t="shared" si="466"/>
        <v>0.86566033594689806</v>
      </c>
      <c r="V821" s="26">
        <f t="shared" si="467"/>
        <v>2.4795433663660118</v>
      </c>
      <c r="W821" s="26">
        <f t="shared" si="468"/>
        <v>0.92269523304772938</v>
      </c>
      <c r="X821" s="26">
        <f t="shared" si="469"/>
        <v>2.988013496772436E-3</v>
      </c>
      <c r="Y821" s="26">
        <f t="shared" si="470"/>
        <v>2.3128946653121076</v>
      </c>
      <c r="Z821" s="26">
        <f t="shared" si="471"/>
        <v>0.90993935398537562</v>
      </c>
      <c r="AA821" s="26">
        <f t="shared" si="472"/>
        <v>-6.7419899059760686</v>
      </c>
      <c r="AB821" s="26">
        <f t="shared" si="473"/>
        <v>1.1789046832509842E-3</v>
      </c>
      <c r="AC821" s="26">
        <f t="shared" si="474"/>
        <v>2.6702875225845748</v>
      </c>
      <c r="AD821" s="26">
        <f t="shared" si="475"/>
        <v>0.93525044509186395</v>
      </c>
      <c r="AE821" s="26">
        <f t="shared" si="476"/>
        <v>2.0962524304008628E-3</v>
      </c>
      <c r="AF821" s="26">
        <f t="shared" si="477"/>
        <v>-3.405141255322186</v>
      </c>
      <c r="AG821" s="26">
        <f t="shared" si="478"/>
        <v>3.2135173570038068E-2</v>
      </c>
      <c r="AH821" s="26">
        <f t="shared" si="479"/>
        <v>-2.5951959764558552</v>
      </c>
      <c r="AI821" s="26">
        <f t="shared" si="480"/>
        <v>6.9448239817776813E-2</v>
      </c>
      <c r="AJ821" s="26">
        <f t="shared" si="481"/>
        <v>-2.5433383898501472</v>
      </c>
      <c r="AK821" s="26">
        <f t="shared" si="482"/>
        <v>7.2875294954641942E-2</v>
      </c>
      <c r="AL821" s="26">
        <f t="shared" si="483"/>
        <v>2.6554043073630305E-3</v>
      </c>
      <c r="AM821" s="27">
        <f t="shared" si="484"/>
        <v>1.1157152845254171E-2</v>
      </c>
    </row>
    <row r="822" spans="1:39" ht="15" customHeight="1" x14ac:dyDescent="0.2">
      <c r="A822" s="24">
        <v>811</v>
      </c>
      <c r="B822" s="29">
        <f t="shared" si="485"/>
        <v>5.7940765349879664</v>
      </c>
      <c r="C822" s="29">
        <f t="shared" si="486"/>
        <v>-5.7190201180926552</v>
      </c>
      <c r="D822" s="29">
        <f t="shared" si="487"/>
        <v>-3.4801810461361069</v>
      </c>
      <c r="E822" s="29">
        <f t="shared" si="488"/>
        <v>-4.4603767963511398</v>
      </c>
      <c r="F822" s="29">
        <f t="shared" si="489"/>
        <v>4.1489156681119832</v>
      </c>
      <c r="G822" s="29">
        <f t="shared" si="490"/>
        <v>-2.2849769755850358</v>
      </c>
      <c r="H822" s="29">
        <f t="shared" si="491"/>
        <v>6.4534288064231955</v>
      </c>
      <c r="I822" s="29">
        <f t="shared" si="492"/>
        <v>6.5718389218442512</v>
      </c>
      <c r="J822" s="29">
        <f t="shared" si="493"/>
        <v>-3.2085103034719813</v>
      </c>
      <c r="K822" s="26">
        <f t="shared" si="456"/>
        <v>-3.4801810461361069</v>
      </c>
      <c r="L822" s="26">
        <f t="shared" si="457"/>
        <v>2.9881431095356542E-2</v>
      </c>
      <c r="M822" s="26">
        <f t="shared" si="458"/>
        <v>-2.2849769755850358</v>
      </c>
      <c r="N822" s="26">
        <f t="shared" si="459"/>
        <v>9.237482752461286E-2</v>
      </c>
      <c r="O822" s="26">
        <f t="shared" si="460"/>
        <v>-2.4086001283391569</v>
      </c>
      <c r="P822" s="26">
        <f t="shared" si="461"/>
        <v>8.2519240232453245E-2</v>
      </c>
      <c r="Q822" s="26">
        <f t="shared" si="462"/>
        <v>3.404712504270665E-3</v>
      </c>
      <c r="R822" s="26">
        <f t="shared" si="463"/>
        <v>-9.1992011642287626</v>
      </c>
      <c r="S822" s="26">
        <f t="shared" si="464"/>
        <v>1.0110992372229377E-4</v>
      </c>
      <c r="T822" s="26">
        <f t="shared" si="465"/>
        <v>1.8639386925269474</v>
      </c>
      <c r="U822" s="26">
        <f t="shared" si="466"/>
        <v>0.86575537454875884</v>
      </c>
      <c r="V822" s="26">
        <f t="shared" si="467"/>
        <v>2.4817470694777652</v>
      </c>
      <c r="W822" s="26">
        <f t="shared" si="468"/>
        <v>0.92285227406748715</v>
      </c>
      <c r="X822" s="26">
        <f t="shared" si="469"/>
        <v>2.9758858082790576E-3</v>
      </c>
      <c r="Y822" s="26">
        <f t="shared" si="470"/>
        <v>2.3138954888518595</v>
      </c>
      <c r="Z822" s="26">
        <f t="shared" si="471"/>
        <v>0.91002133755747316</v>
      </c>
      <c r="AA822" s="26">
        <f t="shared" si="472"/>
        <v>-6.7453537719361751</v>
      </c>
      <c r="AB822" s="26">
        <f t="shared" si="473"/>
        <v>1.1749503200932795E-3</v>
      </c>
      <c r="AC822" s="26">
        <f t="shared" si="474"/>
        <v>2.6719691950260049</v>
      </c>
      <c r="AD822" s="26">
        <f t="shared" si="475"/>
        <v>0.93535220770507033</v>
      </c>
      <c r="AE822" s="26">
        <f t="shared" si="476"/>
        <v>2.0896685243041841E-3</v>
      </c>
      <c r="AF822" s="26">
        <f t="shared" si="477"/>
        <v>-3.4051246292407957</v>
      </c>
      <c r="AG822" s="26">
        <f t="shared" si="478"/>
        <v>3.213569068682668E-2</v>
      </c>
      <c r="AH822" s="26">
        <f t="shared" si="479"/>
        <v>-2.5964381038241924</v>
      </c>
      <c r="AI822" s="26">
        <f t="shared" si="480"/>
        <v>6.9368010027991311E-2</v>
      </c>
      <c r="AJ822" s="26">
        <f t="shared" si="481"/>
        <v>-2.5452495232464729</v>
      </c>
      <c r="AK822" s="26">
        <f t="shared" si="482"/>
        <v>7.2746275565194307E-2</v>
      </c>
      <c r="AL822" s="26">
        <f t="shared" si="483"/>
        <v>2.646010304303593E-3</v>
      </c>
      <c r="AM822" s="27">
        <f t="shared" si="484"/>
        <v>1.11162771411575E-2</v>
      </c>
    </row>
    <row r="823" spans="1:39" ht="15" customHeight="1" x14ac:dyDescent="0.2">
      <c r="A823" s="24">
        <v>812</v>
      </c>
      <c r="B823" s="29">
        <f t="shared" si="485"/>
        <v>5.7951572737561978</v>
      </c>
      <c r="C823" s="29">
        <f t="shared" si="486"/>
        <v>-5.7200014812456406</v>
      </c>
      <c r="D823" s="29">
        <f t="shared" si="487"/>
        <v>-3.4802654805469673</v>
      </c>
      <c r="E823" s="29">
        <f t="shared" si="488"/>
        <v>-4.4624284720503775</v>
      </c>
      <c r="F823" s="29">
        <f t="shared" si="489"/>
        <v>4.1510290892889676</v>
      </c>
      <c r="G823" s="29">
        <f t="shared" si="490"/>
        <v>-2.2862757507851632</v>
      </c>
      <c r="H823" s="29">
        <f t="shared" si="491"/>
        <v>6.4566423975965579</v>
      </c>
      <c r="I823" s="29">
        <f t="shared" si="492"/>
        <v>6.5756812627872314</v>
      </c>
      <c r="J823" s="29">
        <f t="shared" si="493"/>
        <v>-3.2102631076152841</v>
      </c>
      <c r="K823" s="26">
        <f t="shared" si="456"/>
        <v>-3.4802654805469673</v>
      </c>
      <c r="L823" s="26">
        <f t="shared" si="457"/>
        <v>2.9878983562959659E-2</v>
      </c>
      <c r="M823" s="26">
        <f t="shared" si="458"/>
        <v>-2.2862757507851632</v>
      </c>
      <c r="N823" s="26">
        <f t="shared" si="459"/>
        <v>9.2265993612982433E-2</v>
      </c>
      <c r="O823" s="26">
        <f t="shared" si="460"/>
        <v>-2.4106334301522532</v>
      </c>
      <c r="P823" s="26">
        <f t="shared" si="461"/>
        <v>8.2365429944956201E-2</v>
      </c>
      <c r="Q823" s="26">
        <f t="shared" si="462"/>
        <v>3.3920320250087439E-3</v>
      </c>
      <c r="R823" s="26">
        <f t="shared" si="463"/>
        <v>-9.2002669617926074</v>
      </c>
      <c r="S823" s="26">
        <f t="shared" si="464"/>
        <v>1.0100222929660666E-4</v>
      </c>
      <c r="T823" s="26">
        <f t="shared" si="465"/>
        <v>1.8647533385038044</v>
      </c>
      <c r="U823" s="26">
        <f t="shared" si="466"/>
        <v>0.86585002694503488</v>
      </c>
      <c r="V823" s="26">
        <f t="shared" si="467"/>
        <v>2.4839428262269294</v>
      </c>
      <c r="W823" s="26">
        <f t="shared" si="468"/>
        <v>0.92300845798817677</v>
      </c>
      <c r="X823" s="26">
        <f t="shared" si="469"/>
        <v>2.9638487706791709E-3</v>
      </c>
      <c r="Y823" s="26">
        <f t="shared" si="470"/>
        <v>2.3148917932092306</v>
      </c>
      <c r="Z823" s="26">
        <f t="shared" si="471"/>
        <v>0.91010288413273865</v>
      </c>
      <c r="AA823" s="26">
        <f t="shared" si="472"/>
        <v>-6.7487042228355403</v>
      </c>
      <c r="AB823" s="26">
        <f t="shared" si="473"/>
        <v>1.1710248962508594E-3</v>
      </c>
      <c r="AC823" s="26">
        <f t="shared" si="474"/>
        <v>2.6736460467195977</v>
      </c>
      <c r="AD823" s="26">
        <f t="shared" si="475"/>
        <v>0.93545353034525336</v>
      </c>
      <c r="AE823" s="26">
        <f t="shared" si="476"/>
        <v>2.0831233724455645E-3</v>
      </c>
      <c r="AF823" s="26">
        <f t="shared" si="477"/>
        <v>-3.40510968803641</v>
      </c>
      <c r="AG823" s="26">
        <f t="shared" si="478"/>
        <v>3.213615540617705E-2</v>
      </c>
      <c r="AH823" s="26">
        <f t="shared" si="479"/>
        <v>-2.5976751335465731</v>
      </c>
      <c r="AI823" s="26">
        <f t="shared" si="480"/>
        <v>6.9288194755013299E-2</v>
      </c>
      <c r="AJ823" s="26">
        <f t="shared" si="481"/>
        <v>-2.547154360141116</v>
      </c>
      <c r="AK823" s="26">
        <f t="shared" si="482"/>
        <v>7.2617890736292337E-2</v>
      </c>
      <c r="AL823" s="26">
        <f t="shared" si="483"/>
        <v>2.6366790274940464E-3</v>
      </c>
      <c r="AM823" s="27">
        <f t="shared" si="484"/>
        <v>1.1075683195627526E-2</v>
      </c>
    </row>
    <row r="824" spans="1:39" ht="15" customHeight="1" x14ac:dyDescent="0.2">
      <c r="A824" s="24">
        <v>813</v>
      </c>
      <c r="B824" s="29">
        <f t="shared" si="485"/>
        <v>5.7962339432131085</v>
      </c>
      <c r="C824" s="29">
        <f t="shared" si="486"/>
        <v>-5.7209800252869734</v>
      </c>
      <c r="D824" s="29">
        <f t="shared" si="487"/>
        <v>-3.4803503299181511</v>
      </c>
      <c r="E824" s="29">
        <f t="shared" si="488"/>
        <v>-4.4644722695425987</v>
      </c>
      <c r="F824" s="29">
        <f t="shared" si="489"/>
        <v>4.1531342525244677</v>
      </c>
      <c r="G824" s="29">
        <f t="shared" si="490"/>
        <v>-2.2875690850931085</v>
      </c>
      <c r="H824" s="29">
        <f t="shared" si="491"/>
        <v>6.4598467570720235</v>
      </c>
      <c r="I824" s="29">
        <f t="shared" si="492"/>
        <v>6.579509933916599</v>
      </c>
      <c r="J824" s="29">
        <f t="shared" si="493"/>
        <v>-3.212010172036118</v>
      </c>
      <c r="K824" s="26">
        <f t="shared" si="456"/>
        <v>-3.4803503299181511</v>
      </c>
      <c r="L824" s="26">
        <f t="shared" si="457"/>
        <v>2.9876524197683562E-2</v>
      </c>
      <c r="M824" s="26">
        <f t="shared" si="458"/>
        <v>-2.2875690850931085</v>
      </c>
      <c r="N824" s="26">
        <f t="shared" si="459"/>
        <v>9.2157730116880901E-2</v>
      </c>
      <c r="O824" s="26">
        <f t="shared" si="460"/>
        <v>-2.4126597032939054</v>
      </c>
      <c r="P824" s="26">
        <f t="shared" si="461"/>
        <v>8.2212410996605964E-2</v>
      </c>
      <c r="Q824" s="26">
        <f t="shared" si="462"/>
        <v>3.3794402609374288E-3</v>
      </c>
      <c r="R824" s="26">
        <f t="shared" si="463"/>
        <v>-9.2013303552051244</v>
      </c>
      <c r="S824" s="26">
        <f t="shared" si="464"/>
        <v>1.0089489210889359E-4</v>
      </c>
      <c r="T824" s="26">
        <f t="shared" si="465"/>
        <v>1.8655651674313591</v>
      </c>
      <c r="U824" s="26">
        <f t="shared" si="466"/>
        <v>0.86594429592186495</v>
      </c>
      <c r="V824" s="26">
        <f t="shared" si="467"/>
        <v>2.4861306907418026</v>
      </c>
      <c r="W824" s="26">
        <f t="shared" si="468"/>
        <v>0.92316379223028056</v>
      </c>
      <c r="X824" s="26">
        <f t="shared" si="469"/>
        <v>2.9519014122157475E-3</v>
      </c>
      <c r="Y824" s="26">
        <f t="shared" si="470"/>
        <v>2.3158836132949574</v>
      </c>
      <c r="Z824" s="26">
        <f t="shared" si="471"/>
        <v>0.9101839975129935</v>
      </c>
      <c r="AA824" s="26">
        <f t="shared" si="472"/>
        <v>-6.7520413546357076</v>
      </c>
      <c r="AB824" s="26">
        <f t="shared" si="473"/>
        <v>1.1671280984894004E-3</v>
      </c>
      <c r="AC824" s="26">
        <f t="shared" si="474"/>
        <v>2.6753181035552078</v>
      </c>
      <c r="AD824" s="26">
        <f t="shared" si="475"/>
        <v>0.93555441603102529</v>
      </c>
      <c r="AE824" s="26">
        <f t="shared" si="476"/>
        <v>2.0766166465510847E-3</v>
      </c>
      <c r="AF824" s="26">
        <f t="shared" si="477"/>
        <v>-3.405096411992016</v>
      </c>
      <c r="AG824" s="26">
        <f t="shared" si="478"/>
        <v>3.2136568339165443E-2</v>
      </c>
      <c r="AH824" s="26">
        <f t="shared" si="479"/>
        <v>-2.5989071021112395</v>
      </c>
      <c r="AI824" s="26">
        <f t="shared" si="480"/>
        <v>6.9208790522088282E-2</v>
      </c>
      <c r="AJ824" s="26">
        <f t="shared" si="481"/>
        <v>-2.549052940512504</v>
      </c>
      <c r="AK824" s="26">
        <f t="shared" si="482"/>
        <v>7.2490135429918154E-2</v>
      </c>
      <c r="AL824" s="26">
        <f t="shared" si="483"/>
        <v>2.6274098673239378E-3</v>
      </c>
      <c r="AM824" s="27">
        <f t="shared" si="484"/>
        <v>1.1035368187028199E-2</v>
      </c>
    </row>
    <row r="825" spans="1:39" ht="15" customHeight="1" x14ac:dyDescent="0.2">
      <c r="A825" s="24">
        <v>814</v>
      </c>
      <c r="B825" s="29">
        <f t="shared" si="485"/>
        <v>5.7973065717443806</v>
      </c>
      <c r="C825" s="29">
        <f t="shared" si="486"/>
        <v>-5.72195576529327</v>
      </c>
      <c r="D825" s="29">
        <f t="shared" si="487"/>
        <v>-3.4804355880939428</v>
      </c>
      <c r="E825" s="29">
        <f t="shared" si="488"/>
        <v>-4.4665082435294501</v>
      </c>
      <c r="F825" s="29">
        <f t="shared" si="489"/>
        <v>4.1552312166822247</v>
      </c>
      <c r="G825" s="29">
        <f t="shared" si="490"/>
        <v>-2.2888570187933657</v>
      </c>
      <c r="H825" s="29">
        <f t="shared" si="491"/>
        <v>6.4630419349530186</v>
      </c>
      <c r="I825" s="29">
        <f t="shared" si="492"/>
        <v>6.5833250276767048</v>
      </c>
      <c r="J825" s="29">
        <f t="shared" si="493"/>
        <v>-3.2137515330829243</v>
      </c>
      <c r="K825" s="26">
        <f t="shared" si="456"/>
        <v>-3.4804355880939428</v>
      </c>
      <c r="L825" s="26">
        <f t="shared" si="457"/>
        <v>2.9874053180794724E-2</v>
      </c>
      <c r="M825" s="26">
        <f t="shared" si="458"/>
        <v>-2.2888570187933657</v>
      </c>
      <c r="N825" s="26">
        <f t="shared" si="459"/>
        <v>9.2050032138071253E-2</v>
      </c>
      <c r="O825" s="26">
        <f t="shared" si="460"/>
        <v>-2.4146789942354219</v>
      </c>
      <c r="P825" s="26">
        <f t="shared" si="461"/>
        <v>8.206017684775084E-2</v>
      </c>
      <c r="Q825" s="26">
        <f t="shared" si="462"/>
        <v>3.3669363121420714E-3</v>
      </c>
      <c r="R825" s="26">
        <f t="shared" si="463"/>
        <v>-9.2023913533872133</v>
      </c>
      <c r="S825" s="26">
        <f t="shared" si="464"/>
        <v>1.0078791036481288E-4</v>
      </c>
      <c r="T825" s="26">
        <f t="shared" si="465"/>
        <v>1.8663741978888591</v>
      </c>
      <c r="U825" s="26">
        <f t="shared" si="466"/>
        <v>0.86603818423659007</v>
      </c>
      <c r="V825" s="26">
        <f t="shared" si="467"/>
        <v>2.4883107166167329</v>
      </c>
      <c r="W825" s="26">
        <f t="shared" si="468"/>
        <v>0.9233182841272336</v>
      </c>
      <c r="X825" s="26">
        <f t="shared" si="469"/>
        <v>2.940042774595837E-3</v>
      </c>
      <c r="Y825" s="26">
        <f t="shared" si="470"/>
        <v>2.3168709836504378</v>
      </c>
      <c r="Z825" s="26">
        <f t="shared" si="471"/>
        <v>0.91026468145541861</v>
      </c>
      <c r="AA825" s="26">
        <f t="shared" si="472"/>
        <v>-6.7553652623228153</v>
      </c>
      <c r="AB825" s="26">
        <f t="shared" si="473"/>
        <v>1.1632596180083683E-3</v>
      </c>
      <c r="AC825" s="26">
        <f t="shared" si="474"/>
        <v>2.6769853912270176</v>
      </c>
      <c r="AD825" s="26">
        <f t="shared" si="475"/>
        <v>0.93565486775325246</v>
      </c>
      <c r="AE825" s="26">
        <f t="shared" si="476"/>
        <v>2.0701480219257151E-3</v>
      </c>
      <c r="AF825" s="26">
        <f t="shared" si="477"/>
        <v>-3.4050847816428322</v>
      </c>
      <c r="AG825" s="26">
        <f t="shared" si="478"/>
        <v>3.2136930089297147E-2</v>
      </c>
      <c r="AH825" s="26">
        <f t="shared" si="479"/>
        <v>-2.600134045640591</v>
      </c>
      <c r="AI825" s="26">
        <f t="shared" si="480"/>
        <v>6.9129793892141064E-2</v>
      </c>
      <c r="AJ825" s="26">
        <f t="shared" si="481"/>
        <v>-2.5509453039668788</v>
      </c>
      <c r="AK825" s="26">
        <f t="shared" si="482"/>
        <v>7.2363004662896066E-2</v>
      </c>
      <c r="AL825" s="26">
        <f t="shared" si="483"/>
        <v>2.618202221921159E-3</v>
      </c>
      <c r="AM825" s="27">
        <f t="shared" si="484"/>
        <v>1.0995329330584782E-2</v>
      </c>
    </row>
    <row r="826" spans="1:39" ht="15" customHeight="1" x14ac:dyDescent="0.2">
      <c r="A826" s="24">
        <v>815</v>
      </c>
      <c r="B826" s="29">
        <f t="shared" si="485"/>
        <v>5.7983751874536971</v>
      </c>
      <c r="C826" s="29">
        <f t="shared" si="486"/>
        <v>-5.7229287162251987</v>
      </c>
      <c r="D826" s="29">
        <f t="shared" si="487"/>
        <v>-3.4805212490010935</v>
      </c>
      <c r="E826" s="29">
        <f t="shared" si="488"/>
        <v>-4.4685364481709433</v>
      </c>
      <c r="F826" s="29">
        <f t="shared" si="489"/>
        <v>4.1573200400244952</v>
      </c>
      <c r="G826" s="29">
        <f t="shared" si="490"/>
        <v>-2.2901395917494094</v>
      </c>
      <c r="H826" s="29">
        <f t="shared" si="491"/>
        <v>6.4662279809536427</v>
      </c>
      <c r="I826" s="29">
        <f t="shared" si="492"/>
        <v>6.587126635604708</v>
      </c>
      <c r="J826" s="29">
        <f t="shared" si="493"/>
        <v>-3.2154872267662751</v>
      </c>
      <c r="K826" s="26">
        <f t="shared" si="456"/>
        <v>-3.4805212490010935</v>
      </c>
      <c r="L826" s="26">
        <f t="shared" si="457"/>
        <v>2.9871570691125997E-2</v>
      </c>
      <c r="M826" s="26">
        <f t="shared" si="458"/>
        <v>-2.2901395917494094</v>
      </c>
      <c r="N826" s="26">
        <f t="shared" si="459"/>
        <v>9.1942894835879571E-2</v>
      </c>
      <c r="O826" s="26">
        <f t="shared" si="460"/>
        <v>-2.4166913490002564</v>
      </c>
      <c r="P826" s="26">
        <f t="shared" si="461"/>
        <v>8.190872103252296E-2</v>
      </c>
      <c r="Q826" s="26">
        <f t="shared" si="462"/>
        <v>3.3545192905918347E-3</v>
      </c>
      <c r="R826" s="26">
        <f t="shared" si="463"/>
        <v>-9.2034499652262927</v>
      </c>
      <c r="S826" s="26">
        <f t="shared" si="464"/>
        <v>1.0068128228071566E-4</v>
      </c>
      <c r="T826" s="26">
        <f t="shared" si="465"/>
        <v>1.8671804482750858</v>
      </c>
      <c r="U826" s="26">
        <f t="shared" si="466"/>
        <v>0.8661316946181391</v>
      </c>
      <c r="V826" s="26">
        <f t="shared" si="467"/>
        <v>2.4904829569189535</v>
      </c>
      <c r="W826" s="26">
        <f t="shared" si="468"/>
        <v>0.92347194092670271</v>
      </c>
      <c r="X826" s="26">
        <f t="shared" si="469"/>
        <v>2.9282719127630401E-3</v>
      </c>
      <c r="Y826" s="26">
        <f t="shared" si="470"/>
        <v>2.3178539384526036</v>
      </c>
      <c r="Z826" s="26">
        <f t="shared" si="471"/>
        <v>0.91034493967320451</v>
      </c>
      <c r="AA826" s="26">
        <f t="shared" si="472"/>
        <v>-6.7586760399203527</v>
      </c>
      <c r="AB826" s="26">
        <f t="shared" si="473"/>
        <v>1.159419150363975E-3</v>
      </c>
      <c r="AC826" s="26">
        <f t="shared" si="474"/>
        <v>2.6786479352353489</v>
      </c>
      <c r="AD826" s="26">
        <f t="shared" si="475"/>
        <v>0.93575488847536781</v>
      </c>
      <c r="AE826" s="26">
        <f t="shared" si="476"/>
        <v>2.0637171774062139E-3</v>
      </c>
      <c r="AF826" s="26">
        <f t="shared" si="477"/>
        <v>-3.4050747777725952</v>
      </c>
      <c r="AG826" s="26">
        <f t="shared" si="478"/>
        <v>3.2137241252612088E-2</v>
      </c>
      <c r="AH826" s="26">
        <f t="shared" si="479"/>
        <v>-2.6013559998958575</v>
      </c>
      <c r="AI826" s="26">
        <f t="shared" si="480"/>
        <v>6.9051201467207654E-2</v>
      </c>
      <c r="AJ826" s="26">
        <f t="shared" si="481"/>
        <v>-2.5528314897428266</v>
      </c>
      <c r="AK826" s="26">
        <f t="shared" si="482"/>
        <v>7.2236493506138061E-2</v>
      </c>
      <c r="AL826" s="26">
        <f t="shared" si="483"/>
        <v>2.6090554970311631E-3</v>
      </c>
      <c r="AM826" s="27">
        <f t="shared" si="484"/>
        <v>1.0955563877792252E-2</v>
      </c>
    </row>
    <row r="827" spans="1:39" ht="15" customHeight="1" x14ac:dyDescent="0.2">
      <c r="A827" s="24">
        <v>816</v>
      </c>
      <c r="B827" s="29">
        <f t="shared" si="485"/>
        <v>5.7994398181663218</v>
      </c>
      <c r="C827" s="29">
        <f t="shared" si="486"/>
        <v>-5.7238988929286325</v>
      </c>
      <c r="D827" s="29">
        <f t="shared" si="487"/>
        <v>-3.4806073066475993</v>
      </c>
      <c r="E827" s="29">
        <f t="shared" si="488"/>
        <v>-4.4705569370923621</v>
      </c>
      <c r="F827" s="29">
        <f t="shared" si="489"/>
        <v>4.159400780219995</v>
      </c>
      <c r="G827" s="29">
        <f t="shared" si="490"/>
        <v>-2.2914168434093352</v>
      </c>
      <c r="H827" s="29">
        <f t="shared" si="491"/>
        <v>6.4694049444025028</v>
      </c>
      <c r="I827" s="29">
        <f t="shared" si="492"/>
        <v>6.5909148483421385</v>
      </c>
      <c r="J827" s="29">
        <f t="shared" si="493"/>
        <v>-3.217217288762984</v>
      </c>
      <c r="K827" s="26">
        <f t="shared" si="456"/>
        <v>-3.4806073066475993</v>
      </c>
      <c r="L827" s="26">
        <f t="shared" si="457"/>
        <v>2.9869076905112233E-2</v>
      </c>
      <c r="M827" s="26">
        <f t="shared" si="458"/>
        <v>-2.2914168434093352</v>
      </c>
      <c r="N827" s="26">
        <f t="shared" si="459"/>
        <v>9.1836313426342769E-2</v>
      </c>
      <c r="O827" s="26">
        <f t="shared" si="460"/>
        <v>-2.4186968131696274</v>
      </c>
      <c r="P827" s="26">
        <f t="shared" si="461"/>
        <v>8.1758037157789898E-2</v>
      </c>
      <c r="Q827" s="26">
        <f t="shared" si="462"/>
        <v>3.3421883199472768E-3</v>
      </c>
      <c r="R827" s="26">
        <f t="shared" si="463"/>
        <v>-9.2045061995762314</v>
      </c>
      <c r="S827" s="26">
        <f t="shared" si="464"/>
        <v>1.0057500608359106E-4</v>
      </c>
      <c r="T827" s="26">
        <f t="shared" si="465"/>
        <v>1.8679839368106599</v>
      </c>
      <c r="U827" s="26">
        <f t="shared" si="466"/>
        <v>0.86622482976740833</v>
      </c>
      <c r="V827" s="26">
        <f t="shared" si="467"/>
        <v>2.4926474641953096</v>
      </c>
      <c r="W827" s="26">
        <f t="shared" si="468"/>
        <v>0.92362476979184405</v>
      </c>
      <c r="X827" s="26">
        <f t="shared" si="469"/>
        <v>2.9165878946744088E-3</v>
      </c>
      <c r="Y827" s="26">
        <f t="shared" si="470"/>
        <v>2.3188325115187225</v>
      </c>
      <c r="Z827" s="26">
        <f t="shared" si="471"/>
        <v>0.91042477583619108</v>
      </c>
      <c r="AA827" s="26">
        <f t="shared" si="472"/>
        <v>-6.7619737805016973</v>
      </c>
      <c r="AB827" s="26">
        <f t="shared" si="473"/>
        <v>1.1556063953937347E-3</v>
      </c>
      <c r="AC827" s="26">
        <f t="shared" si="474"/>
        <v>2.6803057608884506</v>
      </c>
      <c r="AD827" s="26">
        <f t="shared" si="475"/>
        <v>0.93585448113367742</v>
      </c>
      <c r="AE827" s="26">
        <f t="shared" si="476"/>
        <v>2.0573237953148732E-3</v>
      </c>
      <c r="AF827" s="26">
        <f t="shared" si="477"/>
        <v>-3.40506638140991</v>
      </c>
      <c r="AG827" s="26">
        <f t="shared" si="478"/>
        <v>3.2137502417788802E-2</v>
      </c>
      <c r="AH827" s="26">
        <f t="shared" si="479"/>
        <v>-2.6025730002817022</v>
      </c>
      <c r="AI827" s="26">
        <f t="shared" si="480"/>
        <v>6.8973009887876816E-2</v>
      </c>
      <c r="AJ827" s="26">
        <f t="shared" si="481"/>
        <v>-2.5547115367157374</v>
      </c>
      <c r="AK827" s="26">
        <f t="shared" si="482"/>
        <v>7.2110597083901731E-2</v>
      </c>
      <c r="AL827" s="26">
        <f t="shared" si="483"/>
        <v>2.5999691058984082E-3</v>
      </c>
      <c r="AM827" s="27">
        <f t="shared" si="484"/>
        <v>1.0916069115834967E-2</v>
      </c>
    </row>
    <row r="828" spans="1:39" ht="15" customHeight="1" x14ac:dyDescent="0.2">
      <c r="A828" s="24">
        <v>817</v>
      </c>
      <c r="B828" s="29">
        <f t="shared" si="485"/>
        <v>5.800500491432623</v>
      </c>
      <c r="C828" s="29">
        <f t="shared" si="486"/>
        <v>-5.7248663101357833</v>
      </c>
      <c r="D828" s="29">
        <f t="shared" si="487"/>
        <v>-3.4806937551215031</v>
      </c>
      <c r="E828" s="29">
        <f t="shared" si="488"/>
        <v>-4.4725697633910668</v>
      </c>
      <c r="F828" s="29">
        <f t="shared" si="489"/>
        <v>4.1614734943517115</v>
      </c>
      <c r="G828" s="29">
        <f t="shared" si="490"/>
        <v>-2.2926888128114054</v>
      </c>
      <c r="H828" s="29">
        <f t="shared" si="491"/>
        <v>6.4725728742465103</v>
      </c>
      <c r="I828" s="29">
        <f t="shared" si="492"/>
        <v>6.5946897556462796</v>
      </c>
      <c r="J828" s="29">
        <f t="shared" si="493"/>
        <v>-3.2189417544201526</v>
      </c>
      <c r="K828" s="26">
        <f t="shared" si="456"/>
        <v>-3.4806937551215031</v>
      </c>
      <c r="L828" s="26">
        <f t="shared" si="457"/>
        <v>2.9866571996825377E-2</v>
      </c>
      <c r="M828" s="26">
        <f t="shared" si="458"/>
        <v>-2.2926888128114054</v>
      </c>
      <c r="N828" s="26">
        <f t="shared" si="459"/>
        <v>9.1730283181371539E-2</v>
      </c>
      <c r="O828" s="26">
        <f t="shared" si="460"/>
        <v>-2.4206954318880474</v>
      </c>
      <c r="P828" s="26">
        <f t="shared" si="461"/>
        <v>8.1608118902124036E-2</v>
      </c>
      <c r="Q828" s="26">
        <f t="shared" si="462"/>
        <v>3.3299425353716071E-3</v>
      </c>
      <c r="R828" s="26">
        <f t="shared" si="463"/>
        <v>-9.205560065257286</v>
      </c>
      <c r="S828" s="26">
        <f t="shared" si="464"/>
        <v>1.0046908001101148E-4</v>
      </c>
      <c r="T828" s="26">
        <f t="shared" si="465"/>
        <v>1.8687846815403062</v>
      </c>
      <c r="U828" s="26">
        <f t="shared" si="466"/>
        <v>0.8663175923576355</v>
      </c>
      <c r="V828" s="26">
        <f t="shared" si="467"/>
        <v>2.4948042904788754</v>
      </c>
      <c r="W828" s="26">
        <f t="shared" si="468"/>
        <v>0.9237767778025392</v>
      </c>
      <c r="X828" s="26">
        <f t="shared" si="469"/>
        <v>2.9049898010817406E-3</v>
      </c>
      <c r="Y828" s="26">
        <f t="shared" si="470"/>
        <v>2.3198067363111199</v>
      </c>
      <c r="Z828" s="26">
        <f t="shared" si="471"/>
        <v>0.91050419357149637</v>
      </c>
      <c r="AA828" s="26">
        <f t="shared" si="472"/>
        <v>-6.7652585762024717</v>
      </c>
      <c r="AB828" s="26">
        <f t="shared" si="473"/>
        <v>1.1518210571425413E-3</v>
      </c>
      <c r="AC828" s="26">
        <f t="shared" si="474"/>
        <v>2.6819588933042842</v>
      </c>
      <c r="AD828" s="26">
        <f t="shared" si="475"/>
        <v>0.93595364863766717</v>
      </c>
      <c r="AE828" s="26">
        <f t="shared" si="476"/>
        <v>2.0509675614136962E-3</v>
      </c>
      <c r="AF828" s="26">
        <f t="shared" si="477"/>
        <v>-3.4050595738246634</v>
      </c>
      <c r="AG828" s="26">
        <f t="shared" si="478"/>
        <v>3.2137714166246743E-2</v>
      </c>
      <c r="AH828" s="26">
        <f t="shared" si="479"/>
        <v>-2.6037850818507606</v>
      </c>
      <c r="AI828" s="26">
        <f t="shared" si="480"/>
        <v>6.8895215832740775E-2</v>
      </c>
      <c r="AJ828" s="26">
        <f t="shared" si="481"/>
        <v>-2.556585483402201</v>
      </c>
      <c r="AK828" s="26">
        <f t="shared" si="482"/>
        <v>7.1985310573060554E-2</v>
      </c>
      <c r="AL828" s="26">
        <f t="shared" si="483"/>
        <v>2.590942469149992E-3</v>
      </c>
      <c r="AM828" s="27">
        <f t="shared" si="484"/>
        <v>1.0876842367017036E-2</v>
      </c>
    </row>
    <row r="829" spans="1:39" ht="15" customHeight="1" x14ac:dyDescent="0.2">
      <c r="A829" s="24">
        <v>818</v>
      </c>
      <c r="B829" s="29">
        <f t="shared" si="485"/>
        <v>5.8015572345315451</v>
      </c>
      <c r="C829" s="29">
        <f t="shared" si="486"/>
        <v>-5.7258309824663254</v>
      </c>
      <c r="D829" s="29">
        <f t="shared" si="487"/>
        <v>-3.4807805885897141</v>
      </c>
      <c r="E829" s="29">
        <f t="shared" si="488"/>
        <v>-4.4745749796431902</v>
      </c>
      <c r="F829" s="29">
        <f t="shared" si="489"/>
        <v>4.1635382389245956</v>
      </c>
      <c r="G829" s="29">
        <f t="shared" si="490"/>
        <v>-2.2939555385895058</v>
      </c>
      <c r="H829" s="29">
        <f t="shared" si="491"/>
        <v>6.4757318190546282</v>
      </c>
      <c r="I829" s="29">
        <f t="shared" si="492"/>
        <v>6.5984514464013744</v>
      </c>
      <c r="J829" s="29">
        <f t="shared" si="493"/>
        <v>-3.2206606587591602</v>
      </c>
      <c r="K829" s="26">
        <f t="shared" si="456"/>
        <v>-3.4807805885897141</v>
      </c>
      <c r="L829" s="26">
        <f t="shared" si="457"/>
        <v>2.9864056138008917E-2</v>
      </c>
      <c r="M829" s="26">
        <f t="shared" si="458"/>
        <v>-2.2939555385895058</v>
      </c>
      <c r="N829" s="26">
        <f t="shared" si="459"/>
        <v>9.1624799427928311E-2</v>
      </c>
      <c r="O829" s="26">
        <f t="shared" si="460"/>
        <v>-2.4226872498687726</v>
      </c>
      <c r="P829" s="26">
        <f t="shared" si="461"/>
        <v>8.1458960014789444E-2</v>
      </c>
      <c r="Q829" s="26">
        <f t="shared" si="462"/>
        <v>3.3177810833455328E-3</v>
      </c>
      <c r="R829" s="26">
        <f t="shared" si="463"/>
        <v>-9.2066115710560403</v>
      </c>
      <c r="S829" s="26">
        <f t="shared" si="464"/>
        <v>1.0036350231107781E-4</v>
      </c>
      <c r="T829" s="26">
        <f t="shared" si="465"/>
        <v>1.8695827003350898</v>
      </c>
      <c r="U829" s="26">
        <f t="shared" si="466"/>
        <v>0.86640998503476685</v>
      </c>
      <c r="V829" s="26">
        <f t="shared" si="467"/>
        <v>2.4969534872954777</v>
      </c>
      <c r="W829" s="26">
        <f t="shared" si="468"/>
        <v>0.92392797195660725</v>
      </c>
      <c r="X829" s="26">
        <f t="shared" si="469"/>
        <v>2.8934767253173664E-3</v>
      </c>
      <c r="Y829" s="26">
        <f t="shared" si="470"/>
        <v>2.3207766459418311</v>
      </c>
      <c r="Z829" s="26">
        <f t="shared" si="471"/>
        <v>0.91058319646413444</v>
      </c>
      <c r="AA829" s="26">
        <f t="shared" si="472"/>
        <v>-6.768530518232696</v>
      </c>
      <c r="AB829" s="26">
        <f t="shared" si="473"/>
        <v>1.1480628437902634E-3</v>
      </c>
      <c r="AC829" s="26">
        <f t="shared" si="474"/>
        <v>2.6836073574122747</v>
      </c>
      <c r="AD829" s="26">
        <f t="shared" si="475"/>
        <v>0.93605239387030059</v>
      </c>
      <c r="AE829" s="26">
        <f t="shared" si="476"/>
        <v>2.0446481648595848E-3</v>
      </c>
      <c r="AF829" s="26">
        <f t="shared" si="477"/>
        <v>-3.4050543365244943</v>
      </c>
      <c r="AG829" s="26">
        <f t="shared" si="478"/>
        <v>3.213787707224703E-2</v>
      </c>
      <c r="AH829" s="26">
        <f t="shared" si="479"/>
        <v>-2.6049922793081004</v>
      </c>
      <c r="AI829" s="26">
        <f t="shared" si="480"/>
        <v>6.881781601785579E-2</v>
      </c>
      <c r="AJ829" s="26">
        <f t="shared" si="481"/>
        <v>-2.55845336796434</v>
      </c>
      <c r="AK829" s="26">
        <f t="shared" si="482"/>
        <v>7.1860629202385826E-2</v>
      </c>
      <c r="AL829" s="26">
        <f t="shared" si="483"/>
        <v>2.5819750146813931E-3</v>
      </c>
      <c r="AM829" s="27">
        <f t="shared" si="484"/>
        <v>1.0837880988203877E-2</v>
      </c>
    </row>
    <row r="830" spans="1:39" ht="15" customHeight="1" x14ac:dyDescent="0.2">
      <c r="A830" s="24">
        <v>819</v>
      </c>
      <c r="B830" s="29">
        <f t="shared" si="485"/>
        <v>5.8026100744740257</v>
      </c>
      <c r="C830" s="29">
        <f t="shared" si="486"/>
        <v>-5.7267929244285041</v>
      </c>
      <c r="D830" s="29">
        <f t="shared" si="487"/>
        <v>-3.4808678012968484</v>
      </c>
      <c r="E830" s="29">
        <f t="shared" si="488"/>
        <v>-4.4765726379102286</v>
      </c>
      <c r="F830" s="29">
        <f t="shared" si="489"/>
        <v>4.1655950698731283</v>
      </c>
      <c r="G830" s="29">
        <f t="shared" si="490"/>
        <v>-2.2952170589785155</v>
      </c>
      <c r="H830" s="29">
        <f t="shared" si="491"/>
        <v>6.4788818270215787</v>
      </c>
      <c r="I830" s="29">
        <f t="shared" si="492"/>
        <v>6.6022000086296586</v>
      </c>
      <c r="J830" s="29">
        <f t="shared" si="493"/>
        <v>-3.2223740364795912</v>
      </c>
      <c r="K830" s="26">
        <f t="shared" si="456"/>
        <v>-3.4808678012968484</v>
      </c>
      <c r="L830" s="26">
        <f t="shared" si="457"/>
        <v>2.9861529498111807E-2</v>
      </c>
      <c r="M830" s="26">
        <f t="shared" si="458"/>
        <v>-2.2952170589785155</v>
      </c>
      <c r="N830" s="26">
        <f t="shared" si="459"/>
        <v>9.1519857547219391E-2</v>
      </c>
      <c r="O830" s="26">
        <f t="shared" si="460"/>
        <v>-2.4246723113991688</v>
      </c>
      <c r="P830" s="26">
        <f t="shared" si="461"/>
        <v>8.131055431474582E-2</v>
      </c>
      <c r="Q830" s="26">
        <f t="shared" si="462"/>
        <v>3.3057031214856151E-3</v>
      </c>
      <c r="R830" s="26">
        <f t="shared" si="463"/>
        <v>-9.2076607257253524</v>
      </c>
      <c r="S830" s="26">
        <f t="shared" si="464"/>
        <v>1.0025827124236458E-4</v>
      </c>
      <c r="T830" s="26">
        <f t="shared" si="465"/>
        <v>1.8703780108946129</v>
      </c>
      <c r="U830" s="26">
        <f t="shared" si="466"/>
        <v>0.86650201041781871</v>
      </c>
      <c r="V830" s="26">
        <f t="shared" si="467"/>
        <v>2.4990951056701087</v>
      </c>
      <c r="W830" s="26">
        <f t="shared" si="468"/>
        <v>0.92407835917099901</v>
      </c>
      <c r="X830" s="26">
        <f t="shared" si="469"/>
        <v>2.882047773083915E-3</v>
      </c>
      <c r="Y830" s="26">
        <f t="shared" si="470"/>
        <v>2.3217422731771773</v>
      </c>
      <c r="Z830" s="26">
        <f t="shared" si="471"/>
        <v>0.91066178805762199</v>
      </c>
      <c r="AA830" s="26">
        <f t="shared" si="472"/>
        <v>-6.7717896968887441</v>
      </c>
      <c r="AB830" s="26">
        <f t="shared" si="473"/>
        <v>1.1443314675808141E-3</v>
      </c>
      <c r="AC830" s="26">
        <f t="shared" si="474"/>
        <v>2.6852511779550499</v>
      </c>
      <c r="AD830" s="26">
        <f t="shared" si="475"/>
        <v>0.93615071968831653</v>
      </c>
      <c r="AE830" s="26">
        <f t="shared" si="476"/>
        <v>2.0383652981599649E-3</v>
      </c>
      <c r="AF830" s="26">
        <f t="shared" si="477"/>
        <v>-3.4050506512513268</v>
      </c>
      <c r="AG830" s="26">
        <f t="shared" si="478"/>
        <v>3.2137991702991586E-2</v>
      </c>
      <c r="AH830" s="26">
        <f t="shared" si="479"/>
        <v>-2.6061946270156158</v>
      </c>
      <c r="AI830" s="26">
        <f t="shared" si="480"/>
        <v>6.8740807196211812E-2</v>
      </c>
      <c r="AJ830" s="26">
        <f t="shared" si="481"/>
        <v>-2.5603152282140695</v>
      </c>
      <c r="AK830" s="26">
        <f t="shared" si="482"/>
        <v>7.1736548251841115E-2</v>
      </c>
      <c r="AL830" s="26">
        <f t="shared" si="483"/>
        <v>2.5730661775443643E-3</v>
      </c>
      <c r="AM830" s="27">
        <f t="shared" si="484"/>
        <v>1.0799182370273858E-2</v>
      </c>
    </row>
    <row r="831" spans="1:39" ht="15" customHeight="1" x14ac:dyDescent="0.2">
      <c r="A831" s="24">
        <v>820</v>
      </c>
      <c r="B831" s="29">
        <f t="shared" si="485"/>
        <v>5.8036590380063622</v>
      </c>
      <c r="C831" s="29">
        <f t="shared" si="486"/>
        <v>-5.7277521504202316</v>
      </c>
      <c r="D831" s="29">
        <f t="shared" si="487"/>
        <v>-3.4809553875640868</v>
      </c>
      <c r="E831" s="29">
        <f t="shared" si="488"/>
        <v>-4.4785627897455367</v>
      </c>
      <c r="F831" s="29">
        <f t="shared" si="489"/>
        <v>4.1676440425687646</v>
      </c>
      <c r="G831" s="29">
        <f t="shared" si="490"/>
        <v>-2.296473411819588</v>
      </c>
      <c r="H831" s="29">
        <f t="shared" si="491"/>
        <v>6.4820229459715053</v>
      </c>
      <c r="I831" s="29">
        <f t="shared" si="492"/>
        <v>6.6059355295022231</v>
      </c>
      <c r="J831" s="29">
        <f t="shared" si="493"/>
        <v>-3.2240819219631063</v>
      </c>
      <c r="K831" s="26">
        <f t="shared" si="456"/>
        <v>-3.4809553875640868</v>
      </c>
      <c r="L831" s="26">
        <f t="shared" si="457"/>
        <v>2.98589922443219E-2</v>
      </c>
      <c r="M831" s="26">
        <f t="shared" si="458"/>
        <v>-2.296473411819588</v>
      </c>
      <c r="N831" s="26">
        <f t="shared" si="459"/>
        <v>9.1415452973901634E-2</v>
      </c>
      <c r="O831" s="26">
        <f t="shared" si="460"/>
        <v>-2.4266506603459899</v>
      </c>
      <c r="P831" s="26">
        <f t="shared" si="461"/>
        <v>8.1162895689669626E-2</v>
      </c>
      <c r="Q831" s="26">
        <f t="shared" si="462"/>
        <v>3.2937078183660961E-3</v>
      </c>
      <c r="R831" s="26">
        <f t="shared" si="463"/>
        <v>-9.2087075379843188</v>
      </c>
      <c r="S831" s="26">
        <f t="shared" si="464"/>
        <v>1.0015338507386352E-4</v>
      </c>
      <c r="T831" s="26">
        <f t="shared" si="465"/>
        <v>1.8711706307491767</v>
      </c>
      <c r="U831" s="26">
        <f t="shared" si="466"/>
        <v>0.86659367109923269</v>
      </c>
      <c r="V831" s="26">
        <f t="shared" si="467"/>
        <v>2.5012291961332447</v>
      </c>
      <c r="W831" s="26">
        <f t="shared" si="468"/>
        <v>0.92422794628296678</v>
      </c>
      <c r="X831" s="26">
        <f t="shared" si="469"/>
        <v>2.8707020622484834E-3</v>
      </c>
      <c r="Y831" s="26">
        <f t="shared" si="470"/>
        <v>2.3227036504422753</v>
      </c>
      <c r="Z831" s="26">
        <f t="shared" si="471"/>
        <v>0.91073997185457556</v>
      </c>
      <c r="AA831" s="26">
        <f t="shared" si="472"/>
        <v>-6.7750362015651246</v>
      </c>
      <c r="AB831" s="26">
        <f t="shared" si="473"/>
        <v>1.1406266447526459E-3</v>
      </c>
      <c r="AC831" s="26">
        <f t="shared" si="474"/>
        <v>2.6868903794901642</v>
      </c>
      <c r="AD831" s="26">
        <f t="shared" si="475"/>
        <v>0.93624862892252125</v>
      </c>
      <c r="AE831" s="26">
        <f t="shared" si="476"/>
        <v>2.0321186571291968E-3</v>
      </c>
      <c r="AF831" s="26">
        <f t="shared" si="477"/>
        <v>-3.4050484999779562</v>
      </c>
      <c r="AG831" s="26">
        <f t="shared" si="478"/>
        <v>3.2138058618720877E-2</v>
      </c>
      <c r="AH831" s="26">
        <f t="shared" si="479"/>
        <v>-2.60739215899636</v>
      </c>
      <c r="AI831" s="26">
        <f t="shared" si="480"/>
        <v>6.8664186157210691E-2</v>
      </c>
      <c r="AJ831" s="26">
        <f t="shared" si="481"/>
        <v>-2.5621711016173077</v>
      </c>
      <c r="AK831" s="26">
        <f t="shared" si="482"/>
        <v>7.1613063051887221E-2</v>
      </c>
      <c r="AL831" s="26">
        <f t="shared" si="483"/>
        <v>2.5642153998367873E-3</v>
      </c>
      <c r="AM831" s="27">
        <f t="shared" si="484"/>
        <v>1.0760743937580563E-2</v>
      </c>
    </row>
    <row r="832" spans="1:39" ht="15" customHeight="1" x14ac:dyDescent="0.2">
      <c r="A832" s="24">
        <v>821</v>
      </c>
      <c r="B832" s="29">
        <f t="shared" si="485"/>
        <v>5.8047041516135272</v>
      </c>
      <c r="C832" s="29">
        <f t="shared" si="486"/>
        <v>-5.7287086747301688</v>
      </c>
      <c r="D832" s="29">
        <f t="shared" si="487"/>
        <v>-3.4810433417880526</v>
      </c>
      <c r="E832" s="29">
        <f t="shared" si="488"/>
        <v>-4.4805454862007164</v>
      </c>
      <c r="F832" s="29">
        <f t="shared" si="489"/>
        <v>4.1696852118272636</v>
      </c>
      <c r="G832" s="29">
        <f t="shared" si="490"/>
        <v>-2.2977246345653497</v>
      </c>
      <c r="H832" s="29">
        <f t="shared" si="491"/>
        <v>6.4851552233615948</v>
      </c>
      <c r="I832" s="29">
        <f t="shared" si="492"/>
        <v>6.6096580953497091</v>
      </c>
      <c r="J832" s="29">
        <f t="shared" si="493"/>
        <v>-3.2257843492772547</v>
      </c>
      <c r="K832" s="26">
        <f t="shared" si="456"/>
        <v>-3.4810433417880526</v>
      </c>
      <c r="L832" s="26">
        <f t="shared" si="457"/>
        <v>2.9856444541598783E-2</v>
      </c>
      <c r="M832" s="26">
        <f t="shared" si="458"/>
        <v>-2.2977246345653497</v>
      </c>
      <c r="N832" s="26">
        <f t="shared" si="459"/>
        <v>9.1311581195302874E-2</v>
      </c>
      <c r="O832" s="26">
        <f t="shared" si="460"/>
        <v>-2.4286223401605835</v>
      </c>
      <c r="P832" s="26">
        <f t="shared" si="461"/>
        <v>8.1015978094991323E-2</v>
      </c>
      <c r="Q832" s="26">
        <f t="shared" si="462"/>
        <v>3.2817943533440569E-3</v>
      </c>
      <c r="R832" s="26">
        <f t="shared" si="463"/>
        <v>-9.2097520165182214</v>
      </c>
      <c r="S832" s="26">
        <f t="shared" si="464"/>
        <v>1.0004884208492959E-4</v>
      </c>
      <c r="T832" s="26">
        <f t="shared" si="465"/>
        <v>1.8719605772619139</v>
      </c>
      <c r="U832" s="26">
        <f t="shared" si="466"/>
        <v>0.86668496964522623</v>
      </c>
      <c r="V832" s="26">
        <f t="shared" si="467"/>
        <v>2.5033558087270698</v>
      </c>
      <c r="W832" s="26">
        <f t="shared" si="468"/>
        <v>0.92437674005121773</v>
      </c>
      <c r="X832" s="26">
        <f t="shared" si="469"/>
        <v>2.8594387226405487E-3</v>
      </c>
      <c r="Y832" s="26">
        <f t="shared" si="470"/>
        <v>2.3236608098254745</v>
      </c>
      <c r="Z832" s="26">
        <f t="shared" si="471"/>
        <v>0.91081775131729814</v>
      </c>
      <c r="AA832" s="26">
        <f t="shared" si="472"/>
        <v>-6.7782701207660665</v>
      </c>
      <c r="AB832" s="26">
        <f t="shared" si="473"/>
        <v>1.1369480954706598E-3</v>
      </c>
      <c r="AC832" s="26">
        <f t="shared" si="474"/>
        <v>2.6885249863918035</v>
      </c>
      <c r="AD832" s="26">
        <f t="shared" si="475"/>
        <v>0.93634612437807729</v>
      </c>
      <c r="AE832" s="26">
        <f t="shared" si="476"/>
        <v>2.0259079408456028E-3</v>
      </c>
      <c r="AF832" s="26">
        <f t="shared" si="477"/>
        <v>-3.4050478649046942</v>
      </c>
      <c r="AG832" s="26">
        <f t="shared" si="478"/>
        <v>3.2138078372809992E-2</v>
      </c>
      <c r="AH832" s="26">
        <f t="shared" si="479"/>
        <v>-2.6085849089388025</v>
      </c>
      <c r="AI832" s="26">
        <f t="shared" si="480"/>
        <v>6.8587949726153882E-2</v>
      </c>
      <c r="AJ832" s="26">
        <f t="shared" si="481"/>
        <v>-2.5640210252981097</v>
      </c>
      <c r="AK832" s="26">
        <f t="shared" si="482"/>
        <v>7.1490168982799612E-2</v>
      </c>
      <c r="AL832" s="26">
        <f t="shared" si="483"/>
        <v>2.5554221305946218E-3</v>
      </c>
      <c r="AM832" s="27">
        <f t="shared" si="484"/>
        <v>1.072256314742483E-2</v>
      </c>
    </row>
    <row r="833" spans="1:39" ht="15" customHeight="1" x14ac:dyDescent="0.2">
      <c r="A833" s="24">
        <v>822</v>
      </c>
      <c r="B833" s="29">
        <f t="shared" si="485"/>
        <v>5.8057454415224345</v>
      </c>
      <c r="C833" s="29">
        <f t="shared" si="486"/>
        <v>-5.7296625115387956</v>
      </c>
      <c r="D833" s="29">
        <f t="shared" si="487"/>
        <v>-3.4811316584397067</v>
      </c>
      <c r="E833" s="29">
        <f t="shared" si="488"/>
        <v>-4.4825207778319127</v>
      </c>
      <c r="F833" s="29">
        <f t="shared" si="489"/>
        <v>4.1717186319158968</v>
      </c>
      <c r="G833" s="29">
        <f t="shared" si="490"/>
        <v>-2.2989707642850141</v>
      </c>
      <c r="H833" s="29">
        <f t="shared" si="491"/>
        <v>6.4882787062856586</v>
      </c>
      <c r="I833" s="29">
        <f t="shared" si="492"/>
        <v>6.6133677916728377</v>
      </c>
      <c r="J833" s="29">
        <f t="shared" si="493"/>
        <v>-3.2274813521792329</v>
      </c>
      <c r="K833" s="26">
        <f t="shared" si="456"/>
        <v>-3.4811316584397067</v>
      </c>
      <c r="L833" s="26">
        <f t="shared" si="457"/>
        <v>2.9853886552706068E-2</v>
      </c>
      <c r="M833" s="26">
        <f t="shared" si="458"/>
        <v>-2.2989707642850141</v>
      </c>
      <c r="N833" s="26">
        <f t="shared" si="459"/>
        <v>9.1208237750656021E-2</v>
      </c>
      <c r="O833" s="26">
        <f t="shared" si="460"/>
        <v>-2.4305873938840152</v>
      </c>
      <c r="P833" s="26">
        <f t="shared" si="461"/>
        <v>8.0869795552949014E-2</v>
      </c>
      <c r="Q833" s="26">
        <f t="shared" si="462"/>
        <v>3.2699619163878862E-3</v>
      </c>
      <c r="R833" s="26">
        <f t="shared" si="463"/>
        <v>-9.2107941699785023</v>
      </c>
      <c r="S833" s="26">
        <f t="shared" si="464"/>
        <v>9.9944640565224389E-5</v>
      </c>
      <c r="T833" s="26">
        <f t="shared" si="465"/>
        <v>1.8727478676308826</v>
      </c>
      <c r="U833" s="26">
        <f t="shared" si="466"/>
        <v>0.86677590859613607</v>
      </c>
      <c r="V833" s="26">
        <f t="shared" si="467"/>
        <v>2.5054749930115991</v>
      </c>
      <c r="W833" s="26">
        <f t="shared" si="468"/>
        <v>0.9245247471570448</v>
      </c>
      <c r="X833" s="26">
        <f t="shared" si="469"/>
        <v>2.8482568958540086E-3</v>
      </c>
      <c r="Y833" s="26">
        <f t="shared" si="470"/>
        <v>2.3246137830827278</v>
      </c>
      <c r="Z833" s="26">
        <f t="shared" si="471"/>
        <v>0.91089512986835619</v>
      </c>
      <c r="AA833" s="26">
        <f t="shared" si="472"/>
        <v>-6.7814915421169264</v>
      </c>
      <c r="AB833" s="26">
        <f t="shared" si="473"/>
        <v>1.133295543759482E-3</v>
      </c>
      <c r="AC833" s="26">
        <f t="shared" si="474"/>
        <v>2.6901550228524775</v>
      </c>
      <c r="AD833" s="26">
        <f t="shared" si="475"/>
        <v>0.93644320883478915</v>
      </c>
      <c r="AE833" s="26">
        <f t="shared" si="476"/>
        <v>2.0197328516091116E-3</v>
      </c>
      <c r="AF833" s="26">
        <f t="shared" si="477"/>
        <v>-3.4050487284560678</v>
      </c>
      <c r="AG833" s="26">
        <f t="shared" si="478"/>
        <v>3.2138051511863407E-2</v>
      </c>
      <c r="AH833" s="26">
        <f t="shared" si="479"/>
        <v>-2.6097729102010301</v>
      </c>
      <c r="AI833" s="26">
        <f t="shared" si="480"/>
        <v>6.8512094763738179E-2</v>
      </c>
      <c r="AJ833" s="26">
        <f t="shared" si="481"/>
        <v>-2.5658650360427546</v>
      </c>
      <c r="AK833" s="26">
        <f t="shared" si="482"/>
        <v>7.1367861473995986E-2</v>
      </c>
      <c r="AL833" s="26">
        <f t="shared" si="483"/>
        <v>2.5466858256857402E-3</v>
      </c>
      <c r="AM833" s="27">
        <f t="shared" si="484"/>
        <v>1.0684637489536747E-2</v>
      </c>
    </row>
    <row r="834" spans="1:39" ht="15" customHeight="1" x14ac:dyDescent="0.2">
      <c r="A834" s="24">
        <v>823</v>
      </c>
      <c r="B834" s="29">
        <f t="shared" si="485"/>
        <v>5.8067829337051551</v>
      </c>
      <c r="C834" s="29">
        <f t="shared" si="486"/>
        <v>-5.7306136749194678</v>
      </c>
      <c r="D834" s="29">
        <f t="shared" si="487"/>
        <v>-3.4812203320632631</v>
      </c>
      <c r="E834" s="29">
        <f t="shared" si="488"/>
        <v>-4.4844887147060124</v>
      </c>
      <c r="F834" s="29">
        <f t="shared" si="489"/>
        <v>4.1737443565605465</v>
      </c>
      <c r="G834" s="29">
        <f t="shared" si="490"/>
        <v>-2.300211837669413</v>
      </c>
      <c r="H834" s="29">
        <f t="shared" si="491"/>
        <v>6.4913934414776682</v>
      </c>
      <c r="I834" s="29">
        <f t="shared" si="492"/>
        <v>6.6170647031527823</v>
      </c>
      <c r="J834" s="29">
        <f t="shared" si="493"/>
        <v>-3.2291729641195857</v>
      </c>
      <c r="K834" s="26">
        <f t="shared" si="456"/>
        <v>-3.4812203320632631</v>
      </c>
      <c r="L834" s="26">
        <f t="shared" si="457"/>
        <v>2.9851318438243221E-2</v>
      </c>
      <c r="M834" s="26">
        <f t="shared" si="458"/>
        <v>-2.300211837669413</v>
      </c>
      <c r="N834" s="26">
        <f t="shared" si="459"/>
        <v>9.1105418230346721E-2</v>
      </c>
      <c r="O834" s="26">
        <f t="shared" si="460"/>
        <v>-2.4325458641521127</v>
      </c>
      <c r="P834" s="26">
        <f t="shared" si="461"/>
        <v>8.0724342151658038E-2</v>
      </c>
      <c r="Q834" s="26">
        <f t="shared" si="462"/>
        <v>3.2582097079089773E-3</v>
      </c>
      <c r="R834" s="26">
        <f t="shared" si="463"/>
        <v>-9.2118340069827305</v>
      </c>
      <c r="S834" s="26">
        <f t="shared" si="464"/>
        <v>9.9840778814660962E-5</v>
      </c>
      <c r="T834" s="26">
        <f t="shared" si="465"/>
        <v>1.8735325188911336</v>
      </c>
      <c r="U834" s="26">
        <f t="shared" si="466"/>
        <v>0.86686649046675757</v>
      </c>
      <c r="V834" s="26">
        <f t="shared" si="467"/>
        <v>2.5075867980707129</v>
      </c>
      <c r="W834" s="26">
        <f t="shared" si="468"/>
        <v>0.92467197420543823</v>
      </c>
      <c r="X834" s="26">
        <f t="shared" si="469"/>
        <v>2.8371557350530818E-3</v>
      </c>
      <c r="Y834" s="26">
        <f t="shared" si="470"/>
        <v>2.325562601641892</v>
      </c>
      <c r="Z834" s="26">
        <f t="shared" si="471"/>
        <v>0.9109721108911456</v>
      </c>
      <c r="AA834" s="26">
        <f t="shared" si="472"/>
        <v>-6.7847005523754254</v>
      </c>
      <c r="AB834" s="26">
        <f t="shared" si="473"/>
        <v>1.1296687174380717E-3</v>
      </c>
      <c r="AC834" s="26">
        <f t="shared" si="474"/>
        <v>2.6917805128846788</v>
      </c>
      <c r="AD834" s="26">
        <f t="shared" si="475"/>
        <v>0.93653988504738395</v>
      </c>
      <c r="AE834" s="26">
        <f t="shared" si="476"/>
        <v>2.0135930948996217E-3</v>
      </c>
      <c r="AF834" s="26">
        <f t="shared" si="477"/>
        <v>-3.4050510732775758</v>
      </c>
      <c r="AG834" s="26">
        <f t="shared" si="478"/>
        <v>3.2137978575808114E-2</v>
      </c>
      <c r="AH834" s="26">
        <f t="shared" si="479"/>
        <v>-2.6109561958148788</v>
      </c>
      <c r="AI834" s="26">
        <f t="shared" si="480"/>
        <v>6.8436618165560306E-2</v>
      </c>
      <c r="AJ834" s="26">
        <f t="shared" si="481"/>
        <v>-2.5677031703037612</v>
      </c>
      <c r="AK834" s="26">
        <f t="shared" si="482"/>
        <v>7.1246136003375482E-2</v>
      </c>
      <c r="AL834" s="26">
        <f t="shared" si="483"/>
        <v>2.538005947705738E-3</v>
      </c>
      <c r="AM834" s="27">
        <f t="shared" si="484"/>
        <v>1.064696448556742E-2</v>
      </c>
    </row>
    <row r="835" spans="1:39" ht="15" customHeight="1" x14ac:dyDescent="0.2">
      <c r="A835" s="24">
        <v>824</v>
      </c>
      <c r="B835" s="29">
        <f t="shared" si="485"/>
        <v>5.8078166538820826</v>
      </c>
      <c r="C835" s="29">
        <f t="shared" si="486"/>
        <v>-5.7315621788394608</v>
      </c>
      <c r="D835" s="29">
        <f t="shared" si="487"/>
        <v>-3.4813093572751184</v>
      </c>
      <c r="E835" s="29">
        <f t="shared" si="488"/>
        <v>-4.4864493464067463</v>
      </c>
      <c r="F835" s="29">
        <f t="shared" si="489"/>
        <v>4.1757624389526926</v>
      </c>
      <c r="G835" s="29">
        <f t="shared" si="490"/>
        <v>-2.3014478910359504</v>
      </c>
      <c r="H835" s="29">
        <f t="shared" si="491"/>
        <v>6.4944994753152558</v>
      </c>
      <c r="I835" s="29">
        <f t="shared" si="492"/>
        <v>6.6207489136613757</v>
      </c>
      <c r="J835" s="29">
        <f t="shared" si="493"/>
        <v>-3.2308592182458549</v>
      </c>
      <c r="K835" s="26">
        <f t="shared" si="456"/>
        <v>-3.4813093572751184</v>
      </c>
      <c r="L835" s="26">
        <f t="shared" si="457"/>
        <v>2.9848740356676857E-2</v>
      </c>
      <c r="M835" s="26">
        <f t="shared" si="458"/>
        <v>-2.3014478910359504</v>
      </c>
      <c r="N835" s="26">
        <f t="shared" si="459"/>
        <v>9.1003118275173725E-2</v>
      </c>
      <c r="O835" s="26">
        <f t="shared" si="460"/>
        <v>-2.4344977932004417</v>
      </c>
      <c r="P835" s="26">
        <f t="shared" si="461"/>
        <v>8.0579612044195545E-2</v>
      </c>
      <c r="Q835" s="26">
        <f t="shared" si="462"/>
        <v>3.246536938596532E-3</v>
      </c>
      <c r="R835" s="26">
        <f t="shared" si="463"/>
        <v>-9.2128715361145801</v>
      </c>
      <c r="S835" s="26">
        <f t="shared" si="464"/>
        <v>9.9737255143347772E-5</v>
      </c>
      <c r="T835" s="26">
        <f t="shared" si="465"/>
        <v>1.8743145479167422</v>
      </c>
      <c r="U835" s="26">
        <f t="shared" si="466"/>
        <v>0.86695671774667749</v>
      </c>
      <c r="V835" s="26">
        <f t="shared" si="467"/>
        <v>2.50969127251809</v>
      </c>
      <c r="W835" s="26">
        <f t="shared" si="468"/>
        <v>0.92481842772617862</v>
      </c>
      <c r="X835" s="26">
        <f t="shared" si="469"/>
        <v>2.8261344047819143E-3</v>
      </c>
      <c r="Y835" s="26">
        <f t="shared" si="470"/>
        <v>2.3265072966069642</v>
      </c>
      <c r="Z835" s="26">
        <f t="shared" si="471"/>
        <v>0.91104869773045005</v>
      </c>
      <c r="AA835" s="26">
        <f t="shared" si="472"/>
        <v>-6.7878972374426967</v>
      </c>
      <c r="AB835" s="26">
        <f t="shared" si="473"/>
        <v>1.1260673480556534E-3</v>
      </c>
      <c r="AC835" s="26">
        <f t="shared" si="474"/>
        <v>2.6934014803225486</v>
      </c>
      <c r="AD835" s="26">
        <f t="shared" si="475"/>
        <v>0.93663615574578929</v>
      </c>
      <c r="AE835" s="26">
        <f t="shared" si="476"/>
        <v>2.0074883793359359E-3</v>
      </c>
      <c r="AF835" s="26">
        <f t="shared" si="477"/>
        <v>-3.4050548822324966</v>
      </c>
      <c r="AG835" s="26">
        <f t="shared" si="478"/>
        <v>3.213786009798543E-2</v>
      </c>
      <c r="AH835" s="26">
        <f t="shared" si="479"/>
        <v>-2.6121347984900041</v>
      </c>
      <c r="AI835" s="26">
        <f t="shared" si="480"/>
        <v>6.8361516861629765E-2</v>
      </c>
      <c r="AJ835" s="26">
        <f t="shared" si="481"/>
        <v>-2.5695354642038541</v>
      </c>
      <c r="AK835" s="26">
        <f t="shared" si="482"/>
        <v>7.1124988096668049E-2</v>
      </c>
      <c r="AL835" s="26">
        <f t="shared" si="483"/>
        <v>2.5293819658755859E-3</v>
      </c>
      <c r="AM835" s="27">
        <f t="shared" si="484"/>
        <v>1.0609541688589966E-2</v>
      </c>
    </row>
    <row r="836" spans="1:39" ht="15" customHeight="1" x14ac:dyDescent="0.2">
      <c r="A836" s="24">
        <v>825</v>
      </c>
      <c r="B836" s="29">
        <f t="shared" si="485"/>
        <v>5.8088466275250576</v>
      </c>
      <c r="C836" s="29">
        <f t="shared" si="486"/>
        <v>-5.7325080371610033</v>
      </c>
      <c r="D836" s="29">
        <f t="shared" si="487"/>
        <v>-3.4813987287628017</v>
      </c>
      <c r="E836" s="29">
        <f t="shared" si="488"/>
        <v>-4.4884027220407017</v>
      </c>
      <c r="F836" s="29">
        <f t="shared" si="489"/>
        <v>4.1777729317562837</v>
      </c>
      <c r="G836" s="29">
        <f t="shared" si="490"/>
        <v>-2.3026789603334756</v>
      </c>
      <c r="H836" s="29">
        <f t="shared" si="491"/>
        <v>6.4975968538231701</v>
      </c>
      <c r="I836" s="29">
        <f t="shared" si="492"/>
        <v>6.6244205062711696</v>
      </c>
      <c r="J836" s="29">
        <f t="shared" si="493"/>
        <v>-3.2325401474061732</v>
      </c>
      <c r="K836" s="26">
        <f t="shared" si="456"/>
        <v>-3.4813987287628017</v>
      </c>
      <c r="L836" s="26">
        <f t="shared" si="457"/>
        <v>2.9846152464371514E-2</v>
      </c>
      <c r="M836" s="26">
        <f t="shared" si="458"/>
        <v>-2.3026789603334756</v>
      </c>
      <c r="N836" s="26">
        <f t="shared" si="459"/>
        <v>9.0901333575622495E-2</v>
      </c>
      <c r="O836" s="26">
        <f t="shared" si="460"/>
        <v>-2.4364432228691966</v>
      </c>
      <c r="P836" s="26">
        <f t="shared" si="461"/>
        <v>8.0435599447701359E-2</v>
      </c>
      <c r="Q836" s="26">
        <f t="shared" si="462"/>
        <v>3.2349428292555277E-3</v>
      </c>
      <c r="R836" s="26">
        <f t="shared" si="463"/>
        <v>-9.2139067659238059</v>
      </c>
      <c r="S836" s="26">
        <f t="shared" si="464"/>
        <v>9.9634067871533496E-5</v>
      </c>
      <c r="T836" s="26">
        <f t="shared" si="465"/>
        <v>1.8750939714228081</v>
      </c>
      <c r="U836" s="26">
        <f t="shared" si="466"/>
        <v>0.86704659290060182</v>
      </c>
      <c r="V836" s="26">
        <f t="shared" si="467"/>
        <v>2.5117884645030606</v>
      </c>
      <c r="W836" s="26">
        <f t="shared" si="468"/>
        <v>0.92496411417491164</v>
      </c>
      <c r="X836" s="26">
        <f t="shared" si="469"/>
        <v>2.8151920807778477E-3</v>
      </c>
      <c r="Y836" s="26">
        <f t="shared" si="470"/>
        <v>2.327447898762256</v>
      </c>
      <c r="Z836" s="26">
        <f t="shared" si="471"/>
        <v>0.91112489369298855</v>
      </c>
      <c r="AA836" s="26">
        <f t="shared" si="472"/>
        <v>-6.7910816823741769</v>
      </c>
      <c r="AB836" s="26">
        <f t="shared" si="473"/>
        <v>1.1224911708289111E-3</v>
      </c>
      <c r="AC836" s="26">
        <f t="shared" si="474"/>
        <v>2.6950179488235064</v>
      </c>
      <c r="AD836" s="26">
        <f t="shared" si="475"/>
        <v>0.93673202363540808</v>
      </c>
      <c r="AE836" s="26">
        <f t="shared" si="476"/>
        <v>2.0014184166352806E-3</v>
      </c>
      <c r="AF836" s="26">
        <f t="shared" si="477"/>
        <v>-3.4050601383987473</v>
      </c>
      <c r="AG836" s="26">
        <f t="shared" si="478"/>
        <v>3.2137696605241406E-2</v>
      </c>
      <c r="AH836" s="26">
        <f t="shared" si="479"/>
        <v>-2.6133087506178936</v>
      </c>
      <c r="AI836" s="26">
        <f t="shared" si="480"/>
        <v>6.8286787815889538E-2</v>
      </c>
      <c r="AJ836" s="26">
        <f t="shared" si="481"/>
        <v>-2.5713619535398662</v>
      </c>
      <c r="AK836" s="26">
        <f t="shared" si="482"/>
        <v>7.1004413326794677E-2</v>
      </c>
      <c r="AL836" s="26">
        <f t="shared" si="483"/>
        <v>2.5208133559411487E-3</v>
      </c>
      <c r="AM836" s="27">
        <f t="shared" si="484"/>
        <v>1.0572366682609805E-2</v>
      </c>
    </row>
    <row r="837" spans="1:39" ht="15" customHeight="1" x14ac:dyDescent="0.2">
      <c r="A837" s="24">
        <v>826</v>
      </c>
      <c r="B837" s="29">
        <f t="shared" si="485"/>
        <v>5.80987287986044</v>
      </c>
      <c r="C837" s="29">
        <f t="shared" si="486"/>
        <v>-5.7334512636422961</v>
      </c>
      <c r="D837" s="29">
        <f t="shared" si="487"/>
        <v>-3.4814884412839406</v>
      </c>
      <c r="E837" s="29">
        <f t="shared" si="488"/>
        <v>-4.4903488902432409</v>
      </c>
      <c r="F837" s="29">
        <f t="shared" si="489"/>
        <v>4.1797758871145074</v>
      </c>
      <c r="G837" s="29">
        <f t="shared" si="490"/>
        <v>-2.3039050811470791</v>
      </c>
      <c r="H837" s="29">
        <f t="shared" si="491"/>
        <v>6.5006856226766967</v>
      </c>
      <c r="I837" s="29">
        <f t="shared" si="492"/>
        <v>6.6280795632653353</v>
      </c>
      <c r="J837" s="29">
        <f t="shared" si="493"/>
        <v>-3.2342157841528065</v>
      </c>
      <c r="K837" s="26">
        <f t="shared" si="456"/>
        <v>-3.4814884412839406</v>
      </c>
      <c r="L837" s="26">
        <f t="shared" si="457"/>
        <v>2.9843554915619994E-2</v>
      </c>
      <c r="M837" s="26">
        <f t="shared" si="458"/>
        <v>-2.3039050811470791</v>
      </c>
      <c r="N837" s="26">
        <f t="shared" si="459"/>
        <v>9.0800059871151237E-2</v>
      </c>
      <c r="O837" s="26">
        <f t="shared" si="460"/>
        <v>-2.4383821946080269</v>
      </c>
      <c r="P837" s="26">
        <f t="shared" si="461"/>
        <v>8.0292298642492779E-2</v>
      </c>
      <c r="Q837" s="26">
        <f t="shared" si="462"/>
        <v>3.2234266106476238E-3</v>
      </c>
      <c r="R837" s="26">
        <f t="shared" si="463"/>
        <v>-9.2149397049262376</v>
      </c>
      <c r="S837" s="26">
        <f t="shared" si="464"/>
        <v>9.953121532955015E-5</v>
      </c>
      <c r="T837" s="26">
        <f t="shared" si="465"/>
        <v>1.8758708059674283</v>
      </c>
      <c r="U837" s="26">
        <f t="shared" si="466"/>
        <v>0.86713611836867921</v>
      </c>
      <c r="V837" s="26">
        <f t="shared" si="467"/>
        <v>2.5138784217163677</v>
      </c>
      <c r="W837" s="26">
        <f t="shared" si="468"/>
        <v>0.92510903993420357</v>
      </c>
      <c r="X837" s="26">
        <f t="shared" si="469"/>
        <v>2.8043279497883579E-3</v>
      </c>
      <c r="Y837" s="26">
        <f t="shared" si="470"/>
        <v>2.3283844385764993</v>
      </c>
      <c r="Z837" s="26">
        <f t="shared" si="471"/>
        <v>0.91120070204795378</v>
      </c>
      <c r="AA837" s="26">
        <f t="shared" si="472"/>
        <v>-6.7942539713903205</v>
      </c>
      <c r="AB837" s="26">
        <f t="shared" si="473"/>
        <v>1.1189399245804396E-3</v>
      </c>
      <c r="AC837" s="26">
        <f t="shared" si="474"/>
        <v>2.6966299418698725</v>
      </c>
      <c r="AD837" s="26">
        <f t="shared" si="475"/>
        <v>0.93682749139738919</v>
      </c>
      <c r="AE837" s="26">
        <f t="shared" si="476"/>
        <v>1.9953829215734686E-3</v>
      </c>
      <c r="AF837" s="26">
        <f t="shared" si="477"/>
        <v>-3.4050668250657967</v>
      </c>
      <c r="AG837" s="26">
        <f t="shared" si="478"/>
        <v>3.2137488618015797E-2</v>
      </c>
      <c r="AH837" s="26">
        <f t="shared" si="479"/>
        <v>-2.6144780842758126</v>
      </c>
      <c r="AI837" s="26">
        <f t="shared" si="480"/>
        <v>6.8212428025745231E-2</v>
      </c>
      <c r="AJ837" s="26">
        <f t="shared" si="481"/>
        <v>-2.5731826737865857</v>
      </c>
      <c r="AK837" s="26">
        <f t="shared" si="482"/>
        <v>7.0884407313237877E-2</v>
      </c>
      <c r="AL837" s="26">
        <f t="shared" si="483"/>
        <v>2.5122996000745057E-3</v>
      </c>
      <c r="AM837" s="27">
        <f t="shared" si="484"/>
        <v>1.0535437082083956E-2</v>
      </c>
    </row>
    <row r="838" spans="1:39" ht="15" customHeight="1" x14ac:dyDescent="0.2">
      <c r="A838" s="24">
        <v>827</v>
      </c>
      <c r="B838" s="29">
        <f t="shared" si="485"/>
        <v>5.8108954358721361</v>
      </c>
      <c r="C838" s="29">
        <f t="shared" si="486"/>
        <v>-5.7343918719385201</v>
      </c>
      <c r="D838" s="29">
        <f t="shared" si="487"/>
        <v>-3.4815784896652437</v>
      </c>
      <c r="E838" s="29">
        <f t="shared" si="488"/>
        <v>-4.4922878991843325</v>
      </c>
      <c r="F838" s="29">
        <f t="shared" si="489"/>
        <v>4.1817713566564505</v>
      </c>
      <c r="G838" s="29">
        <f t="shared" si="490"/>
        <v>-2.3051262887028137</v>
      </c>
      <c r="H838" s="29">
        <f t="shared" si="491"/>
        <v>6.5037658272050356</v>
      </c>
      <c r="I838" s="29">
        <f t="shared" si="492"/>
        <v>6.6317261661474172</v>
      </c>
      <c r="J838" s="29">
        <f t="shared" si="493"/>
        <v>-3.2358861607456446</v>
      </c>
      <c r="K838" s="26">
        <f t="shared" si="456"/>
        <v>-3.4815784896652437</v>
      </c>
      <c r="L838" s="26">
        <f t="shared" si="457"/>
        <v>2.9840947862673141E-2</v>
      </c>
      <c r="M838" s="26">
        <f t="shared" si="458"/>
        <v>-2.3051262887028137</v>
      </c>
      <c r="N838" s="26">
        <f t="shared" si="459"/>
        <v>9.0699292949489141E-2</v>
      </c>
      <c r="O838" s="26">
        <f t="shared" si="460"/>
        <v>-2.4403147494807866</v>
      </c>
      <c r="P838" s="26">
        <f t="shared" si="461"/>
        <v>8.0149703971194711E-2</v>
      </c>
      <c r="Q838" s="26">
        <f t="shared" si="462"/>
        <v>3.2119875233350727E-3</v>
      </c>
      <c r="R838" s="26">
        <f t="shared" si="463"/>
        <v>-9.2159703616037643</v>
      </c>
      <c r="S838" s="26">
        <f t="shared" si="464"/>
        <v>9.9428695857758009E-5</v>
      </c>
      <c r="T838" s="26">
        <f t="shared" si="465"/>
        <v>1.8766450679536368</v>
      </c>
      <c r="U838" s="26">
        <f t="shared" si="466"/>
        <v>0.86722529656681835</v>
      </c>
      <c r="V838" s="26">
        <f t="shared" si="467"/>
        <v>2.5159611913958417</v>
      </c>
      <c r="W838" s="26">
        <f t="shared" si="468"/>
        <v>0.9252532113145796</v>
      </c>
      <c r="X838" s="26">
        <f t="shared" si="469"/>
        <v>2.7935412093914452E-3</v>
      </c>
      <c r="Y838" s="26">
        <f t="shared" si="470"/>
        <v>2.3293169462068923</v>
      </c>
      <c r="Z838" s="26">
        <f t="shared" si="471"/>
        <v>0.91127612602754282</v>
      </c>
      <c r="AA838" s="26">
        <f t="shared" si="472"/>
        <v>-6.7974141878871457</v>
      </c>
      <c r="AB838" s="26">
        <f t="shared" si="473"/>
        <v>1.1154133516784212E-3</v>
      </c>
      <c r="AC838" s="26">
        <f t="shared" si="474"/>
        <v>2.6982374827704736</v>
      </c>
      <c r="AD838" s="26">
        <f t="shared" si="475"/>
        <v>0.93692256168889509</v>
      </c>
      <c r="AE838" s="26">
        <f t="shared" si="476"/>
        <v>1.9893816119456223E-3</v>
      </c>
      <c r="AF838" s="26">
        <f t="shared" si="477"/>
        <v>-3.4050749257316277</v>
      </c>
      <c r="AG838" s="26">
        <f t="shared" si="478"/>
        <v>3.213723665042971E-2</v>
      </c>
      <c r="AH838" s="26">
        <f t="shared" si="479"/>
        <v>-2.6156428312306956</v>
      </c>
      <c r="AI838" s="26">
        <f t="shared" si="480"/>
        <v>6.8138434521601787E-2</v>
      </c>
      <c r="AJ838" s="26">
        <f t="shared" si="481"/>
        <v>-2.5749976601005495</v>
      </c>
      <c r="AK838" s="26">
        <f t="shared" si="482"/>
        <v>7.0764965721422102E-2</v>
      </c>
      <c r="AL838" s="26">
        <f t="shared" si="483"/>
        <v>2.5038401867770225E-3</v>
      </c>
      <c r="AM838" s="27">
        <f t="shared" si="484"/>
        <v>1.0498750531449164E-2</v>
      </c>
    </row>
    <row r="839" spans="1:39" ht="15" customHeight="1" x14ac:dyDescent="0.2">
      <c r="A839" s="24">
        <v>828</v>
      </c>
      <c r="B839" s="29">
        <f t="shared" si="485"/>
        <v>5.8119143203045827</v>
      </c>
      <c r="C839" s="29">
        <f t="shared" si="486"/>
        <v>-5.7353298756028321</v>
      </c>
      <c r="D839" s="29">
        <f t="shared" si="487"/>
        <v>-3.4816688688015005</v>
      </c>
      <c r="E839" s="29">
        <f t="shared" si="488"/>
        <v>-4.4942197965742947</v>
      </c>
      <c r="F839" s="29">
        <f t="shared" si="489"/>
        <v>4.1837593915036555</v>
      </c>
      <c r="G839" s="29">
        <f t="shared" si="490"/>
        <v>-2.3063426178723407</v>
      </c>
      <c r="H839" s="29">
        <f t="shared" si="491"/>
        <v>6.5068375123946423</v>
      </c>
      <c r="I839" s="29">
        <f t="shared" si="492"/>
        <v>6.6353603956509382</v>
      </c>
      <c r="J839" s="29">
        <f t="shared" si="493"/>
        <v>-3.2375513091556418</v>
      </c>
      <c r="K839" s="26">
        <f t="shared" si="456"/>
        <v>-3.4816688688015005</v>
      </c>
      <c r="L839" s="26">
        <f t="shared" si="457"/>
        <v>2.9838331455769179E-2</v>
      </c>
      <c r="M839" s="26">
        <f t="shared" si="458"/>
        <v>-2.3063426178723407</v>
      </c>
      <c r="N839" s="26">
        <f t="shared" si="459"/>
        <v>9.059902864594685E-2</v>
      </c>
      <c r="O839" s="26">
        <f t="shared" si="460"/>
        <v>-2.4422409281702171</v>
      </c>
      <c r="P839" s="26">
        <f t="shared" si="461"/>
        <v>8.0007809837883748E-2</v>
      </c>
      <c r="Q839" s="26">
        <f t="shared" si="462"/>
        <v>3.2006248175274836E-3</v>
      </c>
      <c r="R839" s="26">
        <f t="shared" si="463"/>
        <v>-9.2169987444043322</v>
      </c>
      <c r="S839" s="26">
        <f t="shared" si="464"/>
        <v>9.9326507806489069E-5</v>
      </c>
      <c r="T839" s="26">
        <f t="shared" si="465"/>
        <v>1.8774167736313148</v>
      </c>
      <c r="U839" s="26">
        <f t="shared" si="466"/>
        <v>0.86731412988699919</v>
      </c>
      <c r="V839" s="26">
        <f t="shared" si="467"/>
        <v>2.5180368203319765</v>
      </c>
      <c r="W839" s="26">
        <f t="shared" si="468"/>
        <v>0.92539663455554255</v>
      </c>
      <c r="X839" s="26">
        <f t="shared" si="469"/>
        <v>2.782831067819634E-3</v>
      </c>
      <c r="Y839" s="26">
        <f t="shared" si="470"/>
        <v>2.3302454515030822</v>
      </c>
      <c r="Z839" s="26">
        <f t="shared" si="471"/>
        <v>0.91135116882747635</v>
      </c>
      <c r="AA839" s="26">
        <f t="shared" si="472"/>
        <v>-6.8005624144466355</v>
      </c>
      <c r="AB839" s="26">
        <f t="shared" si="473"/>
        <v>1.1119111979774738E-3</v>
      </c>
      <c r="AC839" s="26">
        <f t="shared" si="474"/>
        <v>2.6998405946622248</v>
      </c>
      <c r="AD839" s="26">
        <f t="shared" si="475"/>
        <v>0.93701723714336482</v>
      </c>
      <c r="AE839" s="26">
        <f t="shared" si="476"/>
        <v>1.9834142085275717E-3</v>
      </c>
      <c r="AF839" s="26">
        <f t="shared" si="477"/>
        <v>-3.40508442409975</v>
      </c>
      <c r="AG839" s="26">
        <f t="shared" si="478"/>
        <v>3.2136941210371889E-2</v>
      </c>
      <c r="AH839" s="26">
        <f t="shared" si="479"/>
        <v>-2.61680302294298</v>
      </c>
      <c r="AI839" s="26">
        <f t="shared" si="480"/>
        <v>6.8064804366407702E-2</v>
      </c>
      <c r="AJ839" s="26">
        <f t="shared" si="481"/>
        <v>-2.576806947323782</v>
      </c>
      <c r="AK839" s="26">
        <f t="shared" si="482"/>
        <v>7.0646084262104142E-2</v>
      </c>
      <c r="AL839" s="26">
        <f t="shared" si="483"/>
        <v>2.4954346107841593E-3</v>
      </c>
      <c r="AM839" s="27">
        <f t="shared" si="484"/>
        <v>1.0462304704658847E-2</v>
      </c>
    </row>
    <row r="840" spans="1:39" ht="15" customHeight="1" x14ac:dyDescent="0.2">
      <c r="A840" s="24">
        <v>829</v>
      </c>
      <c r="B840" s="29">
        <f t="shared" si="485"/>
        <v>5.8129295576656865</v>
      </c>
      <c r="C840" s="29">
        <f t="shared" si="486"/>
        <v>-5.7362652880873499</v>
      </c>
      <c r="D840" s="29">
        <f t="shared" si="487"/>
        <v>-3.4817595736545957</v>
      </c>
      <c r="E840" s="29">
        <f t="shared" si="488"/>
        <v>-4.4961446296694509</v>
      </c>
      <c r="F840" s="29">
        <f t="shared" si="489"/>
        <v>4.1857400422765778</v>
      </c>
      <c r="G840" s="29">
        <f t="shared" si="490"/>
        <v>-2.3075541031775035</v>
      </c>
      <c r="H840" s="29">
        <f t="shared" si="491"/>
        <v>6.5099007228925307</v>
      </c>
      <c r="I840" s="29">
        <f t="shared" si="492"/>
        <v>6.6389823317488608</v>
      </c>
      <c r="J840" s="29">
        <f t="shared" si="493"/>
        <v>-3.2392112610682062</v>
      </c>
      <c r="K840" s="26">
        <f t="shared" si="456"/>
        <v>-3.4817595736545957</v>
      </c>
      <c r="L840" s="26">
        <f t="shared" si="457"/>
        <v>2.9835705843162634E-2</v>
      </c>
      <c r="M840" s="26">
        <f t="shared" si="458"/>
        <v>-2.3075541031775035</v>
      </c>
      <c r="N840" s="26">
        <f t="shared" si="459"/>
        <v>9.0499262842738695E-2</v>
      </c>
      <c r="O840" s="26">
        <f t="shared" si="460"/>
        <v>-2.4441607709825544</v>
      </c>
      <c r="P840" s="26">
        <f t="shared" si="461"/>
        <v>7.9866610707246807E-2</v>
      </c>
      <c r="Q840" s="26">
        <f t="shared" si="462"/>
        <v>3.189337752931455E-3</v>
      </c>
      <c r="R840" s="26">
        <f t="shared" si="463"/>
        <v>-9.2180248617419451</v>
      </c>
      <c r="S840" s="26">
        <f t="shared" si="464"/>
        <v>9.9224649535991247E-5</v>
      </c>
      <c r="T840" s="26">
        <f t="shared" si="465"/>
        <v>1.8781859390990743</v>
      </c>
      <c r="U840" s="26">
        <f t="shared" si="466"/>
        <v>0.86740262069758278</v>
      </c>
      <c r="V840" s="26">
        <f t="shared" si="467"/>
        <v>2.520105354873448</v>
      </c>
      <c r="W840" s="26">
        <f t="shared" si="468"/>
        <v>0.92553931582657845</v>
      </c>
      <c r="X840" s="26">
        <f t="shared" si="469"/>
        <v>2.7721967437870157E-3</v>
      </c>
      <c r="Y840" s="26">
        <f t="shared" si="470"/>
        <v>2.3311699840110909</v>
      </c>
      <c r="Z840" s="26">
        <f t="shared" si="471"/>
        <v>0.91142583360751261</v>
      </c>
      <c r="AA840" s="26">
        <f t="shared" si="472"/>
        <v>-6.8036987328469545</v>
      </c>
      <c r="AB840" s="26">
        <f t="shared" si="473"/>
        <v>1.1084332127606943E-3</v>
      </c>
      <c r="AC840" s="26">
        <f t="shared" si="474"/>
        <v>2.7014393005117094</v>
      </c>
      <c r="AD840" s="26">
        <f t="shared" si="475"/>
        <v>0.93711152037077539</v>
      </c>
      <c r="AE840" s="26">
        <f t="shared" si="476"/>
        <v>1.9774804350376997E-3</v>
      </c>
      <c r="AF840" s="26">
        <f t="shared" si="477"/>
        <v>-3.405095304076259</v>
      </c>
      <c r="AG840" s="26">
        <f t="shared" si="478"/>
        <v>3.2136602799583747E-2</v>
      </c>
      <c r="AH840" s="26">
        <f t="shared" si="479"/>
        <v>-2.6179586905703767</v>
      </c>
      <c r="AI840" s="26">
        <f t="shared" si="480"/>
        <v>6.7991534655207284E-2</v>
      </c>
      <c r="AJ840" s="26">
        <f t="shared" si="481"/>
        <v>-2.5786105699874744</v>
      </c>
      <c r="AK840" s="26">
        <f t="shared" si="482"/>
        <v>7.0527758690773504E-2</v>
      </c>
      <c r="AL840" s="26">
        <f t="shared" si="483"/>
        <v>2.4870823729719886E-3</v>
      </c>
      <c r="AM840" s="27">
        <f t="shared" si="484"/>
        <v>1.0426097304728158E-2</v>
      </c>
    </row>
    <row r="841" spans="1:39" ht="15" customHeight="1" x14ac:dyDescent="0.2">
      <c r="A841" s="24">
        <v>830</v>
      </c>
      <c r="B841" s="29">
        <f t="shared" si="485"/>
        <v>5.8139411722297174</v>
      </c>
      <c r="C841" s="29">
        <f t="shared" si="486"/>
        <v>-5.7371981227441244</v>
      </c>
      <c r="D841" s="29">
        <f t="shared" si="487"/>
        <v>-3.4818505992525415</v>
      </c>
      <c r="E841" s="29">
        <f t="shared" si="488"/>
        <v>-4.4980624452777027</v>
      </c>
      <c r="F841" s="29">
        <f t="shared" si="489"/>
        <v>4.1877133591009388</v>
      </c>
      <c r="G841" s="29">
        <f t="shared" si="490"/>
        <v>-2.3087607787948285</v>
      </c>
      <c r="H841" s="29">
        <f t="shared" si="491"/>
        <v>6.5129555030095378</v>
      </c>
      <c r="I841" s="29">
        <f t="shared" si="492"/>
        <v>6.6425920536629048</v>
      </c>
      <c r="J841" s="29">
        <f t="shared" si="493"/>
        <v>-3.2408660478865428</v>
      </c>
      <c r="K841" s="26">
        <f t="shared" si="456"/>
        <v>-3.4818505992525415</v>
      </c>
      <c r="L841" s="26">
        <f t="shared" si="457"/>
        <v>2.9833071171152699E-2</v>
      </c>
      <c r="M841" s="26">
        <f t="shared" si="458"/>
        <v>-2.3087607787948285</v>
      </c>
      <c r="N841" s="26">
        <f t="shared" si="459"/>
        <v>9.0399991468316537E-2</v>
      </c>
      <c r="O841" s="26">
        <f t="shared" si="460"/>
        <v>-2.4460743178520747</v>
      </c>
      <c r="P841" s="26">
        <f t="shared" si="461"/>
        <v>7.9726101103753166E-2</v>
      </c>
      <c r="Q841" s="26">
        <f t="shared" si="462"/>
        <v>3.1781255986029358E-3</v>
      </c>
      <c r="R841" s="26">
        <f t="shared" si="463"/>
        <v>-9.2190487219966659</v>
      </c>
      <c r="S841" s="26">
        <f t="shared" si="464"/>
        <v>9.9123119416372508E-5</v>
      </c>
      <c r="T841" s="26">
        <f t="shared" si="465"/>
        <v>1.8789525803061102</v>
      </c>
      <c r="U841" s="26">
        <f t="shared" si="466"/>
        <v>0.86749077134361252</v>
      </c>
      <c r="V841" s="26">
        <f t="shared" si="467"/>
        <v>2.52216684093252</v>
      </c>
      <c r="W841" s="26">
        <f t="shared" si="468"/>
        <v>0.9256812612281391</v>
      </c>
      <c r="X841" s="26">
        <f t="shared" si="469"/>
        <v>2.7616374663200507E-3</v>
      </c>
      <c r="Y841" s="26">
        <f t="shared" si="470"/>
        <v>2.3320905729771759</v>
      </c>
      <c r="Z841" s="26">
        <f t="shared" si="471"/>
        <v>0.91150012349194953</v>
      </c>
      <c r="AA841" s="26">
        <f t="shared" si="472"/>
        <v>-6.8068232240725308</v>
      </c>
      <c r="AB841" s="26">
        <f t="shared" si="473"/>
        <v>1.1049791486828142E-3</v>
      </c>
      <c r="AC841" s="26">
        <f t="shared" si="474"/>
        <v>2.7030336231167271</v>
      </c>
      <c r="AD841" s="26">
        <f t="shared" si="475"/>
        <v>0.93720541395789914</v>
      </c>
      <c r="AE841" s="26">
        <f t="shared" si="476"/>
        <v>1.9715800180994045E-3</v>
      </c>
      <c r="AF841" s="26">
        <f t="shared" si="477"/>
        <v>-3.4051075497669485</v>
      </c>
      <c r="AG841" s="26">
        <f t="shared" si="478"/>
        <v>3.213622191374297E-2</v>
      </c>
      <c r="AH841" s="26">
        <f t="shared" si="479"/>
        <v>-2.6191098649715925</v>
      </c>
      <c r="AI841" s="26">
        <f t="shared" si="480"/>
        <v>6.7918622514699781E-2</v>
      </c>
      <c r="AJ841" s="26">
        <f t="shared" si="481"/>
        <v>-2.5804085623156197</v>
      </c>
      <c r="AK841" s="26">
        <f t="shared" si="482"/>
        <v>7.0409984807061982E-2</v>
      </c>
      <c r="AL841" s="26">
        <f t="shared" si="483"/>
        <v>2.4787829802653495E-3</v>
      </c>
      <c r="AM841" s="27">
        <f t="shared" si="484"/>
        <v>1.0390126063287739E-2</v>
      </c>
    </row>
    <row r="842" spans="1:39" ht="15" customHeight="1" x14ac:dyDescent="0.2">
      <c r="A842" s="24">
        <v>831</v>
      </c>
      <c r="B842" s="29">
        <f t="shared" si="485"/>
        <v>5.8149491880401643</v>
      </c>
      <c r="C842" s="29">
        <f t="shared" si="486"/>
        <v>-5.738128392826102</v>
      </c>
      <c r="D842" s="29">
        <f t="shared" si="487"/>
        <v>-3.4819419406885239</v>
      </c>
      <c r="E842" s="29">
        <f t="shared" si="488"/>
        <v>-4.4999732897640161</v>
      </c>
      <c r="F842" s="29">
        <f t="shared" si="489"/>
        <v>4.189679391613983</v>
      </c>
      <c r="G842" s="29">
        <f t="shared" si="490"/>
        <v>-2.3099626785599572</v>
      </c>
      <c r="H842" s="29">
        <f t="shared" si="491"/>
        <v>6.5160018967235507</v>
      </c>
      <c r="I842" s="29">
        <f t="shared" si="492"/>
        <v>6.6461896398727287</v>
      </c>
      <c r="J842" s="29">
        <f t="shared" si="493"/>
        <v>-3.2425157007349452</v>
      </c>
      <c r="K842" s="26">
        <f t="shared" si="456"/>
        <v>-3.4819419406885239</v>
      </c>
      <c r="L842" s="26">
        <f t="shared" si="457"/>
        <v>2.9830427584111245E-2</v>
      </c>
      <c r="M842" s="26">
        <f t="shared" si="458"/>
        <v>-2.3099626785599572</v>
      </c>
      <c r="N842" s="26">
        <f t="shared" si="459"/>
        <v>9.0301210496715023E-2</v>
      </c>
      <c r="O842" s="26">
        <f t="shared" si="460"/>
        <v>-2.4479816083455681</v>
      </c>
      <c r="P842" s="26">
        <f t="shared" si="461"/>
        <v>7.9586275610840487E-2</v>
      </c>
      <c r="Q842" s="26">
        <f t="shared" si="462"/>
        <v>3.1669876328023318E-3</v>
      </c>
      <c r="R842" s="26">
        <f t="shared" si="463"/>
        <v>-9.2200703335146255</v>
      </c>
      <c r="S842" s="26">
        <f t="shared" si="464"/>
        <v>9.9021915827544809E-5</v>
      </c>
      <c r="T842" s="26">
        <f t="shared" si="465"/>
        <v>1.8797167130540258</v>
      </c>
      <c r="U842" s="26">
        <f t="shared" si="466"/>
        <v>0.86757858414711242</v>
      </c>
      <c r="V842" s="26">
        <f t="shared" si="467"/>
        <v>2.5242213239903939</v>
      </c>
      <c r="W842" s="26">
        <f t="shared" si="468"/>
        <v>0.92582247679261465</v>
      </c>
      <c r="X842" s="26">
        <f t="shared" si="469"/>
        <v>2.7511524745910962E-3</v>
      </c>
      <c r="Y842" s="26">
        <f t="shared" si="470"/>
        <v>2.3330072473516403</v>
      </c>
      <c r="Z842" s="26">
        <f t="shared" si="471"/>
        <v>0.91157404157012123</v>
      </c>
      <c r="AA842" s="26">
        <f t="shared" si="472"/>
        <v>-6.8099359683239733</v>
      </c>
      <c r="AB842" s="26">
        <f t="shared" si="473"/>
        <v>1.1015487617144829E-3</v>
      </c>
      <c r="AC842" s="26">
        <f t="shared" si="474"/>
        <v>2.7046235851078388</v>
      </c>
      <c r="AD842" s="26">
        <f t="shared" si="475"/>
        <v>0.93729892046855801</v>
      </c>
      <c r="AE842" s="26">
        <f t="shared" si="476"/>
        <v>1.9657126872041071E-3</v>
      </c>
      <c r="AF842" s="26">
        <f t="shared" si="477"/>
        <v>-3.4051211454744617</v>
      </c>
      <c r="AG842" s="26">
        <f t="shared" si="478"/>
        <v>3.2135799042546029E-2</v>
      </c>
      <c r="AH842" s="26">
        <f t="shared" si="479"/>
        <v>-2.6202565767099903</v>
      </c>
      <c r="AI842" s="26">
        <f t="shared" si="480"/>
        <v>6.784606510280608E-2</v>
      </c>
      <c r="AJ842" s="26">
        <f t="shared" si="481"/>
        <v>-2.5822009582285879</v>
      </c>
      <c r="AK842" s="26">
        <f t="shared" si="482"/>
        <v>7.0292758454162857E-2</v>
      </c>
      <c r="AL842" s="26">
        <f t="shared" si="483"/>
        <v>2.4705359455476418E-3</v>
      </c>
      <c r="AM842" s="27">
        <f t="shared" si="484"/>
        <v>1.0354388740145177E-2</v>
      </c>
    </row>
    <row r="843" spans="1:39" ht="15" customHeight="1" x14ac:dyDescent="0.2">
      <c r="A843" s="24">
        <v>832</v>
      </c>
      <c r="B843" s="29">
        <f t="shared" si="485"/>
        <v>5.815953628912542</v>
      </c>
      <c r="C843" s="29">
        <f t="shared" si="486"/>
        <v>-5.7390561114880718</v>
      </c>
      <c r="D843" s="29">
        <f t="shared" si="487"/>
        <v>-3.4820335931199655</v>
      </c>
      <c r="E843" s="29">
        <f t="shared" si="488"/>
        <v>-4.5018772090558308</v>
      </c>
      <c r="F843" s="29">
        <f t="shared" si="489"/>
        <v>4.1916381889706393</v>
      </c>
      <c r="G843" s="29">
        <f t="shared" si="490"/>
        <v>-2.3111598359720071</v>
      </c>
      <c r="H843" s="29">
        <f t="shared" si="491"/>
        <v>6.5190399476826979</v>
      </c>
      <c r="I843" s="29">
        <f t="shared" si="492"/>
        <v>6.6497751681249673</v>
      </c>
      <c r="J843" s="29">
        <f t="shared" si="493"/>
        <v>-3.2441602504620435</v>
      </c>
      <c r="K843" s="26">
        <f t="shared" si="456"/>
        <v>-3.4820335931199655</v>
      </c>
      <c r="L843" s="26">
        <f t="shared" si="457"/>
        <v>2.9827775224510342E-2</v>
      </c>
      <c r="M843" s="26">
        <f t="shared" si="458"/>
        <v>-2.3111598359720071</v>
      </c>
      <c r="N843" s="26">
        <f t="shared" si="459"/>
        <v>9.020291594690788E-2</v>
      </c>
      <c r="O843" s="26">
        <f t="shared" si="460"/>
        <v>-2.4498826816667485</v>
      </c>
      <c r="P843" s="26">
        <f t="shared" si="461"/>
        <v>7.9447128870113834E-2</v>
      </c>
      <c r="Q843" s="26">
        <f t="shared" si="462"/>
        <v>3.1559231428522376E-3</v>
      </c>
      <c r="R843" s="26">
        <f t="shared" si="463"/>
        <v>-9.2210897046080369</v>
      </c>
      <c r="S843" s="26">
        <f t="shared" si="464"/>
        <v>9.8921037159167911E-5</v>
      </c>
      <c r="T843" s="26">
        <f t="shared" si="465"/>
        <v>1.8804783529986322</v>
      </c>
      <c r="U843" s="26">
        <f t="shared" si="466"/>
        <v>0.86766606140738112</v>
      </c>
      <c r="V843" s="26">
        <f t="shared" si="467"/>
        <v>2.526268849102459</v>
      </c>
      <c r="W843" s="26">
        <f t="shared" si="468"/>
        <v>0.92596296848528403</v>
      </c>
      <c r="X843" s="26">
        <f t="shared" si="469"/>
        <v>2.7407410177555228E-3</v>
      </c>
      <c r="Y843" s="26">
        <f t="shared" si="470"/>
        <v>2.3339200357925765</v>
      </c>
      <c r="Z843" s="26">
        <f t="shared" si="471"/>
        <v>0.91164759089688341</v>
      </c>
      <c r="AA843" s="26">
        <f t="shared" si="472"/>
        <v>-6.8130370450278379</v>
      </c>
      <c r="AB843" s="26">
        <f t="shared" si="473"/>
        <v>1.098141811087638E-3</v>
      </c>
      <c r="AC843" s="26">
        <f t="shared" si="474"/>
        <v>2.706209208949883</v>
      </c>
      <c r="AD843" s="26">
        <f t="shared" si="475"/>
        <v>0.93739204244387253</v>
      </c>
      <c r="AE843" s="26">
        <f t="shared" si="476"/>
        <v>1.9598781746749294E-3</v>
      </c>
      <c r="AF843" s="26">
        <f t="shared" si="477"/>
        <v>-3.4051360756954954</v>
      </c>
      <c r="AG843" s="26">
        <f t="shared" si="478"/>
        <v>3.2135334669789323E-2</v>
      </c>
      <c r="AH843" s="26">
        <f t="shared" si="479"/>
        <v>-2.6213988560571986</v>
      </c>
      <c r="AI843" s="26">
        <f t="shared" si="480"/>
        <v>6.7773859608242407E-2</v>
      </c>
      <c r="AJ843" s="26">
        <f t="shared" si="481"/>
        <v>-2.5839877913466562</v>
      </c>
      <c r="AK843" s="26">
        <f t="shared" si="482"/>
        <v>7.0176075518259148E-2</v>
      </c>
      <c r="AL843" s="26">
        <f t="shared" si="483"/>
        <v>2.4623407875722053E-3</v>
      </c>
      <c r="AM843" s="27">
        <f t="shared" si="484"/>
        <v>1.0318883122854896E-2</v>
      </c>
    </row>
    <row r="844" spans="1:39" ht="15" customHeight="1" x14ac:dyDescent="0.2">
      <c r="A844" s="24">
        <v>833</v>
      </c>
      <c r="B844" s="29">
        <f t="shared" si="485"/>
        <v>5.8169545184371643</v>
      </c>
      <c r="C844" s="29">
        <f t="shared" si="486"/>
        <v>-5.7399812917876094</v>
      </c>
      <c r="D844" s="29">
        <f t="shared" si="487"/>
        <v>-3.4821255517676026</v>
      </c>
      <c r="E844" s="29">
        <f t="shared" si="488"/>
        <v>-4.5037742486483845</v>
      </c>
      <c r="F844" s="29">
        <f t="shared" si="489"/>
        <v>4.193589799849585</v>
      </c>
      <c r="G844" s="29">
        <f t="shared" si="490"/>
        <v>-2.3123522841978676</v>
      </c>
      <c r="H844" s="29">
        <f t="shared" si="491"/>
        <v>6.5220696992085045</v>
      </c>
      <c r="I844" s="29">
        <f t="shared" si="492"/>
        <v>6.6533487154421431</v>
      </c>
      <c r="J844" s="29">
        <f t="shared" si="493"/>
        <v>-3.2457997276440032</v>
      </c>
      <c r="K844" s="26">
        <f t="shared" ref="K844:K907" si="494">0*B844+0*C844+D844</f>
        <v>-3.4821255517676026</v>
      </c>
      <c r="L844" s="26">
        <f t="shared" ref="L844:L907" si="495">1/(1+EXP(-K844))</f>
        <v>2.9825114232949292E-2</v>
      </c>
      <c r="M844" s="26">
        <f t="shared" ref="M844:M907" si="496">0*E844+0*F844+G844</f>
        <v>-2.3123522841978676</v>
      </c>
      <c r="N844" s="26">
        <f t="shared" ref="N844:N907" si="497">1/(1+EXP(-M844))</f>
        <v>9.0105103882175269E-2</v>
      </c>
      <c r="O844" s="26">
        <f t="shared" ref="O844:O907" si="498">L844*H844+N844*I844+J844</f>
        <v>-2.4517775766606005</v>
      </c>
      <c r="P844" s="26">
        <f t="shared" ref="P844:P907" si="499">1/(1+EXP(-O844))</f>
        <v>7.9308655580557802E-2</v>
      </c>
      <c r="Q844" s="26">
        <f t="shared" ref="Q844:Q907" si="500">0.5*(0-P844)^2</f>
        <v>3.144931424997771E-3</v>
      </c>
      <c r="R844" s="26">
        <f t="shared" ref="R844:R907" si="501">0*B844+1*C844+D844</f>
        <v>-9.2221068435552116</v>
      </c>
      <c r="S844" s="26">
        <f t="shared" ref="S844:S907" si="502">1/(1+EXP(-R844))</f>
        <v>9.8820481810593436E-5</v>
      </c>
      <c r="T844" s="26">
        <f t="shared" ref="T844:T907" si="503">0*E844+1*F844+G844</f>
        <v>1.8812375156517174</v>
      </c>
      <c r="U844" s="26">
        <f t="shared" ref="U844:U907" si="504">1/(1+EXP(-T844))</f>
        <v>0.86775320540127954</v>
      </c>
      <c r="V844" s="26">
        <f t="shared" ref="V844:V907" si="505">S844*H844+U844*I844+J844</f>
        <v>2.5283094609034804</v>
      </c>
      <c r="W844" s="26">
        <f t="shared" ref="W844:W907" si="506">1/(1+EXP(-V844))</f>
        <v>0.92610274220525413</v>
      </c>
      <c r="X844" s="26">
        <f t="shared" ref="X844:X907" si="507">0.5*(1-W844)^2</f>
        <v>2.7304023547915649E-3</v>
      </c>
      <c r="Y844" s="26">
        <f t="shared" ref="Y844:Y907" si="508">1*B844+0*C844+D844</f>
        <v>2.3348289666695616</v>
      </c>
      <c r="Z844" s="26">
        <f t="shared" ref="Z844:Z907" si="509">1/(1+EXP(-Y844))</f>
        <v>0.91172077449309452</v>
      </c>
      <c r="AA844" s="26">
        <f t="shared" ref="AA844:AA907" si="510">1*E844+0*F844+G844</f>
        <v>-6.8161265328462521</v>
      </c>
      <c r="AB844" s="26">
        <f t="shared" ref="AB844:AB907" si="511">1/(1+EXP(-AA844))</f>
        <v>1.094758059241932E-3</v>
      </c>
      <c r="AC844" s="26">
        <f t="shared" ref="AC844:AC907" si="512">Z844*H844+AB844*I844+J844</f>
        <v>2.7077905169434957</v>
      </c>
      <c r="AD844" s="26">
        <f t="shared" ref="AD844:AD907" si="513">1/(1+EXP(-AC844))</f>
        <v>0.93748478240251187</v>
      </c>
      <c r="AE844" s="26">
        <f t="shared" ref="AE844:AE907" si="514">0.5*(1-AD844)^2</f>
        <v>1.9540762156306448E-3</v>
      </c>
      <c r="AF844" s="26">
        <f t="shared" ref="AF844:AF907" si="515">1*B844+1*C844+D844</f>
        <v>-3.4051523251180478</v>
      </c>
      <c r="AG844" s="26">
        <f t="shared" ref="AG844:AG907" si="516">1/(1+EXP(-AF844))</f>
        <v>3.2134829273449073E-2</v>
      </c>
      <c r="AH844" s="26">
        <f t="shared" ref="AH844:AH907" si="517">1*E844+1*F844+G844</f>
        <v>-2.6225367329966671</v>
      </c>
      <c r="AI844" s="26">
        <f t="shared" ref="AI844:AI907" si="518">1/(1+EXP(-AH844))</f>
        <v>6.770200325010102E-2</v>
      </c>
      <c r="AJ844" s="26">
        <f t="shared" ref="AJ844:AJ907" si="519">AG844*H844+AI844*I844+J844</f>
        <v>-2.5857690949934833</v>
      </c>
      <c r="AK844" s="26">
        <f t="shared" ref="AK844:AK907" si="520">1/(1+EXP(-AJ844))</f>
        <v>7.0059931927961117E-2</v>
      </c>
      <c r="AL844" s="26">
        <f t="shared" ref="AL844:AL907" si="521">0.5*(0-AK844)^2</f>
        <v>2.4541970308752728E-3</v>
      </c>
      <c r="AM844" s="27">
        <f t="shared" ref="AM844:AM907" si="522">Q844+X844+AE844+AL844</f>
        <v>1.0283607026295253E-2</v>
      </c>
    </row>
    <row r="845" spans="1:39" ht="15" customHeight="1" x14ac:dyDescent="0.2">
      <c r="A845" s="24">
        <v>834</v>
      </c>
      <c r="B845" s="29">
        <f t="shared" ref="B845:B908" si="523">B844-$C$6*(((((P844)-0)*(P844)*(1-(P844)))*H844*(L844)*(1-(L844))*0)+((((W844)-1)*(W844)*(1-(W844)))*H844*(S844)*(1-(S844))*0)+((((AD844)-1)*(AD844)*(1-(AD844)))*H844*(Z844)*(1-(Z844))*1)+((((AK844)-0)*(AK844)*(1-(AK844)))*H844*(AG844)*(1-(AG844))*1))</f>
        <v>5.8179518799818695</v>
      </c>
      <c r="C845" s="29">
        <f t="shared" ref="C845:C908" si="524">C844-$C$6*(((((P844)-0)*(P844)*(1-(P844)))*H844*(L844)*(1-(L844))*0)+((((W844)-1)*(W844)*(1-(W844)))*H844*(S844)*(1-(S844))*1)+((((AD844)-1)*(AD844)*(1-(AD844)))*H844*(Z844)*(1-(Z844))*0)+((((AK844)-0)*(AK844)*(1-(AK844)))*H844*(AG844)*(1-(AG844))*1))</f>
        <v>-5.7409039466860019</v>
      </c>
      <c r="D845" s="29">
        <f t="shared" ref="D845:D908" si="525">D844-$C$6*(((((P844)-0)*(P844)*(1-(P844)))*H844*(L844)*(1-(L844)))+((((W844)-1)*(W844)*(1-(W844)))*H844*(S844)*(1-(S844)))+((((AD844)-1)*(AD844)*(1-(AD844)))*H844*(Z844)*(1-(Z844)))+((((AK844)-0)*(AK844)*(1-(AK844)))*H844*(AG844)*(1-(AG844))))</f>
        <v>-3.4822178119145772</v>
      </c>
      <c r="E845" s="29">
        <f t="shared" ref="E845:E908" si="526">E844-$C$6*(((((P844)-0)*(P844)*(1-(P844)))*I844*(N844)*(1-(N844))*0)+((((W844)-1)*(W844)*(1-(W844)))*I844*(U844)*(1-(U844))*0)+((((AD844)-1)*(AD844)*(1-(AD844)))*I844*(AB844)*(1-(AB844))*1)+((((AK844)-0)*(AK844)*(1-(AK844)))*I844*(AI844)*(1-(AI844))*1))</f>
        <v>-4.5056644536099606</v>
      </c>
      <c r="F845" s="29">
        <f t="shared" ref="F845:F908" si="527">F844-$C$6*(((((P844)-0)*(P844)*(1-(P844)))*I844*(N844)*(1-(N844))*0)+((((W844)-1)*(W844)*(1-(W844)))*I844*(U844)*(1-(U844))*1)+((((AD844)-1)*(AD844)*(1-(AD844)))*I844*(AB844)*(1-(AB844))*0)+((((AK844)-0)*(AK844)*(1-(AK844)))*I844*(AI844)*(1-(AI844))*1))</f>
        <v>4.1955342724592191</v>
      </c>
      <c r="G845" s="29">
        <f t="shared" ref="G845:G908" si="528">G844-$C$6*(((((P844)-0)*(P844)*(1-(P844)))*I844*(N844)*(1-(N844)))+((((W844)-1)*(W844)*(1-(W844)))*I844*(U844)*(1-(U844)))+((((AD844)-1)*(AD844)*(1-(AD844)))*I844*(AB844)*(1-(AB844)))+((((AK844)-0)*(AK844)*(1-(AK844)))*I844*(AI844)*(1-(AI844))))</f>
        <v>-2.3135400560764272</v>
      </c>
      <c r="H845" s="29">
        <f t="shared" ref="H845:H908" si="529">H844-$C$6*((((P844)-0)*(P844)*(1-(P844))*L844)+(((W844)-1)*(W844)*(1-(W844))*S844)+(((AD844)-1)*(AD844)*(1-(AD844))*Z844)+(((AK844)-0)*(AK844)*(1-(AK844))*AG844))</f>
        <v>6.5250911942990113</v>
      </c>
      <c r="I845" s="29">
        <f t="shared" ref="I845:I908" si="530">I844-$C$6*((((P844)-0)*(P844)*(1-(P844))*N844)+(((W844)-1)*(W844)*(1-(W844))*U844)+(((AD844)-1)*(AD844)*(1-(AD844))*AB844)+(((AK844)-0)*(AK844)*(1-(AK844))*AI844))</f>
        <v>6.6569103581314382</v>
      </c>
      <c r="J845" s="29">
        <f t="shared" ref="J845:J908" si="531">J844-$C$6*((((P844)-0)*(P844)*(1-(P844)))+(((W844)-1)*(W844)*(1-(W844)))+(((AD844)-1)*(AD844)*(1-(AD844)))+(((AK844)-0)*(AK844)*(1-(AK844))))</f>
        <v>-3.247434162587679</v>
      </c>
      <c r="K845" s="26">
        <f t="shared" si="494"/>
        <v>-3.4822178119145772</v>
      </c>
      <c r="L845" s="26">
        <f t="shared" si="495"/>
        <v>2.9822444748181368E-2</v>
      </c>
      <c r="M845" s="26">
        <f t="shared" si="496"/>
        <v>-2.3135400560764272</v>
      </c>
      <c r="N845" s="26">
        <f t="shared" si="497"/>
        <v>9.0007770409481602E-2</v>
      </c>
      <c r="O845" s="26">
        <f t="shared" si="498"/>
        <v>-2.4536663318176575</v>
      </c>
      <c r="P845" s="26">
        <f t="shared" si="499"/>
        <v>7.917085049776168E-2</v>
      </c>
      <c r="Q845" s="26">
        <f t="shared" si="500"/>
        <v>3.1340117842694653E-3</v>
      </c>
      <c r="R845" s="26">
        <f t="shared" si="501"/>
        <v>-9.2231217586005787</v>
      </c>
      <c r="S845" s="26">
        <f t="shared" si="502"/>
        <v>9.8720248190809108E-5</v>
      </c>
      <c r="T845" s="26">
        <f t="shared" si="503"/>
        <v>1.8819942163827919</v>
      </c>
      <c r="U845" s="26">
        <f t="shared" si="504"/>
        <v>0.86784001838351654</v>
      </c>
      <c r="V845" s="26">
        <f t="shared" si="505"/>
        <v>2.5303432036126989</v>
      </c>
      <c r="W845" s="26">
        <f t="shared" si="506"/>
        <v>0.92624180378637944</v>
      </c>
      <c r="X845" s="26">
        <f t="shared" si="507"/>
        <v>2.7201357543434755E-3</v>
      </c>
      <c r="Y845" s="26">
        <f t="shared" si="508"/>
        <v>2.3357340680672922</v>
      </c>
      <c r="Z845" s="26">
        <f t="shared" si="509"/>
        <v>0.91179359534608484</v>
      </c>
      <c r="AA845" s="26">
        <f t="shared" si="510"/>
        <v>-6.8192045096863882</v>
      </c>
      <c r="AB845" s="26">
        <f t="shared" si="511"/>
        <v>1.0913972717722065E-3</v>
      </c>
      <c r="AC845" s="26">
        <f t="shared" si="512"/>
        <v>2.7093675312265915</v>
      </c>
      <c r="AD845" s="26">
        <f t="shared" si="513"/>
        <v>0.93757714284093729</v>
      </c>
      <c r="AE845" s="26">
        <f t="shared" si="514"/>
        <v>1.9483065479503731E-3</v>
      </c>
      <c r="AF845" s="26">
        <f t="shared" si="515"/>
        <v>-3.4051698786187097</v>
      </c>
      <c r="AG845" s="26">
        <f t="shared" si="516"/>
        <v>3.2134283325760085E-2</v>
      </c>
      <c r="AH845" s="26">
        <f t="shared" si="517"/>
        <v>-2.6236702372271687</v>
      </c>
      <c r="AI845" s="26">
        <f t="shared" si="518"/>
        <v>6.7630493277437739E-2</v>
      </c>
      <c r="AJ845" s="26">
        <f t="shared" si="519"/>
        <v>-2.5875449021995385</v>
      </c>
      <c r="AK845" s="26">
        <f t="shared" si="520"/>
        <v>6.9944323653752388E-2</v>
      </c>
      <c r="AL845" s="26">
        <f t="shared" si="521"/>
        <v>2.4461042056904327E-3</v>
      </c>
      <c r="AM845" s="27">
        <f t="shared" si="522"/>
        <v>1.0248558292253747E-2</v>
      </c>
    </row>
    <row r="846" spans="1:39" ht="15" customHeight="1" x14ac:dyDescent="0.2">
      <c r="A846" s="24">
        <v>835</v>
      </c>
      <c r="B846" s="29">
        <f t="shared" si="523"/>
        <v>5.8189457366947117</v>
      </c>
      <c r="C846" s="29">
        <f t="shared" si="524"/>
        <v>-5.7418240890491656</v>
      </c>
      <c r="D846" s="29">
        <f t="shared" si="525"/>
        <v>-3.4823103689055439</v>
      </c>
      <c r="E846" s="29">
        <f t="shared" si="526"/>
        <v>-4.507547868587058</v>
      </c>
      <c r="F846" s="29">
        <f t="shared" si="527"/>
        <v>4.1974716545435422</v>
      </c>
      <c r="G846" s="29">
        <f t="shared" si="528"/>
        <v>-2.3147231841227356</v>
      </c>
      <c r="H846" s="29">
        <f t="shared" si="529"/>
        <v>6.5281044756318591</v>
      </c>
      <c r="I846" s="29">
        <f t="shared" si="530"/>
        <v>6.6604601717933383</v>
      </c>
      <c r="J846" s="29">
        <f t="shared" si="531"/>
        <v>-3.2490635853337251</v>
      </c>
      <c r="K846" s="26">
        <f t="shared" si="494"/>
        <v>-3.4823103689055439</v>
      </c>
      <c r="L846" s="26">
        <f t="shared" si="495"/>
        <v>2.9819766907140017E-2</v>
      </c>
      <c r="M846" s="26">
        <f t="shared" si="496"/>
        <v>-2.3147231841227356</v>
      </c>
      <c r="N846" s="26">
        <f t="shared" si="497"/>
        <v>8.9910911678864239E-2</v>
      </c>
      <c r="O846" s="26">
        <f t="shared" si="498"/>
        <v>-2.455548985278222</v>
      </c>
      <c r="P846" s="26">
        <f t="shared" si="499"/>
        <v>7.9033708433157032E-2</v>
      </c>
      <c r="Q846" s="26">
        <f t="shared" si="500"/>
        <v>3.1231635343486387E-3</v>
      </c>
      <c r="R846" s="26">
        <f t="shared" si="501"/>
        <v>-9.22413445795471</v>
      </c>
      <c r="S846" s="26">
        <f t="shared" si="502"/>
        <v>9.8620334718382623E-5</v>
      </c>
      <c r="T846" s="26">
        <f t="shared" si="503"/>
        <v>1.8827484704208066</v>
      </c>
      <c r="U846" s="26">
        <f t="shared" si="504"/>
        <v>0.86792650258692761</v>
      </c>
      <c r="V846" s="26">
        <f t="shared" si="505"/>
        <v>2.5323701210388574</v>
      </c>
      <c r="W846" s="26">
        <f t="shared" si="506"/>
        <v>0.92638015899816928</v>
      </c>
      <c r="X846" s="26">
        <f t="shared" si="507"/>
        <v>2.7099404945674179E-3</v>
      </c>
      <c r="Y846" s="26">
        <f t="shared" si="508"/>
        <v>2.3366353677891678</v>
      </c>
      <c r="Z846" s="26">
        <f t="shared" si="509"/>
        <v>0.91186605641012097</v>
      </c>
      <c r="AA846" s="26">
        <f t="shared" si="510"/>
        <v>-6.8222710527097936</v>
      </c>
      <c r="AB846" s="26">
        <f t="shared" si="511"/>
        <v>1.0880592173769807E-3</v>
      </c>
      <c r="AC846" s="26">
        <f t="shared" si="512"/>
        <v>2.7109402737758508</v>
      </c>
      <c r="AD846" s="26">
        <f t="shared" si="513"/>
        <v>0.93766912623364296</v>
      </c>
      <c r="AE846" s="26">
        <f t="shared" si="514"/>
        <v>1.9425689122387682E-3</v>
      </c>
      <c r="AF846" s="26">
        <f t="shared" si="515"/>
        <v>-3.4051887212599978</v>
      </c>
      <c r="AG846" s="26">
        <f t="shared" si="516"/>
        <v>3.2133697293293316E-2</v>
      </c>
      <c r="AH846" s="26">
        <f t="shared" si="517"/>
        <v>-2.6247993981662514</v>
      </c>
      <c r="AI846" s="26">
        <f t="shared" si="518"/>
        <v>6.755932696886624E-2</v>
      </c>
      <c r="AJ846" s="26">
        <f t="shared" si="519"/>
        <v>-2.5893152457054804</v>
      </c>
      <c r="AK846" s="26">
        <f t="shared" si="520"/>
        <v>6.9829246707444906E-2</v>
      </c>
      <c r="AL846" s="26">
        <f t="shared" si="521"/>
        <v>2.4380618478646028E-3</v>
      </c>
      <c r="AM846" s="27">
        <f t="shared" si="522"/>
        <v>1.0213734789019428E-2</v>
      </c>
    </row>
    <row r="847" spans="1:39" ht="15" customHeight="1" x14ac:dyDescent="0.2">
      <c r="A847" s="24">
        <v>836</v>
      </c>
      <c r="B847" s="29">
        <f t="shared" si="523"/>
        <v>5.8199361115066095</v>
      </c>
      <c r="C847" s="29">
        <f t="shared" si="524"/>
        <v>-5.7427417316485538</v>
      </c>
      <c r="D847" s="29">
        <f t="shared" si="525"/>
        <v>-3.48240321814579</v>
      </c>
      <c r="E847" s="29">
        <f t="shared" si="526"/>
        <v>-4.5094245378094842</v>
      </c>
      <c r="F847" s="29">
        <f t="shared" si="527"/>
        <v>4.1994019933879478</v>
      </c>
      <c r="G847" s="29">
        <f t="shared" si="528"/>
        <v>-2.3159017005321023</v>
      </c>
      <c r="H847" s="29">
        <f t="shared" si="529"/>
        <v>6.5311095855673358</v>
      </c>
      <c r="I847" s="29">
        <f t="shared" si="530"/>
        <v>6.6639982313301518</v>
      </c>
      <c r="J847" s="29">
        <f t="shared" si="531"/>
        <v>-3.25068802565966</v>
      </c>
      <c r="K847" s="26">
        <f t="shared" si="494"/>
        <v>-3.48240321814579</v>
      </c>
      <c r="L847" s="26">
        <f t="shared" si="495"/>
        <v>2.9817080844964688E-2</v>
      </c>
      <c r="M847" s="26">
        <f t="shared" si="496"/>
        <v>-2.3159017005321023</v>
      </c>
      <c r="N847" s="26">
        <f t="shared" si="497"/>
        <v>8.9814523882832051E-2</v>
      </c>
      <c r="O847" s="26">
        <f t="shared" si="498"/>
        <v>-2.4574255748365226</v>
      </c>
      <c r="P847" s="26">
        <f t="shared" si="499"/>
        <v>7.8897224253267575E-2</v>
      </c>
      <c r="Q847" s="26">
        <f t="shared" si="500"/>
        <v>3.1123859974351966E-3</v>
      </c>
      <c r="R847" s="26">
        <f t="shared" si="501"/>
        <v>-9.2251449497943447</v>
      </c>
      <c r="S847" s="26">
        <f t="shared" si="502"/>
        <v>9.852073982140623E-5</v>
      </c>
      <c r="T847" s="26">
        <f t="shared" si="503"/>
        <v>1.8835002928558455</v>
      </c>
      <c r="U847" s="26">
        <f t="shared" si="504"/>
        <v>0.86801266022275136</v>
      </c>
      <c r="V847" s="26">
        <f t="shared" si="505"/>
        <v>2.5343902565851599</v>
      </c>
      <c r="W847" s="26">
        <f t="shared" si="506"/>
        <v>0.92651781354667839</v>
      </c>
      <c r="X847" s="26">
        <f t="shared" si="507"/>
        <v>2.6998158629803607E-3</v>
      </c>
      <c r="Y847" s="26">
        <f t="shared" si="508"/>
        <v>2.3375328933608195</v>
      </c>
      <c r="Z847" s="26">
        <f t="shared" si="509"/>
        <v>0.91193816060686117</v>
      </c>
      <c r="AA847" s="26">
        <f t="shared" si="510"/>
        <v>-6.8253262383415869</v>
      </c>
      <c r="AB847" s="26">
        <f t="shared" si="511"/>
        <v>1.0847436678079287E-3</v>
      </c>
      <c r="AC847" s="26">
        <f t="shared" si="512"/>
        <v>2.7125087664081735</v>
      </c>
      <c r="AD847" s="26">
        <f t="shared" si="513"/>
        <v>0.93776073503339519</v>
      </c>
      <c r="AE847" s="26">
        <f t="shared" si="514"/>
        <v>1.9368630517916205E-3</v>
      </c>
      <c r="AF847" s="26">
        <f t="shared" si="515"/>
        <v>-3.4052088382877344</v>
      </c>
      <c r="AG847" s="26">
        <f t="shared" si="516"/>
        <v>3.2133071637032225E-2</v>
      </c>
      <c r="AH847" s="26">
        <f t="shared" si="517"/>
        <v>-2.6259242449536386</v>
      </c>
      <c r="AI847" s="26">
        <f t="shared" si="518"/>
        <v>6.7488501632158776E-2</v>
      </c>
      <c r="AJ847" s="26">
        <f t="shared" si="519"/>
        <v>-2.5910801579654885</v>
      </c>
      <c r="AK847" s="26">
        <f t="shared" si="520"/>
        <v>6.9714697141642468E-2</v>
      </c>
      <c r="AL847" s="26">
        <f t="shared" si="521"/>
        <v>2.4300694987754662E-3</v>
      </c>
      <c r="AM847" s="27">
        <f t="shared" si="522"/>
        <v>1.0179134410982643E-2</v>
      </c>
    </row>
    <row r="848" spans="1:39" ht="15" customHeight="1" x14ac:dyDescent="0.2">
      <c r="A848" s="24">
        <v>837</v>
      </c>
      <c r="B848" s="29">
        <f t="shared" si="523"/>
        <v>5.820923027133956</v>
      </c>
      <c r="C848" s="29">
        <f t="shared" si="524"/>
        <v>-5.7436568871620528</v>
      </c>
      <c r="D848" s="29">
        <f t="shared" si="525"/>
        <v>-3.482496355100372</v>
      </c>
      <c r="E848" s="29">
        <f t="shared" si="526"/>
        <v>-4.5112945050953757</v>
      </c>
      <c r="F848" s="29">
        <f t="shared" si="527"/>
        <v>4.201325335824925</v>
      </c>
      <c r="G848" s="29">
        <f t="shared" si="528"/>
        <v>-2.3170756371841321</v>
      </c>
      <c r="H848" s="29">
        <f t="shared" si="529"/>
        <v>6.534106566151392</v>
      </c>
      <c r="I848" s="29">
        <f t="shared" si="530"/>
        <v>6.6675246109543993</v>
      </c>
      <c r="J848" s="29">
        <f t="shared" si="531"/>
        <v>-3.2523075130828873</v>
      </c>
      <c r="K848" s="26">
        <f t="shared" si="494"/>
        <v>-3.482496355100372</v>
      </c>
      <c r="L848" s="26">
        <f t="shared" si="495"/>
        <v>2.9814386695026274E-2</v>
      </c>
      <c r="M848" s="26">
        <f t="shared" si="496"/>
        <v>-2.3170756371841321</v>
      </c>
      <c r="N848" s="26">
        <f t="shared" si="497"/>
        <v>8.9718603255774423E-2</v>
      </c>
      <c r="O848" s="26">
        <f t="shared" si="498"/>
        <v>-2.4592961379448099</v>
      </c>
      <c r="P848" s="26">
        <f t="shared" si="499"/>
        <v>7.8761392878971243E-2</v>
      </c>
      <c r="Q848" s="26">
        <f t="shared" si="500"/>
        <v>3.1016785041178309E-3</v>
      </c>
      <c r="R848" s="26">
        <f t="shared" si="501"/>
        <v>-9.2261532422624253</v>
      </c>
      <c r="S848" s="26">
        <f t="shared" si="502"/>
        <v>9.8421461937440473E-5</v>
      </c>
      <c r="T848" s="26">
        <f t="shared" si="503"/>
        <v>1.8842496986407928</v>
      </c>
      <c r="U848" s="26">
        <f t="shared" si="504"/>
        <v>0.86809849348089985</v>
      </c>
      <c r="V848" s="26">
        <f t="shared" si="505"/>
        <v>2.536403653254145</v>
      </c>
      <c r="W848" s="26">
        <f t="shared" si="506"/>
        <v>0.92665477307538269</v>
      </c>
      <c r="X848" s="26">
        <f t="shared" si="507"/>
        <v>2.6897611563118044E-3</v>
      </c>
      <c r="Y848" s="26">
        <f t="shared" si="508"/>
        <v>2.338426672033584</v>
      </c>
      <c r="Z848" s="26">
        <f t="shared" si="509"/>
        <v>0.91200991082580407</v>
      </c>
      <c r="AA848" s="26">
        <f t="shared" si="510"/>
        <v>-6.8283701422795078</v>
      </c>
      <c r="AB848" s="26">
        <f t="shared" si="511"/>
        <v>1.0814503978203384E-3</v>
      </c>
      <c r="AC848" s="26">
        <f t="shared" si="512"/>
        <v>2.7140730307821377</v>
      </c>
      <c r="AD848" s="26">
        <f t="shared" si="513"/>
        <v>0.93785197167146772</v>
      </c>
      <c r="AE848" s="26">
        <f t="shared" si="514"/>
        <v>1.9311887125620254E-3</v>
      </c>
      <c r="AF848" s="26">
        <f t="shared" si="515"/>
        <v>-3.4052302151284688</v>
      </c>
      <c r="AG848" s="26">
        <f t="shared" si="516"/>
        <v>3.2132406812447944E-2</v>
      </c>
      <c r="AH848" s="26">
        <f t="shared" si="517"/>
        <v>-2.6270448064545828</v>
      </c>
      <c r="AI848" s="26">
        <f t="shared" si="518"/>
        <v>6.7418014603853438E-2</v>
      </c>
      <c r="AJ848" s="26">
        <f t="shared" si="519"/>
        <v>-2.5928396711505477</v>
      </c>
      <c r="AK848" s="26">
        <f t="shared" si="520"/>
        <v>6.9600671049212456E-2</v>
      </c>
      <c r="AL848" s="26">
        <f t="shared" si="521"/>
        <v>2.4221267052503405E-3</v>
      </c>
      <c r="AM848" s="27">
        <f t="shared" si="522"/>
        <v>1.0144755078242002E-2</v>
      </c>
    </row>
    <row r="849" spans="1:39" ht="15" customHeight="1" x14ac:dyDescent="0.2">
      <c r="A849" s="24">
        <v>838</v>
      </c>
      <c r="B849" s="29">
        <f t="shared" si="523"/>
        <v>5.8219065060811941</v>
      </c>
      <c r="C849" s="29">
        <f t="shared" si="524"/>
        <v>-5.7445695681748683</v>
      </c>
      <c r="D849" s="29">
        <f t="shared" si="525"/>
        <v>-3.4825897752932633</v>
      </c>
      <c r="E849" s="29">
        <f t="shared" si="526"/>
        <v>-4.5131578138561395</v>
      </c>
      <c r="F849" s="29">
        <f t="shared" si="527"/>
        <v>4.2032417282396759</v>
      </c>
      <c r="G849" s="29">
        <f t="shared" si="528"/>
        <v>-2.3182450256466982</v>
      </c>
      <c r="H849" s="29">
        <f t="shared" si="529"/>
        <v>6.5370954591186212</v>
      </c>
      <c r="I849" s="29">
        <f t="shared" si="530"/>
        <v>6.6710393841970799</v>
      </c>
      <c r="J849" s="29">
        <f t="shared" si="531"/>
        <v>-3.2539220768636761</v>
      </c>
      <c r="K849" s="26">
        <f t="shared" si="494"/>
        <v>-3.4825897752932633</v>
      </c>
      <c r="L849" s="26">
        <f t="shared" si="495"/>
        <v>2.98116845889521E-2</v>
      </c>
      <c r="M849" s="26">
        <f t="shared" si="496"/>
        <v>-2.3182450256466982</v>
      </c>
      <c r="N849" s="26">
        <f t="shared" si="497"/>
        <v>8.9623146073379886E-2</v>
      </c>
      <c r="O849" s="26">
        <f t="shared" si="498"/>
        <v>-2.4611607117173957</v>
      </c>
      <c r="P849" s="26">
        <f t="shared" si="499"/>
        <v>7.8626209284774096E-2</v>
      </c>
      <c r="Q849" s="26">
        <f t="shared" si="500"/>
        <v>3.0910403932465479E-3</v>
      </c>
      <c r="R849" s="26">
        <f t="shared" si="501"/>
        <v>-9.2271593434681307</v>
      </c>
      <c r="S849" s="26">
        <f t="shared" si="502"/>
        <v>9.8322499513458548E-5</v>
      </c>
      <c r="T849" s="26">
        <f t="shared" si="503"/>
        <v>1.8849967025929777</v>
      </c>
      <c r="U849" s="26">
        <f t="shared" si="504"/>
        <v>0.86818400453022659</v>
      </c>
      <c r="V849" s="26">
        <f t="shared" si="505"/>
        <v>2.5384103536524996</v>
      </c>
      <c r="W849" s="26">
        <f t="shared" si="506"/>
        <v>0.92679104316604144</v>
      </c>
      <c r="X849" s="26">
        <f t="shared" si="507"/>
        <v>2.6797756803582039E-3</v>
      </c>
      <c r="Y849" s="26">
        <f t="shared" si="508"/>
        <v>2.3393167307879308</v>
      </c>
      <c r="Z849" s="26">
        <f t="shared" si="509"/>
        <v>0.91208130992472913</v>
      </c>
      <c r="AA849" s="26">
        <f t="shared" si="510"/>
        <v>-6.8314028395028377</v>
      </c>
      <c r="AB849" s="26">
        <f t="shared" si="511"/>
        <v>1.0781791851245102E-3</v>
      </c>
      <c r="AC849" s="26">
        <f t="shared" si="512"/>
        <v>2.7156330883994211</v>
      </c>
      <c r="AD849" s="26">
        <f t="shared" si="513"/>
        <v>0.93794283855787364</v>
      </c>
      <c r="AE849" s="26">
        <f t="shared" si="514"/>
        <v>1.9255456431270675E-3</v>
      </c>
      <c r="AF849" s="26">
        <f t="shared" si="515"/>
        <v>-3.4052528373869375</v>
      </c>
      <c r="AG849" s="26">
        <f t="shared" si="516"/>
        <v>3.2131703269573403E-2</v>
      </c>
      <c r="AH849" s="26">
        <f t="shared" si="517"/>
        <v>-2.6281611112631618</v>
      </c>
      <c r="AI849" s="26">
        <f t="shared" si="518"/>
        <v>6.7347863248868031E-2</v>
      </c>
      <c r="AJ849" s="26">
        <f t="shared" si="519"/>
        <v>-2.5945938171516829</v>
      </c>
      <c r="AK849" s="26">
        <f t="shared" si="520"/>
        <v>6.9487164562766254E-2</v>
      </c>
      <c r="AL849" s="26">
        <f t="shared" si="521"/>
        <v>2.4142330194864793E-3</v>
      </c>
      <c r="AM849" s="27">
        <f t="shared" si="522"/>
        <v>1.0110594736218299E-2</v>
      </c>
    </row>
    <row r="850" spans="1:39" ht="15" customHeight="1" x14ac:dyDescent="0.2">
      <c r="A850" s="24">
        <v>839</v>
      </c>
      <c r="B850" s="29">
        <f t="shared" si="523"/>
        <v>5.8228865706433517</v>
      </c>
      <c r="C850" s="29">
        <f t="shared" si="524"/>
        <v>-5.7454797871803986</v>
      </c>
      <c r="D850" s="29">
        <f t="shared" si="525"/>
        <v>-3.4826834743065169</v>
      </c>
      <c r="E850" s="29">
        <f t="shared" si="526"/>
        <v>-4.5150145071013288</v>
      </c>
      <c r="F850" s="29">
        <f t="shared" si="527"/>
        <v>4.2051512165756453</v>
      </c>
      <c r="G850" s="29">
        <f t="shared" si="528"/>
        <v>-2.3194098971798551</v>
      </c>
      <c r="H850" s="29">
        <f t="shared" si="529"/>
        <v>6.5400763058952069</v>
      </c>
      <c r="I850" s="29">
        <f t="shared" si="530"/>
        <v>6.6745426239158201</v>
      </c>
      <c r="J850" s="29">
        <f t="shared" si="531"/>
        <v>-3.255531746008097</v>
      </c>
      <c r="K850" s="26">
        <f t="shared" si="494"/>
        <v>-3.4826834743065169</v>
      </c>
      <c r="L850" s="26">
        <f t="shared" si="495"/>
        <v>2.98089746566506E-2</v>
      </c>
      <c r="M850" s="26">
        <f t="shared" si="496"/>
        <v>-2.3194098971798551</v>
      </c>
      <c r="N850" s="26">
        <f t="shared" si="497"/>
        <v>8.9528148652064599E-2</v>
      </c>
      <c r="O850" s="26">
        <f t="shared" si="498"/>
        <v>-2.4630193329346288</v>
      </c>
      <c r="P850" s="26">
        <f t="shared" si="499"/>
        <v>7.8491668498095954E-2</v>
      </c>
      <c r="Q850" s="26">
        <f t="shared" si="500"/>
        <v>3.0804710118074942E-3</v>
      </c>
      <c r="R850" s="26">
        <f t="shared" si="501"/>
        <v>-9.228163261486916</v>
      </c>
      <c r="S850" s="26">
        <f t="shared" si="502"/>
        <v>9.8223851005790669E-5</v>
      </c>
      <c r="T850" s="26">
        <f t="shared" si="503"/>
        <v>1.8857413193957901</v>
      </c>
      <c r="U850" s="26">
        <f t="shared" si="504"/>
        <v>0.86826919551878945</v>
      </c>
      <c r="V850" s="26">
        <f t="shared" si="505"/>
        <v>2.5404103999957983</v>
      </c>
      <c r="W850" s="26">
        <f t="shared" si="506"/>
        <v>0.92692662933954506</v>
      </c>
      <c r="X850" s="26">
        <f t="shared" si="507"/>
        <v>2.6698587498401182E-3</v>
      </c>
      <c r="Y850" s="26">
        <f t="shared" si="508"/>
        <v>2.3402030963368348</v>
      </c>
      <c r="Z850" s="26">
        <f t="shared" si="509"/>
        <v>0.91215236073013073</v>
      </c>
      <c r="AA850" s="26">
        <f t="shared" si="510"/>
        <v>-6.8344244042811839</v>
      </c>
      <c r="AB850" s="26">
        <f t="shared" si="511"/>
        <v>1.0749298103380938E-3</v>
      </c>
      <c r="AC850" s="26">
        <f t="shared" si="512"/>
        <v>2.7171889606062281</v>
      </c>
      <c r="AD850" s="26">
        <f t="shared" si="513"/>
        <v>0.93803333808159517</v>
      </c>
      <c r="AE850" s="26">
        <f t="shared" si="514"/>
        <v>1.9199335946549418E-3</v>
      </c>
      <c r="AF850" s="26">
        <f t="shared" si="515"/>
        <v>-3.4052766908435639</v>
      </c>
      <c r="AG850" s="26">
        <f t="shared" si="516"/>
        <v>3.2130961453076388E-2</v>
      </c>
      <c r="AH850" s="26">
        <f t="shared" si="517"/>
        <v>-2.6292731877055386</v>
      </c>
      <c r="AI850" s="26">
        <f t="shared" si="518"/>
        <v>6.7278044960119604E-2</v>
      </c>
      <c r="AJ850" s="26">
        <f t="shared" si="519"/>
        <v>-2.5963426275831569</v>
      </c>
      <c r="AK850" s="26">
        <f t="shared" si="520"/>
        <v>6.9374173854147084E-2</v>
      </c>
      <c r="AL850" s="26">
        <f t="shared" si="521"/>
        <v>2.4063879989727126E-3</v>
      </c>
      <c r="AM850" s="27">
        <f t="shared" si="522"/>
        <v>1.0076651355275267E-2</v>
      </c>
    </row>
    <row r="851" spans="1:39" ht="15" customHeight="1" x14ac:dyDescent="0.2">
      <c r="A851" s="24">
        <v>840</v>
      </c>
      <c r="B851" s="29">
        <f t="shared" si="523"/>
        <v>5.8238632429085397</v>
      </c>
      <c r="C851" s="29">
        <f t="shared" si="524"/>
        <v>-5.7463875565811051</v>
      </c>
      <c r="D851" s="29">
        <f t="shared" si="525"/>
        <v>-3.4827774477794402</v>
      </c>
      <c r="E851" s="29">
        <f t="shared" si="526"/>
        <v>-4.5168646274434421</v>
      </c>
      <c r="F851" s="29">
        <f t="shared" si="527"/>
        <v>4.207053846339968</v>
      </c>
      <c r="G851" s="29">
        <f t="shared" si="528"/>
        <v>-2.3205702827396917</v>
      </c>
      <c r="H851" s="29">
        <f t="shared" si="529"/>
        <v>6.5430491476018373</v>
      </c>
      <c r="I851" s="29">
        <f t="shared" si="530"/>
        <v>6.6780344023028997</v>
      </c>
      <c r="J851" s="29">
        <f t="shared" si="531"/>
        <v>-3.257136549270919</v>
      </c>
      <c r="K851" s="26">
        <f t="shared" si="494"/>
        <v>-3.4827774477794402</v>
      </c>
      <c r="L851" s="26">
        <f t="shared" si="495"/>
        <v>2.9806257026335534E-2</v>
      </c>
      <c r="M851" s="26">
        <f t="shared" si="496"/>
        <v>-2.3205702827396917</v>
      </c>
      <c r="N851" s="26">
        <f t="shared" si="497"/>
        <v>8.9433607348410243E-2</v>
      </c>
      <c r="O851" s="26">
        <f t="shared" si="498"/>
        <v>-2.4648720380468201</v>
      </c>
      <c r="P851" s="26">
        <f t="shared" si="499"/>
        <v>7.8357765598567261E-2</v>
      </c>
      <c r="Q851" s="26">
        <f t="shared" si="500"/>
        <v>3.0699697148000053E-3</v>
      </c>
      <c r="R851" s="26">
        <f t="shared" si="501"/>
        <v>-9.2291650043605458</v>
      </c>
      <c r="S851" s="26">
        <f t="shared" si="502"/>
        <v>9.812551488006923E-5</v>
      </c>
      <c r="T851" s="26">
        <f t="shared" si="503"/>
        <v>1.8864835636002764</v>
      </c>
      <c r="U851" s="26">
        <f t="shared" si="504"/>
        <v>0.86835406857410902</v>
      </c>
      <c r="V851" s="26">
        <f t="shared" si="505"/>
        <v>2.5424038341131667</v>
      </c>
      <c r="W851" s="26">
        <f t="shared" si="506"/>
        <v>0.92706153705674799</v>
      </c>
      <c r="X851" s="26">
        <f t="shared" si="507"/>
        <v>2.6600096882620737E-3</v>
      </c>
      <c r="Y851" s="26">
        <f t="shared" si="508"/>
        <v>2.3410857951290995</v>
      </c>
      <c r="Z851" s="26">
        <f t="shared" si="509"/>
        <v>0.91222306603764514</v>
      </c>
      <c r="AA851" s="26">
        <f t="shared" si="510"/>
        <v>-6.8374349101831342</v>
      </c>
      <c r="AB851" s="26">
        <f t="shared" si="511"/>
        <v>1.0717020569393295E-3</v>
      </c>
      <c r="AC851" s="26">
        <f t="shared" si="512"/>
        <v>2.7187406685946889</v>
      </c>
      <c r="AD851" s="26">
        <f t="shared" si="513"/>
        <v>0.93812347261081019</v>
      </c>
      <c r="AE851" s="26">
        <f t="shared" si="514"/>
        <v>1.9143523208725781E-3</v>
      </c>
      <c r="AF851" s="26">
        <f t="shared" si="515"/>
        <v>-3.4053017614520056</v>
      </c>
      <c r="AG851" s="26">
        <f t="shared" si="516"/>
        <v>3.2130181802331265E-2</v>
      </c>
      <c r="AH851" s="26">
        <f t="shared" si="517"/>
        <v>-2.6303810638431657</v>
      </c>
      <c r="AI851" s="26">
        <f t="shared" si="518"/>
        <v>6.7208557158150578E-2</v>
      </c>
      <c r="AJ851" s="26">
        <f t="shared" si="519"/>
        <v>-2.5980861337856131</v>
      </c>
      <c r="AK851" s="26">
        <f t="shared" si="520"/>
        <v>6.9261695133926451E-2</v>
      </c>
      <c r="AL851" s="26">
        <f t="shared" si="521"/>
        <v>2.3985912064124855E-3</v>
      </c>
      <c r="AM851" s="27">
        <f t="shared" si="522"/>
        <v>1.0042922930347142E-2</v>
      </c>
    </row>
    <row r="852" spans="1:39" ht="15" customHeight="1" x14ac:dyDescent="0.2">
      <c r="A852" s="24">
        <v>841</v>
      </c>
      <c r="B852" s="29">
        <f t="shared" si="523"/>
        <v>5.8248365447604176</v>
      </c>
      <c r="C852" s="29">
        <f t="shared" si="524"/>
        <v>-5.7472928886893637</v>
      </c>
      <c r="D852" s="29">
        <f t="shared" si="525"/>
        <v>-3.4828716914077842</v>
      </c>
      <c r="E852" s="29">
        <f t="shared" si="526"/>
        <v>-4.5187082171026551</v>
      </c>
      <c r="F852" s="29">
        <f t="shared" si="527"/>
        <v>4.2089496626088376</v>
      </c>
      <c r="G852" s="29">
        <f t="shared" si="528"/>
        <v>-2.3217262129821257</v>
      </c>
      <c r="H852" s="29">
        <f t="shared" si="529"/>
        <v>6.546014025056583</v>
      </c>
      <c r="I852" s="29">
        <f t="shared" si="530"/>
        <v>6.6815147908931616</v>
      </c>
      <c r="J852" s="29">
        <f t="shared" si="531"/>
        <v>-3.2587365151584637</v>
      </c>
      <c r="K852" s="26">
        <f t="shared" si="494"/>
        <v>-3.4828716914077842</v>
      </c>
      <c r="L852" s="26">
        <f t="shared" si="495"/>
        <v>2.9803531824549881E-2</v>
      </c>
      <c r="M852" s="26">
        <f t="shared" si="496"/>
        <v>-2.3217262129821257</v>
      </c>
      <c r="N852" s="26">
        <f t="shared" si="497"/>
        <v>8.9339518558611317E-2</v>
      </c>
      <c r="O852" s="26">
        <f t="shared" si="498"/>
        <v>-2.4667188631781043</v>
      </c>
      <c r="P852" s="26">
        <f t="shared" si="499"/>
        <v>7.8224495717337555E-2</v>
      </c>
      <c r="Q852" s="26">
        <f t="shared" si="500"/>
        <v>3.0595358651158808E-3</v>
      </c>
      <c r="R852" s="26">
        <f t="shared" si="501"/>
        <v>-9.2301645800971475</v>
      </c>
      <c r="S852" s="26">
        <f t="shared" si="502"/>
        <v>9.8027489611172489E-5</v>
      </c>
      <c r="T852" s="26">
        <f t="shared" si="503"/>
        <v>1.887223449626712</v>
      </c>
      <c r="U852" s="26">
        <f t="shared" si="504"/>
        <v>0.8684386258034239</v>
      </c>
      <c r="V852" s="26">
        <f t="shared" si="505"/>
        <v>2.5443906974518806</v>
      </c>
      <c r="W852" s="26">
        <f t="shared" si="506"/>
        <v>0.92719577171928824</v>
      </c>
      <c r="X852" s="26">
        <f t="shared" si="507"/>
        <v>2.650227827774995E-3</v>
      </c>
      <c r="Y852" s="26">
        <f t="shared" si="508"/>
        <v>2.3419648533526334</v>
      </c>
      <c r="Z852" s="26">
        <f t="shared" si="509"/>
        <v>0.91229342861246998</v>
      </c>
      <c r="AA852" s="26">
        <f t="shared" si="510"/>
        <v>-6.8404344300847804</v>
      </c>
      <c r="AB852" s="26">
        <f t="shared" si="511"/>
        <v>1.0684957112211803E-3</v>
      </c>
      <c r="AC852" s="26">
        <f t="shared" si="512"/>
        <v>2.720288233404252</v>
      </c>
      <c r="AD852" s="26">
        <f t="shared" si="513"/>
        <v>0.93821324449311649</v>
      </c>
      <c r="AE852" s="26">
        <f t="shared" si="514"/>
        <v>1.9088015780336996E-3</v>
      </c>
      <c r="AF852" s="26">
        <f t="shared" si="515"/>
        <v>-3.4053280353367303</v>
      </c>
      <c r="AG852" s="26">
        <f t="shared" si="516"/>
        <v>3.2129364751489912E-2</v>
      </c>
      <c r="AH852" s="26">
        <f t="shared" si="517"/>
        <v>-2.6314847674759432</v>
      </c>
      <c r="AI852" s="26">
        <f t="shared" si="518"/>
        <v>6.7139397290760724E-2</v>
      </c>
      <c r="AJ852" s="26">
        <f t="shared" si="519"/>
        <v>-2.5998243668291821</v>
      </c>
      <c r="AK852" s="26">
        <f t="shared" si="520"/>
        <v>6.9149724650907934E-2</v>
      </c>
      <c r="AL852" s="26">
        <f t="shared" si="521"/>
        <v>2.3908422096481923E-3</v>
      </c>
      <c r="AM852" s="27">
        <f t="shared" si="522"/>
        <v>1.0009407480572769E-2</v>
      </c>
    </row>
    <row r="853" spans="1:39" ht="15" customHeight="1" x14ac:dyDescent="0.2">
      <c r="A853" s="24">
        <v>842</v>
      </c>
      <c r="B853" s="29">
        <f t="shared" si="523"/>
        <v>5.8258064978806194</v>
      </c>
      <c r="C853" s="29">
        <f t="shared" si="524"/>
        <v>-5.7481957957283134</v>
      </c>
      <c r="D853" s="29">
        <f t="shared" si="525"/>
        <v>-3.4829662009429452</v>
      </c>
      <c r="E853" s="29">
        <f t="shared" si="526"/>
        <v>-4.520545317911485</v>
      </c>
      <c r="F853" s="29">
        <f t="shared" si="527"/>
        <v>4.2108387100327871</v>
      </c>
      <c r="G853" s="29">
        <f t="shared" si="528"/>
        <v>-2.32287771826664</v>
      </c>
      <c r="H853" s="29">
        <f t="shared" si="529"/>
        <v>6.548970978777751</v>
      </c>
      <c r="I853" s="29">
        <f t="shared" si="530"/>
        <v>6.6849838605718057</v>
      </c>
      <c r="J853" s="29">
        <f t="shared" si="531"/>
        <v>-3.2603316719314219</v>
      </c>
      <c r="K853" s="26">
        <f t="shared" si="494"/>
        <v>-3.4829662009429452</v>
      </c>
      <c r="L853" s="26">
        <f t="shared" si="495"/>
        <v>2.9800799176189319E-2</v>
      </c>
      <c r="M853" s="26">
        <f t="shared" si="496"/>
        <v>-2.32287771826664</v>
      </c>
      <c r="N853" s="26">
        <f t="shared" si="497"/>
        <v>8.924587871793159E-2</v>
      </c>
      <c r="O853" s="26">
        <f t="shared" si="498"/>
        <v>-2.4685598441302528</v>
      </c>
      <c r="P853" s="26">
        <f t="shared" si="499"/>
        <v>7.8091854036394473E-2</v>
      </c>
      <c r="Q853" s="26">
        <f t="shared" si="500"/>
        <v>3.04916883342077E-3</v>
      </c>
      <c r="R853" s="26">
        <f t="shared" si="501"/>
        <v>-9.2311619966712577</v>
      </c>
      <c r="S853" s="26">
        <f t="shared" si="502"/>
        <v>9.7929773683169414E-5</v>
      </c>
      <c r="T853" s="26">
        <f t="shared" si="503"/>
        <v>1.8879609917661471</v>
      </c>
      <c r="U853" s="26">
        <f t="shared" si="504"/>
        <v>0.86852286929394251</v>
      </c>
      <c r="V853" s="26">
        <f t="shared" si="505"/>
        <v>2.5463710310819088</v>
      </c>
      <c r="W853" s="26">
        <f t="shared" si="506"/>
        <v>0.92732933867039524</v>
      </c>
      <c r="X853" s="26">
        <f t="shared" si="507"/>
        <v>2.6405125090410561E-3</v>
      </c>
      <c r="Y853" s="26">
        <f t="shared" si="508"/>
        <v>2.3428402969376743</v>
      </c>
      <c r="Z853" s="26">
        <f t="shared" si="509"/>
        <v>0.91236345118977746</v>
      </c>
      <c r="AA853" s="26">
        <f t="shared" si="510"/>
        <v>-6.843423036178125</v>
      </c>
      <c r="AB853" s="26">
        <f t="shared" si="511"/>
        <v>1.0653105622463268E-3</v>
      </c>
      <c r="AC853" s="26">
        <f t="shared" si="512"/>
        <v>2.7218316759230547</v>
      </c>
      <c r="AD853" s="26">
        <f t="shared" si="513"/>
        <v>0.9383026560557518</v>
      </c>
      <c r="AE853" s="26">
        <f t="shared" si="514"/>
        <v>1.9032811248874298E-3</v>
      </c>
      <c r="AF853" s="26">
        <f t="shared" si="515"/>
        <v>-3.4053554987906391</v>
      </c>
      <c r="AG853" s="26">
        <f t="shared" si="516"/>
        <v>3.2128510729551418E-2</v>
      </c>
      <c r="AH853" s="26">
        <f t="shared" si="517"/>
        <v>-2.6325843261453379</v>
      </c>
      <c r="AI853" s="26">
        <f t="shared" si="518"/>
        <v>6.7070562832644773E-2</v>
      </c>
      <c r="AJ853" s="26">
        <f t="shared" si="519"/>
        <v>-2.6015573575165427</v>
      </c>
      <c r="AK853" s="26">
        <f t="shared" si="520"/>
        <v>6.903825869163871E-2</v>
      </c>
      <c r="AL853" s="26">
        <f t="shared" si="521"/>
        <v>2.383140581586814E-3</v>
      </c>
      <c r="AM853" s="27">
        <f t="shared" si="522"/>
        <v>9.9761030489360705E-3</v>
      </c>
    </row>
    <row r="854" spans="1:39" ht="15" customHeight="1" x14ac:dyDescent="0.2">
      <c r="A854" s="24">
        <v>843</v>
      </c>
      <c r="B854" s="29">
        <f t="shared" si="523"/>
        <v>5.8267731237511482</v>
      </c>
      <c r="C854" s="29">
        <f t="shared" si="524"/>
        <v>-5.7490962898326909</v>
      </c>
      <c r="D854" s="29">
        <f t="shared" si="525"/>
        <v>-3.4830609721911792</v>
      </c>
      <c r="E854" s="29">
        <f t="shared" si="526"/>
        <v>-4.5223759713193825</v>
      </c>
      <c r="F854" s="29">
        <f t="shared" si="527"/>
        <v>4.2127210328418991</v>
      </c>
      <c r="G854" s="29">
        <f t="shared" si="528"/>
        <v>-2.324024828659963</v>
      </c>
      <c r="H854" s="29">
        <f t="shared" si="529"/>
        <v>6.5519200489866964</v>
      </c>
      <c r="I854" s="29">
        <f t="shared" si="530"/>
        <v>6.6884416815820718</v>
      </c>
      <c r="J854" s="29">
        <f t="shared" si="531"/>
        <v>-3.2619220476076278</v>
      </c>
      <c r="K854" s="26">
        <f t="shared" si="494"/>
        <v>-3.4830609721911792</v>
      </c>
      <c r="L854" s="26">
        <f t="shared" si="495"/>
        <v>2.9798059204525329E-2</v>
      </c>
      <c r="M854" s="26">
        <f t="shared" si="496"/>
        <v>-2.324024828659963</v>
      </c>
      <c r="N854" s="26">
        <f t="shared" si="497"/>
        <v>8.9152684300169455E-2</v>
      </c>
      <c r="O854" s="26">
        <f t="shared" si="498"/>
        <v>-2.4703950163864246</v>
      </c>
      <c r="P854" s="26">
        <f t="shared" si="499"/>
        <v>7.7959835787894102E-2</v>
      </c>
      <c r="Q854" s="26">
        <f t="shared" si="500"/>
        <v>3.0388679980377069E-3</v>
      </c>
      <c r="R854" s="26">
        <f t="shared" si="501"/>
        <v>-9.2321572620238701</v>
      </c>
      <c r="S854" s="26">
        <f t="shared" si="502"/>
        <v>9.783236558926468E-5</v>
      </c>
      <c r="T854" s="26">
        <f t="shared" si="503"/>
        <v>1.8886962041819362</v>
      </c>
      <c r="U854" s="26">
        <f t="shared" si="504"/>
        <v>0.86860680111308985</v>
      </c>
      <c r="V854" s="26">
        <f t="shared" si="505"/>
        <v>2.548344875700375</v>
      </c>
      <c r="W854" s="26">
        <f t="shared" si="506"/>
        <v>0.92746224319568171</v>
      </c>
      <c r="X854" s="26">
        <f t="shared" si="507"/>
        <v>2.6308630811012119E-3</v>
      </c>
      <c r="Y854" s="26">
        <f t="shared" si="508"/>
        <v>2.343712151559969</v>
      </c>
      <c r="Z854" s="26">
        <f t="shared" si="509"/>
        <v>0.9124331364751207</v>
      </c>
      <c r="AA854" s="26">
        <f t="shared" si="510"/>
        <v>-6.8464007999793459</v>
      </c>
      <c r="AB854" s="26">
        <f t="shared" si="511"/>
        <v>1.0621464018030287E-3</v>
      </c>
      <c r="AC854" s="26">
        <f t="shared" si="512"/>
        <v>2.7233710168892915</v>
      </c>
      <c r="AD854" s="26">
        <f t="shared" si="513"/>
        <v>0.93839170960581275</v>
      </c>
      <c r="AE854" s="26">
        <f t="shared" si="514"/>
        <v>1.8977907226472525E-3</v>
      </c>
      <c r="AF854" s="26">
        <f t="shared" si="515"/>
        <v>-3.4053841382727219</v>
      </c>
      <c r="AG854" s="26">
        <f t="shared" si="516"/>
        <v>3.2127620160430762E-2</v>
      </c>
      <c r="AH854" s="26">
        <f t="shared" si="517"/>
        <v>-2.6336797671374463</v>
      </c>
      <c r="AI854" s="26">
        <f t="shared" si="518"/>
        <v>6.7002051285036418E-2</v>
      </c>
      <c r="AJ854" s="26">
        <f t="shared" si="519"/>
        <v>-2.6032851363859351</v>
      </c>
      <c r="AK854" s="26">
        <f t="shared" si="520"/>
        <v>6.8927293579929022E-2</v>
      </c>
      <c r="AL854" s="26">
        <f t="shared" si="521"/>
        <v>2.3754859001268625E-3</v>
      </c>
      <c r="AM854" s="27">
        <f t="shared" si="522"/>
        <v>9.9430077019130331E-3</v>
      </c>
    </row>
    <row r="855" spans="1:39" ht="15" customHeight="1" x14ac:dyDescent="0.2">
      <c r="A855" s="24">
        <v>844</v>
      </c>
      <c r="B855" s="29">
        <f t="shared" si="523"/>
        <v>5.8277364436567334</v>
      </c>
      <c r="C855" s="29">
        <f t="shared" si="524"/>
        <v>-5.7499943830496596</v>
      </c>
      <c r="D855" s="29">
        <f t="shared" si="525"/>
        <v>-3.4831560010128269</v>
      </c>
      <c r="E855" s="29">
        <f t="shared" si="526"/>
        <v>-4.5242002183972634</v>
      </c>
      <c r="F855" s="29">
        <f t="shared" si="527"/>
        <v>4.21459667485093</v>
      </c>
      <c r="G855" s="29">
        <f t="shared" si="528"/>
        <v>-2.3251675739396944</v>
      </c>
      <c r="H855" s="29">
        <f t="shared" si="529"/>
        <v>6.5548612756106097</v>
      </c>
      <c r="I855" s="29">
        <f t="shared" si="530"/>
        <v>6.6918883235328099</v>
      </c>
      <c r="J855" s="29">
        <f t="shared" si="531"/>
        <v>-3.2635076699647989</v>
      </c>
      <c r="K855" s="26">
        <f t="shared" si="494"/>
        <v>-3.4831560010128269</v>
      </c>
      <c r="L855" s="26">
        <f t="shared" si="495"/>
        <v>2.9795312031228035E-2</v>
      </c>
      <c r="M855" s="26">
        <f t="shared" si="496"/>
        <v>-2.3251675739396944</v>
      </c>
      <c r="N855" s="26">
        <f t="shared" si="497"/>
        <v>8.905993181713201E-2</v>
      </c>
      <c r="O855" s="26">
        <f t="shared" si="498"/>
        <v>-2.4722244151148733</v>
      </c>
      <c r="P855" s="26">
        <f t="shared" si="499"/>
        <v>7.7828436253501262E-2</v>
      </c>
      <c r="Q855" s="26">
        <f t="shared" si="500"/>
        <v>3.0286327448326546E-3</v>
      </c>
      <c r="R855" s="26">
        <f t="shared" si="501"/>
        <v>-9.2331503840624869</v>
      </c>
      <c r="S855" s="26">
        <f t="shared" si="502"/>
        <v>9.773526383174379E-5</v>
      </c>
      <c r="T855" s="26">
        <f t="shared" si="503"/>
        <v>1.8894291009112356</v>
      </c>
      <c r="U855" s="26">
        <f t="shared" si="504"/>
        <v>0.86869042330875113</v>
      </c>
      <c r="V855" s="26">
        <f t="shared" si="505"/>
        <v>2.550312271635959</v>
      </c>
      <c r="W855" s="26">
        <f t="shared" si="506"/>
        <v>0.92759449052392517</v>
      </c>
      <c r="X855" s="26">
        <f t="shared" si="507"/>
        <v>2.6212789012449804E-3</v>
      </c>
      <c r="Y855" s="26">
        <f t="shared" si="508"/>
        <v>2.3445804426439065</v>
      </c>
      <c r="Z855" s="26">
        <f t="shared" si="509"/>
        <v>0.91250248714483373</v>
      </c>
      <c r="AA855" s="26">
        <f t="shared" si="510"/>
        <v>-6.8493677923369578</v>
      </c>
      <c r="AB855" s="26">
        <f t="shared" si="511"/>
        <v>1.0590030243617999E-3</v>
      </c>
      <c r="AC855" s="26">
        <f t="shared" si="512"/>
        <v>2.7249062768925532</v>
      </c>
      <c r="AD855" s="26">
        <f t="shared" si="513"/>
        <v>0.93848040743047012</v>
      </c>
      <c r="AE855" s="26">
        <f t="shared" si="514"/>
        <v>1.8923301349604779E-3</v>
      </c>
      <c r="AF855" s="26">
        <f t="shared" si="515"/>
        <v>-3.4054139404057531</v>
      </c>
      <c r="AG855" s="26">
        <f t="shared" si="516"/>
        <v>3.2126693463026525E-2</v>
      </c>
      <c r="AH855" s="26">
        <f t="shared" si="517"/>
        <v>-2.6347711174860278</v>
      </c>
      <c r="AI855" s="26">
        <f t="shared" si="518"/>
        <v>6.6933860175357074E-2</v>
      </c>
      <c r="AJ855" s="26">
        <f t="shared" si="519"/>
        <v>-2.6050077337141442</v>
      </c>
      <c r="AK855" s="26">
        <f t="shared" si="520"/>
        <v>6.8816825676378202E-2</v>
      </c>
      <c r="AL855" s="26">
        <f t="shared" si="521"/>
        <v>2.3678777480865129E-3</v>
      </c>
      <c r="AM855" s="27">
        <f t="shared" si="522"/>
        <v>9.9101195291246245E-3</v>
      </c>
    </row>
    <row r="856" spans="1:39" ht="15" customHeight="1" x14ac:dyDescent="0.2">
      <c r="A856" s="24">
        <v>845</v>
      </c>
      <c r="B856" s="29">
        <f t="shared" si="523"/>
        <v>5.8286964786871573</v>
      </c>
      <c r="C856" s="29">
        <f t="shared" si="524"/>
        <v>-5.7508900873396254</v>
      </c>
      <c r="D856" s="29">
        <f t="shared" si="525"/>
        <v>-3.4832512833215539</v>
      </c>
      <c r="E856" s="29">
        <f t="shared" si="526"/>
        <v>-4.5260180998419708</v>
      </c>
      <c r="F856" s="29">
        <f t="shared" si="527"/>
        <v>4.2164656794643642</v>
      </c>
      <c r="G856" s="29">
        <f t="shared" si="528"/>
        <v>-2.3263059835978739</v>
      </c>
      <c r="H856" s="29">
        <f t="shared" si="529"/>
        <v>6.5577946982852726</v>
      </c>
      <c r="I856" s="29">
        <f t="shared" si="530"/>
        <v>6.6953238554059418</v>
      </c>
      <c r="J856" s="29">
        <f t="shared" si="531"/>
        <v>-3.2650885665432341</v>
      </c>
      <c r="K856" s="26">
        <f t="shared" si="494"/>
        <v>-3.4832512833215539</v>
      </c>
      <c r="L856" s="26">
        <f t="shared" si="495"/>
        <v>2.9792557776388565E-2</v>
      </c>
      <c r="M856" s="26">
        <f t="shared" si="496"/>
        <v>-2.3263059835978739</v>
      </c>
      <c r="N856" s="26">
        <f t="shared" si="497"/>
        <v>8.8967617818118058E-2</v>
      </c>
      <c r="O856" s="26">
        <f t="shared" si="498"/>
        <v>-2.4740480751725911</v>
      </c>
      <c r="P856" s="26">
        <f t="shared" si="499"/>
        <v>7.7697650763741036E-2</v>
      </c>
      <c r="Q856" s="26">
        <f t="shared" si="500"/>
        <v>3.0184624671021338E-3</v>
      </c>
      <c r="R856" s="26">
        <f t="shared" si="501"/>
        <v>-9.2341413706611792</v>
      </c>
      <c r="S856" s="26">
        <f t="shared" si="502"/>
        <v>9.7638466921917677E-5</v>
      </c>
      <c r="T856" s="26">
        <f t="shared" si="503"/>
        <v>1.8901596958664904</v>
      </c>
      <c r="U856" s="26">
        <f t="shared" si="504"/>
        <v>0.86877373790951151</v>
      </c>
      <c r="V856" s="26">
        <f t="shared" si="505"/>
        <v>2.5522732588532371</v>
      </c>
      <c r="W856" s="26">
        <f t="shared" si="506"/>
        <v>0.92772608582783422</v>
      </c>
      <c r="X856" s="26">
        <f t="shared" si="507"/>
        <v>2.6117593348827925E-3</v>
      </c>
      <c r="Y856" s="26">
        <f t="shared" si="508"/>
        <v>2.3454451953656035</v>
      </c>
      <c r="Z856" s="26">
        <f t="shared" si="509"/>
        <v>0.91257150584642521</v>
      </c>
      <c r="AA856" s="26">
        <f t="shared" si="510"/>
        <v>-6.8523240834398447</v>
      </c>
      <c r="AB856" s="26">
        <f t="shared" si="511"/>
        <v>1.0558802270329078E-3</v>
      </c>
      <c r="AC856" s="26">
        <f t="shared" si="512"/>
        <v>2.7264374763751658</v>
      </c>
      <c r="AD856" s="26">
        <f t="shared" si="513"/>
        <v>0.93856875179718136</v>
      </c>
      <c r="AE856" s="26">
        <f t="shared" si="514"/>
        <v>1.8868991278781545E-3</v>
      </c>
      <c r="AF856" s="26">
        <f t="shared" si="515"/>
        <v>-3.4054448919740219</v>
      </c>
      <c r="AG856" s="26">
        <f t="shared" si="516"/>
        <v>3.2125731051287555E-2</v>
      </c>
      <c r="AH856" s="26">
        <f t="shared" si="517"/>
        <v>-2.6358584039754804</v>
      </c>
      <c r="AI856" s="26">
        <f t="shared" si="518"/>
        <v>6.6865987056871051E-2</v>
      </c>
      <c r="AJ856" s="26">
        <f t="shared" si="519"/>
        <v>-2.6067251795194282</v>
      </c>
      <c r="AK856" s="26">
        <f t="shared" si="520"/>
        <v>6.870685137790887E-2</v>
      </c>
      <c r="AL856" s="26">
        <f t="shared" si="521"/>
        <v>2.3603157131330292E-3</v>
      </c>
      <c r="AM856" s="27">
        <f t="shared" si="522"/>
        <v>9.8774366429961093E-3</v>
      </c>
    </row>
    <row r="857" spans="1:39" ht="15" customHeight="1" x14ac:dyDescent="0.2">
      <c r="A857" s="24">
        <v>846</v>
      </c>
      <c r="B857" s="29">
        <f t="shared" si="523"/>
        <v>5.8296532497395459</v>
      </c>
      <c r="C857" s="29">
        <f t="shared" si="524"/>
        <v>-5.7517834145770443</v>
      </c>
      <c r="D857" s="29">
        <f t="shared" si="525"/>
        <v>-3.4833468150836007</v>
      </c>
      <c r="E857" s="29">
        <f t="shared" si="526"/>
        <v>-4.5278296559806748</v>
      </c>
      <c r="F857" s="29">
        <f t="shared" si="527"/>
        <v>4.2183280896813908</v>
      </c>
      <c r="G857" s="29">
        <f t="shared" si="528"/>
        <v>-2.3274400868444993</v>
      </c>
      <c r="H857" s="29">
        <f t="shared" si="529"/>
        <v>6.5607203563577796</v>
      </c>
      <c r="I857" s="29">
        <f t="shared" si="530"/>
        <v>6.6987483455638124</v>
      </c>
      <c r="J857" s="29">
        <f t="shared" si="531"/>
        <v>-3.2666647646484757</v>
      </c>
      <c r="K857" s="26">
        <f t="shared" si="494"/>
        <v>-3.4833468150836007</v>
      </c>
      <c r="L857" s="26">
        <f t="shared" si="495"/>
        <v>2.978979655854113E-2</v>
      </c>
      <c r="M857" s="26">
        <f t="shared" si="496"/>
        <v>-2.3274400868444993</v>
      </c>
      <c r="N857" s="26">
        <f t="shared" si="497"/>
        <v>8.8875738889409153E-2</v>
      </c>
      <c r="O857" s="26">
        <f t="shared" si="498"/>
        <v>-2.4758660311089069</v>
      </c>
      <c r="P857" s="26">
        <f t="shared" si="499"/>
        <v>7.7567474697359876E-2</v>
      </c>
      <c r="Q857" s="26">
        <f t="shared" si="500"/>
        <v>3.0083565654627823E-3</v>
      </c>
      <c r="R857" s="26">
        <f t="shared" si="501"/>
        <v>-9.2351302296606441</v>
      </c>
      <c r="S857" s="26">
        <f t="shared" si="502"/>
        <v>9.754197338006811E-5</v>
      </c>
      <c r="T857" s="26">
        <f t="shared" si="503"/>
        <v>1.8908880028368915</v>
      </c>
      <c r="U857" s="26">
        <f t="shared" si="504"/>
        <v>0.8688567469248929</v>
      </c>
      <c r="V857" s="26">
        <f t="shared" si="505"/>
        <v>2.5542278769569604</v>
      </c>
      <c r="W857" s="26">
        <f t="shared" si="506"/>
        <v>0.92785703422480559</v>
      </c>
      <c r="X857" s="26">
        <f t="shared" si="507"/>
        <v>2.6023037554204361E-3</v>
      </c>
      <c r="Y857" s="26">
        <f t="shared" si="508"/>
        <v>2.3463064346559452</v>
      </c>
      <c r="Z857" s="26">
        <f t="shared" si="509"/>
        <v>0.912640195198965</v>
      </c>
      <c r="AA857" s="26">
        <f t="shared" si="510"/>
        <v>-6.8552697428251737</v>
      </c>
      <c r="AB857" s="26">
        <f t="shared" si="511"/>
        <v>1.052777809524668E-3</v>
      </c>
      <c r="AC857" s="26">
        <f t="shared" si="512"/>
        <v>2.7279646356335112</v>
      </c>
      <c r="AD857" s="26">
        <f t="shared" si="513"/>
        <v>0.93865674495390139</v>
      </c>
      <c r="AE857" s="26">
        <f t="shared" si="514"/>
        <v>1.8814974698253514E-3</v>
      </c>
      <c r="AF857" s="26">
        <f t="shared" si="515"/>
        <v>-3.4054769799210991</v>
      </c>
      <c r="AG857" s="26">
        <f t="shared" si="516"/>
        <v>3.2124733334278649E-2</v>
      </c>
      <c r="AH857" s="26">
        <f t="shared" si="517"/>
        <v>-2.6369416531437833</v>
      </c>
      <c r="AI857" s="26">
        <f t="shared" si="518"/>
        <v>6.6798429508345691E-2</v>
      </c>
      <c r="AJ857" s="26">
        <f t="shared" si="519"/>
        <v>-2.6084375035644167</v>
      </c>
      <c r="AK857" s="26">
        <f t="shared" si="520"/>
        <v>6.8597367117307476E-2</v>
      </c>
      <c r="AL857" s="26">
        <f t="shared" si="521"/>
        <v>2.3527993877133285E-3</v>
      </c>
      <c r="AM857" s="27">
        <f t="shared" si="522"/>
        <v>9.8449571784218984E-3</v>
      </c>
    </row>
    <row r="858" spans="1:39" ht="15" customHeight="1" x14ac:dyDescent="0.2">
      <c r="A858" s="24">
        <v>847</v>
      </c>
      <c r="B858" s="29">
        <f t="shared" si="523"/>
        <v>5.8306067775206305</v>
      </c>
      <c r="C858" s="29">
        <f t="shared" si="524"/>
        <v>-5.7526743765512229</v>
      </c>
      <c r="D858" s="29">
        <f t="shared" si="525"/>
        <v>-3.4834425923170445</v>
      </c>
      <c r="E858" s="29">
        <f t="shared" si="526"/>
        <v>-4.5296349267752092</v>
      </c>
      <c r="F858" s="29">
        <f t="shared" si="527"/>
        <v>4.2201839481008054</v>
      </c>
      <c r="G858" s="29">
        <f t="shared" si="528"/>
        <v>-2.3285699126109893</v>
      </c>
      <c r="H858" s="29">
        <f t="shared" si="529"/>
        <v>6.5636382888892308</v>
      </c>
      <c r="I858" s="29">
        <f t="shared" si="530"/>
        <v>6.7021618617564398</v>
      </c>
      <c r="J858" s="29">
        <f t="shared" si="531"/>
        <v>-3.2682362913539356</v>
      </c>
      <c r="K858" s="26">
        <f t="shared" si="494"/>
        <v>-3.4834425923170445</v>
      </c>
      <c r="L858" s="26">
        <f t="shared" si="495"/>
        <v>2.978702849468479E-2</v>
      </c>
      <c r="M858" s="26">
        <f t="shared" si="496"/>
        <v>-2.3285699126109893</v>
      </c>
      <c r="N858" s="26">
        <f t="shared" si="497"/>
        <v>8.8784291653769304E-2</v>
      </c>
      <c r="O858" s="26">
        <f t="shared" si="498"/>
        <v>-2.4776783171690346</v>
      </c>
      <c r="P858" s="26">
        <f t="shared" si="499"/>
        <v>7.7437903480696887E-2</v>
      </c>
      <c r="Q858" s="26">
        <f t="shared" si="500"/>
        <v>2.9983144477428634E-3</v>
      </c>
      <c r="R858" s="26">
        <f t="shared" si="501"/>
        <v>-9.2361169688682665</v>
      </c>
      <c r="S858" s="26">
        <f t="shared" si="502"/>
        <v>9.7445781735392849E-5</v>
      </c>
      <c r="T858" s="26">
        <f t="shared" si="503"/>
        <v>1.8916140354898161</v>
      </c>
      <c r="U858" s="26">
        <f t="shared" si="504"/>
        <v>0.86893945234558712</v>
      </c>
      <c r="V858" s="26">
        <f t="shared" si="505"/>
        <v>2.5561761651962751</v>
      </c>
      <c r="W858" s="26">
        <f t="shared" si="506"/>
        <v>0.92798734077766598</v>
      </c>
      <c r="X858" s="26">
        <f t="shared" si="507"/>
        <v>2.5929115441360043E-3</v>
      </c>
      <c r="Y858" s="26">
        <f t="shared" si="508"/>
        <v>2.3471641852035861</v>
      </c>
      <c r="Z858" s="26">
        <f t="shared" si="509"/>
        <v>0.9127085577934656</v>
      </c>
      <c r="AA858" s="26">
        <f t="shared" si="510"/>
        <v>-6.8582048393861985</v>
      </c>
      <c r="AB858" s="26">
        <f t="shared" si="511"/>
        <v>1.0496955741025145E-3</v>
      </c>
      <c r="AC858" s="26">
        <f t="shared" si="512"/>
        <v>2.7294877748193285</v>
      </c>
      <c r="AD858" s="26">
        <f t="shared" si="513"/>
        <v>0.93874438912928937</v>
      </c>
      <c r="AE858" s="26">
        <f t="shared" si="514"/>
        <v>1.8761249315719611E-3</v>
      </c>
      <c r="AF858" s="26">
        <f t="shared" si="515"/>
        <v>-3.4055101913476369</v>
      </c>
      <c r="AG858" s="26">
        <f t="shared" si="516"/>
        <v>3.2123700716245311E-2</v>
      </c>
      <c r="AH858" s="26">
        <f t="shared" si="517"/>
        <v>-2.6380208912853931</v>
      </c>
      <c r="AI858" s="26">
        <f t="shared" si="518"/>
        <v>6.673118513371698E-2</v>
      </c>
      <c r="AJ858" s="26">
        <f t="shared" si="519"/>
        <v>-2.6101447353589631</v>
      </c>
      <c r="AK858" s="26">
        <f t="shared" si="520"/>
        <v>6.8488369362772472E-2</v>
      </c>
      <c r="AL858" s="26">
        <f t="shared" si="521"/>
        <v>2.3453283689857754E-3</v>
      </c>
      <c r="AM858" s="27">
        <f t="shared" si="522"/>
        <v>9.8126792924366039E-3</v>
      </c>
    </row>
    <row r="859" spans="1:39" ht="15" customHeight="1" x14ac:dyDescent="0.2">
      <c r="A859" s="24">
        <v>848</v>
      </c>
      <c r="B859" s="29">
        <f t="shared" si="523"/>
        <v>5.8315570825489713</v>
      </c>
      <c r="C859" s="29">
        <f t="shared" si="524"/>
        <v>-5.7535629849671075</v>
      </c>
      <c r="D859" s="29">
        <f t="shared" si="525"/>
        <v>-3.4835386110910744</v>
      </c>
      <c r="E859" s="29">
        <f t="shared" si="526"/>
        <v>-4.5314339518263438</v>
      </c>
      <c r="F859" s="29">
        <f t="shared" si="527"/>
        <v>4.2220332969258401</v>
      </c>
      <c r="G859" s="29">
        <f t="shared" si="528"/>
        <v>-2.3296954895535968</v>
      </c>
      <c r="H859" s="29">
        <f t="shared" si="529"/>
        <v>6.5665485346573957</v>
      </c>
      <c r="I859" s="29">
        <f t="shared" si="530"/>
        <v>6.7055644711286586</v>
      </c>
      <c r="J859" s="29">
        <f t="shared" si="531"/>
        <v>-3.269803173503484</v>
      </c>
      <c r="K859" s="26">
        <f t="shared" si="494"/>
        <v>-3.4835386110910744</v>
      </c>
      <c r="L859" s="26">
        <f t="shared" si="495"/>
        <v>2.9784253700304783E-2</v>
      </c>
      <c r="M859" s="26">
        <f t="shared" si="496"/>
        <v>-2.3296954895535968</v>
      </c>
      <c r="N859" s="26">
        <f t="shared" si="497"/>
        <v>8.8693272769952661E-2</v>
      </c>
      <c r="O859" s="26">
        <f t="shared" si="498"/>
        <v>-2.4794849672975658</v>
      </c>
      <c r="P859" s="26">
        <f t="shared" si="499"/>
        <v>7.7308932587065282E-2</v>
      </c>
      <c r="Q859" s="26">
        <f t="shared" si="500"/>
        <v>2.9883355288757023E-3</v>
      </c>
      <c r="R859" s="26">
        <f t="shared" si="501"/>
        <v>-9.2371015960581815</v>
      </c>
      <c r="S859" s="26">
        <f t="shared" si="502"/>
        <v>9.734989052595138E-5</v>
      </c>
      <c r="T859" s="26">
        <f t="shared" si="503"/>
        <v>1.8923378073722432</v>
      </c>
      <c r="U859" s="26">
        <f t="shared" si="504"/>
        <v>0.86902185614368377</v>
      </c>
      <c r="V859" s="26">
        <f t="shared" si="505"/>
        <v>2.5581181624688645</v>
      </c>
      <c r="W859" s="26">
        <f t="shared" si="506"/>
        <v>0.92811701049540341</v>
      </c>
      <c r="X859" s="26">
        <f t="shared" si="507"/>
        <v>2.5835820900589721E-3</v>
      </c>
      <c r="Y859" s="26">
        <f t="shared" si="508"/>
        <v>2.3480184714578969</v>
      </c>
      <c r="Z859" s="26">
        <f t="shared" si="509"/>
        <v>0.91277659619325724</v>
      </c>
      <c r="AA859" s="26">
        <f t="shared" si="510"/>
        <v>-6.8611294413799406</v>
      </c>
      <c r="AB859" s="26">
        <f t="shared" si="511"/>
        <v>1.0466333255488404E-3</v>
      </c>
      <c r="AC859" s="26">
        <f t="shared" si="512"/>
        <v>2.7310069139410142</v>
      </c>
      <c r="AD859" s="26">
        <f t="shared" si="513"/>
        <v>0.93883168653291471</v>
      </c>
      <c r="AE859" s="26">
        <f t="shared" si="514"/>
        <v>1.8707812862038037E-3</v>
      </c>
      <c r="AF859" s="26">
        <f t="shared" si="515"/>
        <v>-3.4055445135092106</v>
      </c>
      <c r="AG859" s="26">
        <f t="shared" si="516"/>
        <v>3.2122633596677365E-2</v>
      </c>
      <c r="AH859" s="26">
        <f t="shared" si="517"/>
        <v>-2.6390961444541006</v>
      </c>
      <c r="AI859" s="26">
        <f t="shared" si="518"/>
        <v>6.6664251561760521E-2</v>
      </c>
      <c r="AJ859" s="26">
        <f t="shared" si="519"/>
        <v>-2.6118469041629613</v>
      </c>
      <c r="AK859" s="26">
        <f t="shared" si="520"/>
        <v>6.8379854617468816E-2</v>
      </c>
      <c r="AL859" s="26">
        <f t="shared" si="521"/>
        <v>2.3379022587530856E-3</v>
      </c>
      <c r="AM859" s="27">
        <f t="shared" si="522"/>
        <v>9.7806011638915634E-3</v>
      </c>
    </row>
    <row r="860" spans="1:39" ht="15" customHeight="1" x14ac:dyDescent="0.2">
      <c r="A860" s="24">
        <v>849</v>
      </c>
      <c r="B860" s="29">
        <f t="shared" si="523"/>
        <v>5.8325041851571582</v>
      </c>
      <c r="C860" s="29">
        <f t="shared" si="524"/>
        <v>-5.754449251446065</v>
      </c>
      <c r="D860" s="29">
        <f t="shared" si="525"/>
        <v>-3.483634867525276</v>
      </c>
      <c r="E860" s="29">
        <f t="shared" si="526"/>
        <v>-4.5332267703780005</v>
      </c>
      <c r="F860" s="29">
        <f t="shared" si="527"/>
        <v>4.2238761779689238</v>
      </c>
      <c r="G860" s="29">
        <f t="shared" si="528"/>
        <v>-2.3308168460567691</v>
      </c>
      <c r="H860" s="29">
        <f t="shared" si="529"/>
        <v>6.5694511321593492</v>
      </c>
      <c r="I860" s="29">
        <f t="shared" si="530"/>
        <v>6.7089562402271632</v>
      </c>
      <c r="J860" s="29">
        <f t="shared" si="531"/>
        <v>-3.271365437714004</v>
      </c>
      <c r="K860" s="26">
        <f t="shared" si="494"/>
        <v>-3.483634867525276</v>
      </c>
      <c r="L860" s="26">
        <f t="shared" si="495"/>
        <v>2.9781472289393644E-2</v>
      </c>
      <c r="M860" s="26">
        <f t="shared" si="496"/>
        <v>-2.3308168460567691</v>
      </c>
      <c r="N860" s="26">
        <f t="shared" si="497"/>
        <v>8.8602678932219237E-2</v>
      </c>
      <c r="O860" s="26">
        <f t="shared" si="498"/>
        <v>-2.4812860151419187</v>
      </c>
      <c r="P860" s="26">
        <f t="shared" si="499"/>
        <v>7.718055753614303E-2</v>
      </c>
      <c r="Q860" s="26">
        <f t="shared" si="500"/>
        <v>2.9784192307949421E-3</v>
      </c>
      <c r="R860" s="26">
        <f t="shared" si="501"/>
        <v>-9.2380841189713401</v>
      </c>
      <c r="S860" s="26">
        <f t="shared" si="502"/>
        <v>9.7254298298610572E-5</v>
      </c>
      <c r="T860" s="26">
        <f t="shared" si="503"/>
        <v>1.8930593319121547</v>
      </c>
      <c r="U860" s="26">
        <f t="shared" si="504"/>
        <v>0.86910396027289705</v>
      </c>
      <c r="V860" s="26">
        <f t="shared" si="505"/>
        <v>2.5600539073250541</v>
      </c>
      <c r="W860" s="26">
        <f t="shared" si="506"/>
        <v>0.9282460483338868</v>
      </c>
      <c r="X860" s="26">
        <f t="shared" si="507"/>
        <v>2.5743147898514549E-3</v>
      </c>
      <c r="Y860" s="26">
        <f t="shared" si="508"/>
        <v>2.3488693176318822</v>
      </c>
      <c r="Z860" s="26">
        <f t="shared" si="509"/>
        <v>0.91284431293435597</v>
      </c>
      <c r="AA860" s="26">
        <f t="shared" si="510"/>
        <v>-6.8640436164347696</v>
      </c>
      <c r="AB860" s="26">
        <f t="shared" si="511"/>
        <v>1.0435908711235742E-3</v>
      </c>
      <c r="AC860" s="26">
        <f t="shared" si="512"/>
        <v>2.7325220728648931</v>
      </c>
      <c r="AD860" s="26">
        <f t="shared" si="513"/>
        <v>0.9389186393554575</v>
      </c>
      <c r="AE860" s="26">
        <f t="shared" si="514"/>
        <v>1.8654663090943329E-3</v>
      </c>
      <c r="AF860" s="26">
        <f t="shared" si="515"/>
        <v>-3.4055799338141828</v>
      </c>
      <c r="AG860" s="26">
        <f t="shared" si="516"/>
        <v>3.2121532370371915E-2</v>
      </c>
      <c r="AH860" s="26">
        <f t="shared" si="517"/>
        <v>-2.6401674384658458</v>
      </c>
      <c r="AI860" s="26">
        <f t="shared" si="518"/>
        <v>6.6597626445767458E-2</v>
      </c>
      <c r="AJ860" s="26">
        <f t="shared" si="519"/>
        <v>-2.6135440389891218</v>
      </c>
      <c r="AK860" s="26">
        <f t="shared" si="520"/>
        <v>6.8271819419089663E-2</v>
      </c>
      <c r="AL860" s="26">
        <f t="shared" si="521"/>
        <v>2.3305206633963942E-3</v>
      </c>
      <c r="AM860" s="27">
        <f t="shared" si="522"/>
        <v>9.7487209931371235E-3</v>
      </c>
    </row>
    <row r="861" spans="1:39" ht="15" customHeight="1" x14ac:dyDescent="0.2">
      <c r="A861" s="24">
        <v>850</v>
      </c>
      <c r="B861" s="29">
        <f t="shared" si="523"/>
        <v>5.8334481054939715</v>
      </c>
      <c r="C861" s="29">
        <f t="shared" si="524"/>
        <v>-5.7553331875266567</v>
      </c>
      <c r="D861" s="29">
        <f t="shared" si="525"/>
        <v>-3.4837313577889271</v>
      </c>
      <c r="E861" s="29">
        <f t="shared" si="526"/>
        <v>-4.5350134213214046</v>
      </c>
      <c r="F861" s="29">
        <f t="shared" si="527"/>
        <v>4.2257126326563714</v>
      </c>
      <c r="G861" s="29">
        <f t="shared" si="528"/>
        <v>-2.331934010236461</v>
      </c>
      <c r="H861" s="29">
        <f t="shared" si="529"/>
        <v>6.5723461196140711</v>
      </c>
      <c r="I861" s="29">
        <f t="shared" si="530"/>
        <v>6.7123372350074462</v>
      </c>
      <c r="J861" s="29">
        <f t="shared" si="531"/>
        <v>-3.2729231103779099</v>
      </c>
      <c r="K861" s="26">
        <f t="shared" si="494"/>
        <v>-3.4837313577889271</v>
      </c>
      <c r="L861" s="26">
        <f t="shared" si="495"/>
        <v>2.9778684374471925E-2</v>
      </c>
      <c r="M861" s="26">
        <f t="shared" si="496"/>
        <v>-2.331934010236461</v>
      </c>
      <c r="N861" s="26">
        <f t="shared" si="497"/>
        <v>8.8512506869858329E-2</v>
      </c>
      <c r="O861" s="26">
        <f t="shared" si="498"/>
        <v>-2.4830814940557349</v>
      </c>
      <c r="P861" s="26">
        <f t="shared" si="499"/>
        <v>7.7052773893373436E-2</v>
      </c>
      <c r="Q861" s="26">
        <f t="shared" si="500"/>
        <v>2.9685649823316656E-3</v>
      </c>
      <c r="R861" s="26">
        <f t="shared" si="501"/>
        <v>-9.2390645453155837</v>
      </c>
      <c r="S861" s="26">
        <f t="shared" si="502"/>
        <v>9.7159003608989839E-5</v>
      </c>
      <c r="T861" s="26">
        <f t="shared" si="503"/>
        <v>1.8937786224199105</v>
      </c>
      <c r="U861" s="26">
        <f t="shared" si="504"/>
        <v>0.86918576666878866</v>
      </c>
      <c r="V861" s="26">
        <f t="shared" si="505"/>
        <v>2.5619834379718496</v>
      </c>
      <c r="W861" s="26">
        <f t="shared" si="506"/>
        <v>0.92837445919657446</v>
      </c>
      <c r="X861" s="26">
        <f t="shared" si="507"/>
        <v>2.565109047691588E-3</v>
      </c>
      <c r="Y861" s="26">
        <f t="shared" si="508"/>
        <v>2.3497167477050445</v>
      </c>
      <c r="Z861" s="26">
        <f t="shared" si="509"/>
        <v>0.91291171052582809</v>
      </c>
      <c r="AA861" s="26">
        <f t="shared" si="510"/>
        <v>-6.8669474315578656</v>
      </c>
      <c r="AB861" s="26">
        <f t="shared" si="511"/>
        <v>1.0405680205254919E-3</v>
      </c>
      <c r="AC861" s="26">
        <f t="shared" si="512"/>
        <v>2.7340332713164912</v>
      </c>
      <c r="AD861" s="26">
        <f t="shared" si="513"/>
        <v>0.93900524976891109</v>
      </c>
      <c r="AE861" s="26">
        <f t="shared" si="514"/>
        <v>1.8601797778764605E-3</v>
      </c>
      <c r="AF861" s="26">
        <f t="shared" si="515"/>
        <v>-3.4056164398216122</v>
      </c>
      <c r="AG861" s="26">
        <f t="shared" si="516"/>
        <v>3.2120397427495076E-2</v>
      </c>
      <c r="AH861" s="26">
        <f t="shared" si="517"/>
        <v>-2.6412347989014942</v>
      </c>
      <c r="AI861" s="26">
        <f t="shared" si="518"/>
        <v>6.6531307463225664E-2</v>
      </c>
      <c r="AJ861" s="26">
        <f t="shared" si="519"/>
        <v>-2.6152361686057124</v>
      </c>
      <c r="AK861" s="26">
        <f t="shared" si="520"/>
        <v>6.8164260339424257E-2</v>
      </c>
      <c r="AL861" s="26">
        <f t="shared" si="521"/>
        <v>2.3231831938104034E-3</v>
      </c>
      <c r="AM861" s="27">
        <f t="shared" si="522"/>
        <v>9.7170370017101177E-3</v>
      </c>
    </row>
    <row r="862" spans="1:39" ht="15" customHeight="1" x14ac:dyDescent="0.2">
      <c r="A862" s="24">
        <v>851</v>
      </c>
      <c r="B862" s="29">
        <f t="shared" si="523"/>
        <v>5.8343888635265184</v>
      </c>
      <c r="C862" s="29">
        <f t="shared" si="524"/>
        <v>-5.7562148046653991</v>
      </c>
      <c r="D862" s="29">
        <f t="shared" si="525"/>
        <v>-3.483828078100307</v>
      </c>
      <c r="E862" s="29">
        <f t="shared" si="526"/>
        <v>-4.5367939431991795</v>
      </c>
      <c r="F862" s="29">
        <f t="shared" si="527"/>
        <v>4.2275427020330039</v>
      </c>
      <c r="G862" s="29">
        <f t="shared" si="528"/>
        <v>-2.333047009943396</v>
      </c>
      <c r="H862" s="29">
        <f t="shared" si="529"/>
        <v>6.5752335349650259</v>
      </c>
      <c r="I862" s="29">
        <f t="shared" si="530"/>
        <v>6.7157075208406445</v>
      </c>
      <c r="J862" s="29">
        <f t="shared" si="531"/>
        <v>-3.2744762176656312</v>
      </c>
      <c r="K862" s="26">
        <f t="shared" si="494"/>
        <v>-3.483828078100307</v>
      </c>
      <c r="L862" s="26">
        <f t="shared" si="495"/>
        <v>2.9775890066608593E-2</v>
      </c>
      <c r="M862" s="26">
        <f t="shared" si="496"/>
        <v>-2.333047009943396</v>
      </c>
      <c r="N862" s="26">
        <f t="shared" si="497"/>
        <v>8.8422753346719896E-2</v>
      </c>
      <c r="O862" s="26">
        <f t="shared" si="498"/>
        <v>-2.4848714371022305</v>
      </c>
      <c r="P862" s="26">
        <f t="shared" si="499"/>
        <v>7.6925577269374754E-2</v>
      </c>
      <c r="Q862" s="26">
        <f t="shared" si="500"/>
        <v>2.9587722191132728E-3</v>
      </c>
      <c r="R862" s="26">
        <f t="shared" si="501"/>
        <v>-9.2400428827657066</v>
      </c>
      <c r="S862" s="26">
        <f t="shared" si="502"/>
        <v>9.7064005021408044E-5</v>
      </c>
      <c r="T862" s="26">
        <f t="shared" si="503"/>
        <v>1.8944956920896079</v>
      </c>
      <c r="U862" s="26">
        <f t="shared" si="504"/>
        <v>0.86926727724898589</v>
      </c>
      <c r="V862" s="26">
        <f t="shared" si="505"/>
        <v>2.5639067922769083</v>
      </c>
      <c r="W862" s="26">
        <f t="shared" si="506"/>
        <v>0.92850224793520864</v>
      </c>
      <c r="X862" s="26">
        <f t="shared" si="507"/>
        <v>2.5559642751591888E-3</v>
      </c>
      <c r="Y862" s="26">
        <f t="shared" si="508"/>
        <v>2.3505607854262114</v>
      </c>
      <c r="Z862" s="26">
        <f t="shared" si="509"/>
        <v>0.91297879145014638</v>
      </c>
      <c r="AA862" s="26">
        <f t="shared" si="510"/>
        <v>-6.8698409531425755</v>
      </c>
      <c r="AB862" s="26">
        <f t="shared" si="511"/>
        <v>1.0375645858542457E-3</v>
      </c>
      <c r="AC862" s="26">
        <f t="shared" si="512"/>
        <v>2.7355405288817911</v>
      </c>
      <c r="AD862" s="26">
        <f t="shared" si="513"/>
        <v>0.93909151992677731</v>
      </c>
      <c r="AE862" s="26">
        <f t="shared" si="514"/>
        <v>1.854921472415083E-3</v>
      </c>
      <c r="AF862" s="26">
        <f t="shared" si="515"/>
        <v>-3.4056540192391878</v>
      </c>
      <c r="AG862" s="26">
        <f t="shared" si="516"/>
        <v>3.2119229153643042E-2</v>
      </c>
      <c r="AH862" s="26">
        <f t="shared" si="517"/>
        <v>-2.6422982511095716</v>
      </c>
      <c r="AI862" s="26">
        <f t="shared" si="518"/>
        <v>6.6465292315505881E-2</v>
      </c>
      <c r="AJ862" s="26">
        <f t="shared" si="519"/>
        <v>-2.6169233215392564</v>
      </c>
      <c r="AK862" s="26">
        <f t="shared" si="520"/>
        <v>6.8057173983932892E-2</v>
      </c>
      <c r="AL862" s="26">
        <f t="shared" si="521"/>
        <v>2.3158894653396559E-3</v>
      </c>
      <c r="AM862" s="27">
        <f t="shared" si="522"/>
        <v>9.6855474320271997E-3</v>
      </c>
    </row>
    <row r="863" spans="1:39" ht="15" customHeight="1" x14ac:dyDescent="0.2">
      <c r="A863" s="24">
        <v>852</v>
      </c>
      <c r="B863" s="29">
        <f t="shared" si="523"/>
        <v>5.8353264790423376</v>
      </c>
      <c r="C863" s="29">
        <f t="shared" si="524"/>
        <v>-5.7570941142375203</v>
      </c>
      <c r="D863" s="29">
        <f t="shared" si="525"/>
        <v>-3.4839250247260125</v>
      </c>
      <c r="E863" s="29">
        <f t="shared" si="526"/>
        <v>-4.5385683742093832</v>
      </c>
      <c r="F863" s="29">
        <f t="shared" si="527"/>
        <v>4.2293664267666999</v>
      </c>
      <c r="G863" s="29">
        <f t="shared" si="528"/>
        <v>-2.334155872766281</v>
      </c>
      <c r="H863" s="29">
        <f t="shared" si="529"/>
        <v>6.5781134158827079</v>
      </c>
      <c r="I863" s="29">
        <f t="shared" si="530"/>
        <v>6.7190671625202842</v>
      </c>
      <c r="J863" s="29">
        <f t="shared" si="531"/>
        <v>-3.276024785528064</v>
      </c>
      <c r="K863" s="26">
        <f t="shared" si="494"/>
        <v>-3.4839250247260125</v>
      </c>
      <c r="L863" s="26">
        <f t="shared" si="495"/>
        <v>2.9773089475441189E-2</v>
      </c>
      <c r="M863" s="26">
        <f t="shared" si="496"/>
        <v>-2.334155872766281</v>
      </c>
      <c r="N863" s="26">
        <f t="shared" si="497"/>
        <v>8.8333415160753229E-2</v>
      </c>
      <c r="O863" s="26">
        <f t="shared" si="498"/>
        <v>-2.4866558770574994</v>
      </c>
      <c r="P863" s="26">
        <f t="shared" si="499"/>
        <v>7.679896331935912E-2</v>
      </c>
      <c r="Q863" s="26">
        <f t="shared" si="500"/>
        <v>2.9490403834641337E-3</v>
      </c>
      <c r="R863" s="26">
        <f t="shared" si="501"/>
        <v>-9.2410191389635337</v>
      </c>
      <c r="S863" s="26">
        <f t="shared" si="502"/>
        <v>9.69693011088291E-5</v>
      </c>
      <c r="T863" s="26">
        <f t="shared" si="503"/>
        <v>1.8952105540004189</v>
      </c>
      <c r="U863" s="26">
        <f t="shared" si="504"/>
        <v>0.86934849391339852</v>
      </c>
      <c r="V863" s="26">
        <f t="shared" si="505"/>
        <v>2.5658240077724703</v>
      </c>
      <c r="W863" s="26">
        <f t="shared" si="506"/>
        <v>0.92862941935050347</v>
      </c>
      <c r="X863" s="26">
        <f t="shared" si="507"/>
        <v>2.5468798911231442E-3</v>
      </c>
      <c r="Y863" s="26">
        <f t="shared" si="508"/>
        <v>2.3514014543163251</v>
      </c>
      <c r="Z863" s="26">
        <f t="shared" si="509"/>
        <v>0.91304555816354249</v>
      </c>
      <c r="AA863" s="26">
        <f t="shared" si="510"/>
        <v>-6.8727242469756646</v>
      </c>
      <c r="AB863" s="26">
        <f t="shared" si="511"/>
        <v>1.0345803815730882E-3</v>
      </c>
      <c r="AC863" s="26">
        <f t="shared" si="512"/>
        <v>2.7370438650084661</v>
      </c>
      <c r="AD863" s="26">
        <f t="shared" si="513"/>
        <v>0.93917745196426283</v>
      </c>
      <c r="AE863" s="26">
        <f t="shared" si="514"/>
        <v>1.8496911747797776E-3</v>
      </c>
      <c r="AF863" s="26">
        <f t="shared" si="515"/>
        <v>-3.4056926599211952</v>
      </c>
      <c r="AG863" s="26">
        <f t="shared" si="516"/>
        <v>3.2118027929902149E-2</v>
      </c>
      <c r="AH863" s="26">
        <f t="shared" si="517"/>
        <v>-2.6433578202089643</v>
      </c>
      <c r="AI863" s="26">
        <f t="shared" si="518"/>
        <v>6.6399578727552588E-2</v>
      </c>
      <c r="AJ863" s="26">
        <f t="shared" si="519"/>
        <v>-2.6186055260772001</v>
      </c>
      <c r="AK863" s="26">
        <f t="shared" si="520"/>
        <v>6.7950556991327724E-2</v>
      </c>
      <c r="AL863" s="26">
        <f t="shared" si="521"/>
        <v>2.3086390977158384E-3</v>
      </c>
      <c r="AM863" s="27">
        <f t="shared" si="522"/>
        <v>9.6542505470828942E-3</v>
      </c>
    </row>
    <row r="864" spans="1:39" ht="15" customHeight="1" x14ac:dyDescent="0.2">
      <c r="A864" s="24">
        <v>853</v>
      </c>
      <c r="B864" s="29">
        <f t="shared" si="523"/>
        <v>5.8362609716514733</v>
      </c>
      <c r="C864" s="29">
        <f t="shared" si="524"/>
        <v>-5.7579711275377079</v>
      </c>
      <c r="D864" s="29">
        <f t="shared" si="525"/>
        <v>-3.4840221939802882</v>
      </c>
      <c r="E864" s="29">
        <f t="shared" si="526"/>
        <v>-4.5403367522094875</v>
      </c>
      <c r="F864" s="29">
        <f t="shared" si="527"/>
        <v>4.2311838471528862</v>
      </c>
      <c r="G864" s="29">
        <f t="shared" si="528"/>
        <v>-2.335260626034974</v>
      </c>
      <c r="H864" s="29">
        <f t="shared" si="529"/>
        <v>6.5809857997671601</v>
      </c>
      <c r="I864" s="29">
        <f t="shared" si="530"/>
        <v>6.7224162242689296</v>
      </c>
      <c r="J864" s="29">
        <f t="shared" si="531"/>
        <v>-3.2775688396989873</v>
      </c>
      <c r="K864" s="26">
        <f t="shared" si="494"/>
        <v>-3.4840221939802882</v>
      </c>
      <c r="L864" s="26">
        <f t="shared" si="495"/>
        <v>2.9770282709195572E-2</v>
      </c>
      <c r="M864" s="26">
        <f t="shared" si="496"/>
        <v>-2.335260626034974</v>
      </c>
      <c r="N864" s="26">
        <f t="shared" si="497"/>
        <v>8.8244489143553179E-2</v>
      </c>
      <c r="O864" s="26">
        <f t="shared" si="498"/>
        <v>-2.4884348464137718</v>
      </c>
      <c r="P864" s="26">
        <f t="shared" si="499"/>
        <v>7.6672927742560293E-2</v>
      </c>
      <c r="Q864" s="26">
        <f t="shared" si="500"/>
        <v>2.9393689243079361E-3</v>
      </c>
      <c r="R864" s="26">
        <f t="shared" si="501"/>
        <v>-9.2419933215179952</v>
      </c>
      <c r="S864" s="26">
        <f t="shared" si="502"/>
        <v>9.6874890452808285E-5</v>
      </c>
      <c r="T864" s="26">
        <f t="shared" si="503"/>
        <v>1.8959232211179122</v>
      </c>
      <c r="U864" s="26">
        <f t="shared" si="504"/>
        <v>0.86942941854443123</v>
      </c>
      <c r="V864" s="26">
        <f t="shared" si="505"/>
        <v>2.567735121659223</v>
      </c>
      <c r="W864" s="26">
        <f t="shared" si="506"/>
        <v>0.92875597819281774</v>
      </c>
      <c r="X864" s="26">
        <f t="shared" si="507"/>
        <v>2.5378553216311305E-3</v>
      </c>
      <c r="Y864" s="26">
        <f t="shared" si="508"/>
        <v>2.3522387776711851</v>
      </c>
      <c r="Z864" s="26">
        <f t="shared" si="509"/>
        <v>0.91311201309635315</v>
      </c>
      <c r="AA864" s="26">
        <f t="shared" si="510"/>
        <v>-6.8755973782444615</v>
      </c>
      <c r="AB864" s="26">
        <f t="shared" si="511"/>
        <v>1.0316152244722828E-3</v>
      </c>
      <c r="AC864" s="26">
        <f t="shared" si="512"/>
        <v>2.7385432990071132</v>
      </c>
      <c r="AD864" s="26">
        <f t="shared" si="513"/>
        <v>0.9392630479984706</v>
      </c>
      <c r="AE864" s="26">
        <f t="shared" si="514"/>
        <v>1.844488669218043E-3</v>
      </c>
      <c r="AF864" s="26">
        <f t="shared" si="515"/>
        <v>-3.4057323498665228</v>
      </c>
      <c r="AG864" s="26">
        <f t="shared" si="516"/>
        <v>3.2116794132907946E-2</v>
      </c>
      <c r="AH864" s="26">
        <f t="shared" si="517"/>
        <v>-2.6444135310915753</v>
      </c>
      <c r="AI864" s="26">
        <f t="shared" si="518"/>
        <v>6.6334164447579932E-2</v>
      </c>
      <c r="AJ864" s="26">
        <f t="shared" si="519"/>
        <v>-2.62028281027054</v>
      </c>
      <c r="AK864" s="26">
        <f t="shared" si="520"/>
        <v>6.7844406033160193E-2</v>
      </c>
      <c r="AL864" s="26">
        <f t="shared" si="521"/>
        <v>2.3014317149961517E-3</v>
      </c>
      <c r="AM864" s="27">
        <f t="shared" si="522"/>
        <v>9.6231446301532613E-3</v>
      </c>
    </row>
    <row r="865" spans="1:39" ht="15" customHeight="1" x14ac:dyDescent="0.2">
      <c r="A865" s="24">
        <v>854</v>
      </c>
      <c r="B865" s="29">
        <f t="shared" si="523"/>
        <v>5.8371923607885217</v>
      </c>
      <c r="C865" s="29">
        <f t="shared" si="524"/>
        <v>-5.7588458557808444</v>
      </c>
      <c r="D865" s="29">
        <f t="shared" si="525"/>
        <v>-3.4841195822243649</v>
      </c>
      <c r="E865" s="29">
        <f t="shared" si="526"/>
        <v>-4.5420991147203029</v>
      </c>
      <c r="F865" s="29">
        <f t="shared" si="527"/>
        <v>4.2329950031189538</v>
      </c>
      <c r="G865" s="29">
        <f t="shared" si="528"/>
        <v>-2.3363612968236027</v>
      </c>
      <c r="H865" s="29">
        <f t="shared" si="529"/>
        <v>6.5838507237504666</v>
      </c>
      <c r="I865" s="29">
        <f t="shared" si="530"/>
        <v>6.725754769744742</v>
      </c>
      <c r="J865" s="29">
        <f t="shared" si="531"/>
        <v>-3.279108405697448</v>
      </c>
      <c r="K865" s="26">
        <f t="shared" si="494"/>
        <v>-3.4841195822243649</v>
      </c>
      <c r="L865" s="26">
        <f t="shared" si="495"/>
        <v>2.9767469874705438E-2</v>
      </c>
      <c r="M865" s="26">
        <f t="shared" si="496"/>
        <v>-2.3363612968236027</v>
      </c>
      <c r="N865" s="26">
        <f t="shared" si="497"/>
        <v>8.8155972159913581E-2</v>
      </c>
      <c r="O865" s="26">
        <f t="shared" si="498"/>
        <v>-2.4902083773826247</v>
      </c>
      <c r="P865" s="26">
        <f t="shared" si="499"/>
        <v>7.654746628167057E-2</v>
      </c>
      <c r="Q865" s="26">
        <f t="shared" si="500"/>
        <v>2.9297572970717464E-3</v>
      </c>
      <c r="R865" s="26">
        <f t="shared" si="501"/>
        <v>-9.2429654380052089</v>
      </c>
      <c r="S865" s="26">
        <f t="shared" si="502"/>
        <v>9.6780771643438455E-5</v>
      </c>
      <c r="T865" s="26">
        <f t="shared" si="503"/>
        <v>1.8966337062953511</v>
      </c>
      <c r="U865" s="26">
        <f t="shared" si="504"/>
        <v>0.86951005300719308</v>
      </c>
      <c r="V865" s="26">
        <f t="shared" si="505"/>
        <v>2.5696401708101142</v>
      </c>
      <c r="W865" s="26">
        <f t="shared" si="506"/>
        <v>0.92888192916281964</v>
      </c>
      <c r="X865" s="26">
        <f t="shared" si="507"/>
        <v>2.5288899998011016E-3</v>
      </c>
      <c r="Y865" s="26">
        <f t="shared" si="508"/>
        <v>2.3530727785641568</v>
      </c>
      <c r="Z865" s="26">
        <f t="shared" si="509"/>
        <v>0.91317815865336049</v>
      </c>
      <c r="AA865" s="26">
        <f t="shared" si="510"/>
        <v>-6.8784604115439052</v>
      </c>
      <c r="AB865" s="26">
        <f t="shared" si="511"/>
        <v>1.0286689336331813E-3</v>
      </c>
      <c r="AC865" s="26">
        <f t="shared" si="512"/>
        <v>2.7400388500524695</v>
      </c>
      <c r="AD865" s="26">
        <f t="shared" si="513"/>
        <v>0.93934831012859132</v>
      </c>
      <c r="AE865" s="26">
        <f t="shared" si="514"/>
        <v>1.839313742128769E-3</v>
      </c>
      <c r="AF865" s="26">
        <f t="shared" si="515"/>
        <v>-3.4057730772166876</v>
      </c>
      <c r="AG865" s="26">
        <f t="shared" si="516"/>
        <v>3.2115528134903627E-2</v>
      </c>
      <c r="AH865" s="26">
        <f t="shared" si="517"/>
        <v>-2.6454654084249518</v>
      </c>
      <c r="AI865" s="26">
        <f t="shared" si="518"/>
        <v>6.6269047246771934E-2</v>
      </c>
      <c r="AJ865" s="26">
        <f t="shared" si="519"/>
        <v>-2.6219552019364185</v>
      </c>
      <c r="AK865" s="26">
        <f t="shared" si="520"/>
        <v>6.7738717813414437E-2</v>
      </c>
      <c r="AL865" s="26">
        <f t="shared" si="521"/>
        <v>2.2942669455026953E-3</v>
      </c>
      <c r="AM865" s="27">
        <f t="shared" si="522"/>
        <v>9.5922279845043115E-3</v>
      </c>
    </row>
    <row r="866" spans="1:39" ht="15" customHeight="1" x14ac:dyDescent="0.2">
      <c r="A866" s="24">
        <v>855</v>
      </c>
      <c r="B866" s="29">
        <f t="shared" si="523"/>
        <v>5.8381206657146496</v>
      </c>
      <c r="C866" s="29">
        <f t="shared" si="524"/>
        <v>-5.7597183101027385</v>
      </c>
      <c r="D866" s="29">
        <f t="shared" si="525"/>
        <v>-3.4842171858658095</v>
      </c>
      <c r="E866" s="29">
        <f t="shared" si="526"/>
        <v>-4.543855498929843</v>
      </c>
      <c r="F866" s="29">
        <f t="shared" si="527"/>
        <v>4.2347999342286178</v>
      </c>
      <c r="G866" s="29">
        <f t="shared" si="528"/>
        <v>-2.3374579119536412</v>
      </c>
      <c r="H866" s="29">
        <f t="shared" si="529"/>
        <v>6.5867082246992164</v>
      </c>
      <c r="I866" s="29">
        <f t="shared" si="530"/>
        <v>6.7290828620479424</v>
      </c>
      <c r="J866" s="29">
        <f t="shared" si="531"/>
        <v>-3.2806435088301131</v>
      </c>
      <c r="K866" s="26">
        <f t="shared" si="494"/>
        <v>-3.4842171858658095</v>
      </c>
      <c r="L866" s="26">
        <f t="shared" si="495"/>
        <v>2.9764651077431516E-2</v>
      </c>
      <c r="M866" s="26">
        <f t="shared" si="496"/>
        <v>-2.3374579119536412</v>
      </c>
      <c r="N866" s="26">
        <f t="shared" si="497"/>
        <v>8.8067861107387818E-2</v>
      </c>
      <c r="O866" s="26">
        <f t="shared" si="498"/>
        <v>-2.4919765018981508</v>
      </c>
      <c r="P866" s="26">
        <f t="shared" si="499"/>
        <v>7.6422574722285974E-2</v>
      </c>
      <c r="Q866" s="26">
        <f t="shared" si="500"/>
        <v>2.9202049635916917E-3</v>
      </c>
      <c r="R866" s="26">
        <f t="shared" si="501"/>
        <v>-9.2439354959685485</v>
      </c>
      <c r="S866" s="26">
        <f t="shared" si="502"/>
        <v>9.6686943279297556E-5</v>
      </c>
      <c r="T866" s="26">
        <f t="shared" si="503"/>
        <v>1.8973420222749766</v>
      </c>
      <c r="U866" s="26">
        <f t="shared" si="504"/>
        <v>0.86959039914970404</v>
      </c>
      <c r="V866" s="26">
        <f t="shared" si="505"/>
        <v>2.5715391917741095</v>
      </c>
      <c r="W866" s="26">
        <f t="shared" si="506"/>
        <v>0.92900727691213947</v>
      </c>
      <c r="X866" s="26">
        <f t="shared" si="507"/>
        <v>2.519983365714823E-3</v>
      </c>
      <c r="Y866" s="26">
        <f t="shared" si="508"/>
        <v>2.3539034798488401</v>
      </c>
      <c r="Z866" s="26">
        <f t="shared" si="509"/>
        <v>0.91324399721412841</v>
      </c>
      <c r="AA866" s="26">
        <f t="shared" si="510"/>
        <v>-6.8813134108834841</v>
      </c>
      <c r="AB866" s="26">
        <f t="shared" si="511"/>
        <v>1.0257413303929636E-3</v>
      </c>
      <c r="AC866" s="26">
        <f t="shared" si="512"/>
        <v>2.7415305371846164</v>
      </c>
      <c r="AD866" s="26">
        <f t="shared" si="513"/>
        <v>0.93943324043609044</v>
      </c>
      <c r="AE866" s="26">
        <f t="shared" si="514"/>
        <v>1.8341661820362148E-3</v>
      </c>
      <c r="AF866" s="26">
        <f t="shared" si="515"/>
        <v>-3.4058148302538984</v>
      </c>
      <c r="AG866" s="26">
        <f t="shared" si="516"/>
        <v>3.2114230303797467E-2</v>
      </c>
      <c r="AH866" s="26">
        <f t="shared" si="517"/>
        <v>-2.6465134766548664</v>
      </c>
      <c r="AI866" s="26">
        <f t="shared" si="518"/>
        <v>6.6204224918987933E-2</v>
      </c>
      <c r="AJ866" s="26">
        <f t="shared" si="519"/>
        <v>-2.6236227286606768</v>
      </c>
      <c r="AK866" s="26">
        <f t="shared" si="520"/>
        <v>6.7633489068107094E-2</v>
      </c>
      <c r="AL866" s="26">
        <f t="shared" si="521"/>
        <v>2.2871444217628808E-3</v>
      </c>
      <c r="AM866" s="27">
        <f t="shared" si="522"/>
        <v>9.56149893310561E-3</v>
      </c>
    </row>
    <row r="867" spans="1:39" ht="15" customHeight="1" x14ac:dyDescent="0.2">
      <c r="A867" s="24">
        <v>856</v>
      </c>
      <c r="B867" s="29">
        <f t="shared" si="523"/>
        <v>5.8390459055195816</v>
      </c>
      <c r="C867" s="29">
        <f t="shared" si="524"/>
        <v>-5.7605885015608482</v>
      </c>
      <c r="D867" s="29">
        <f t="shared" si="525"/>
        <v>-3.4843150013578841</v>
      </c>
      <c r="E867" s="29">
        <f t="shared" si="526"/>
        <v>-4.5456059416971435</v>
      </c>
      <c r="F867" s="29">
        <f t="shared" si="527"/>
        <v>4.2365986796862121</v>
      </c>
      <c r="G867" s="29">
        <f t="shared" si="528"/>
        <v>-2.3385504979969376</v>
      </c>
      <c r="H867" s="29">
        <f t="shared" si="529"/>
        <v>6.5895583392169375</v>
      </c>
      <c r="I867" s="29">
        <f t="shared" si="530"/>
        <v>6.7324005637271851</v>
      </c>
      <c r="J867" s="29">
        <f t="shared" si="531"/>
        <v>-3.2821741741935901</v>
      </c>
      <c r="K867" s="26">
        <f t="shared" si="494"/>
        <v>-3.4843150013578841</v>
      </c>
      <c r="L867" s="26">
        <f t="shared" si="495"/>
        <v>2.9761826421480467E-2</v>
      </c>
      <c r="M867" s="26">
        <f t="shared" si="496"/>
        <v>-2.3385504979969376</v>
      </c>
      <c r="N867" s="26">
        <f t="shared" si="497"/>
        <v>8.798015291585648E-2</v>
      </c>
      <c r="O867" s="26">
        <f t="shared" si="498"/>
        <v>-2.4937392516200805</v>
      </c>
      <c r="P867" s="26">
        <f t="shared" si="499"/>
        <v>7.6298248892360282E-2</v>
      </c>
      <c r="Q867" s="26">
        <f t="shared" si="500"/>
        <v>2.9107113920202785E-3</v>
      </c>
      <c r="R867" s="26">
        <f t="shared" si="501"/>
        <v>-9.2449035029187314</v>
      </c>
      <c r="S867" s="26">
        <f t="shared" si="502"/>
        <v>9.6593403967395046E-5</v>
      </c>
      <c r="T867" s="26">
        <f t="shared" si="503"/>
        <v>1.8980481816892745</v>
      </c>
      <c r="U867" s="26">
        <f t="shared" si="504"/>
        <v>0.86967045880309923</v>
      </c>
      <c r="V867" s="26">
        <f t="shared" si="505"/>
        <v>2.573432220779901</v>
      </c>
      <c r="W867" s="26">
        <f t="shared" si="506"/>
        <v>0.92913202604401379</v>
      </c>
      <c r="X867" s="26">
        <f t="shared" si="507"/>
        <v>2.5111348663131696E-3</v>
      </c>
      <c r="Y867" s="26">
        <f t="shared" si="508"/>
        <v>2.3547309041616975</v>
      </c>
      <c r="Z867" s="26">
        <f t="shared" si="509"/>
        <v>0.91330953113333146</v>
      </c>
      <c r="AA867" s="26">
        <f t="shared" si="510"/>
        <v>-6.8841564396940811</v>
      </c>
      <c r="AB867" s="26">
        <f t="shared" si="511"/>
        <v>1.0228322383100143E-3</v>
      </c>
      <c r="AC867" s="26">
        <f t="shared" si="512"/>
        <v>2.7430183793101626</v>
      </c>
      <c r="AD867" s="26">
        <f t="shared" si="513"/>
        <v>0.93951784098489388</v>
      </c>
      <c r="AE867" s="26">
        <f t="shared" si="514"/>
        <v>1.8290457795642912E-3</v>
      </c>
      <c r="AF867" s="26">
        <f t="shared" si="515"/>
        <v>-3.4058575973991507</v>
      </c>
      <c r="AG867" s="26">
        <f t="shared" si="516"/>
        <v>3.2112901003219334E-2</v>
      </c>
      <c r="AH867" s="26">
        <f t="shared" si="517"/>
        <v>-2.647557760007869</v>
      </c>
      <c r="AI867" s="26">
        <f t="shared" si="518"/>
        <v>6.6139695280471977E-2</v>
      </c>
      <c r="AJ867" s="26">
        <f t="shared" si="519"/>
        <v>-2.6252854178003844</v>
      </c>
      <c r="AK867" s="26">
        <f t="shared" si="520"/>
        <v>6.7528716564892621E-2</v>
      </c>
      <c r="AL867" s="26">
        <f t="shared" si="521"/>
        <v>2.2800637804508013E-3</v>
      </c>
      <c r="AM867" s="27">
        <f t="shared" si="522"/>
        <v>9.5309558183485407E-3</v>
      </c>
    </row>
    <row r="868" spans="1:39" ht="15" customHeight="1" x14ac:dyDescent="0.2">
      <c r="A868" s="24">
        <v>857</v>
      </c>
      <c r="B868" s="29">
        <f t="shared" si="523"/>
        <v>5.8399680991235634</v>
      </c>
      <c r="C868" s="29">
        <f t="shared" si="524"/>
        <v>-5.7614564411349916</v>
      </c>
      <c r="D868" s="29">
        <f t="shared" si="525"/>
        <v>-3.4844130251989154</v>
      </c>
      <c r="E868" s="29">
        <f t="shared" si="526"/>
        <v>-4.5473504795560187</v>
      </c>
      <c r="F868" s="29">
        <f t="shared" si="527"/>
        <v>4.2383912783409192</v>
      </c>
      <c r="G868" s="29">
        <f t="shared" si="528"/>
        <v>-2.3396390812787016</v>
      </c>
      <c r="H868" s="29">
        <f t="shared" si="529"/>
        <v>6.5924011036465089</v>
      </c>
      <c r="I868" s="29">
        <f t="shared" si="530"/>
        <v>6.7357079367858423</v>
      </c>
      <c r="J868" s="29">
        <f t="shared" si="531"/>
        <v>-3.2837004266767158</v>
      </c>
      <c r="K868" s="26">
        <f t="shared" si="494"/>
        <v>-3.4844130251989154</v>
      </c>
      <c r="L868" s="26">
        <f t="shared" si="495"/>
        <v>2.9758996009623513E-2</v>
      </c>
      <c r="M868" s="26">
        <f t="shared" si="496"/>
        <v>-2.3396390812787016</v>
      </c>
      <c r="N868" s="26">
        <f t="shared" si="497"/>
        <v>8.789284454710164E-2</v>
      </c>
      <c r="O868" s="26">
        <f t="shared" si="498"/>
        <v>-2.4954966579368651</v>
      </c>
      <c r="P868" s="26">
        <f t="shared" si="499"/>
        <v>7.6174484661667138E-2</v>
      </c>
      <c r="Q868" s="26">
        <f t="shared" si="500"/>
        <v>2.9012760567352809E-3</v>
      </c>
      <c r="R868" s="26">
        <f t="shared" si="501"/>
        <v>-9.2458694663339074</v>
      </c>
      <c r="S868" s="26">
        <f t="shared" si="502"/>
        <v>9.6500152323118299E-5</v>
      </c>
      <c r="T868" s="26">
        <f t="shared" si="503"/>
        <v>1.8987521970622177</v>
      </c>
      <c r="U868" s="26">
        <f t="shared" si="504"/>
        <v>0.86975023378182847</v>
      </c>
      <c r="V868" s="26">
        <f t="shared" si="505"/>
        <v>2.5753192937395646</v>
      </c>
      <c r="W868" s="26">
        <f t="shared" si="506"/>
        <v>0.92925618111391717</v>
      </c>
      <c r="X868" s="26">
        <f t="shared" si="507"/>
        <v>2.5023439552934448E-3</v>
      </c>
      <c r="Y868" s="26">
        <f t="shared" si="508"/>
        <v>2.355555073924648</v>
      </c>
      <c r="Z868" s="26">
        <f t="shared" si="509"/>
        <v>0.91337476274108131</v>
      </c>
      <c r="AA868" s="26">
        <f t="shared" si="510"/>
        <v>-6.8869895608347207</v>
      </c>
      <c r="AB868" s="26">
        <f t="shared" si="511"/>
        <v>1.0199414831299288E-3</v>
      </c>
      <c r="AC868" s="26">
        <f t="shared" si="512"/>
        <v>2.7445023952034324</v>
      </c>
      <c r="AD868" s="26">
        <f t="shared" si="513"/>
        <v>0.93960211382157188</v>
      </c>
      <c r="AE868" s="26">
        <f t="shared" si="514"/>
        <v>1.8239523274111791E-3</v>
      </c>
      <c r="AF868" s="26">
        <f t="shared" si="515"/>
        <v>-3.4059013672103435</v>
      </c>
      <c r="AG868" s="26">
        <f t="shared" si="516"/>
        <v>3.2111540592576621E-2</v>
      </c>
      <c r="AH868" s="26">
        <f t="shared" si="517"/>
        <v>-2.648598282493801</v>
      </c>
      <c r="AI868" s="26">
        <f t="shared" si="518"/>
        <v>6.6075456169567115E-2</v>
      </c>
      <c r="AJ868" s="26">
        <f t="shared" si="519"/>
        <v>-2.626943296486326</v>
      </c>
      <c r="AK868" s="26">
        <f t="shared" si="520"/>
        <v>6.7424397102674727E-2</v>
      </c>
      <c r="AL868" s="26">
        <f t="shared" si="521"/>
        <v>2.2730246623295859E-3</v>
      </c>
      <c r="AM868" s="27">
        <f t="shared" si="522"/>
        <v>9.5005970017694903E-3</v>
      </c>
    </row>
    <row r="869" spans="1:39" ht="15" customHeight="1" x14ac:dyDescent="0.2">
      <c r="A869" s="24">
        <v>858</v>
      </c>
      <c r="B869" s="29">
        <f t="shared" si="523"/>
        <v>5.8408872652792958</v>
      </c>
      <c r="C869" s="29">
        <f t="shared" si="524"/>
        <v>-5.7623221397280551</v>
      </c>
      <c r="D869" s="29">
        <f t="shared" si="525"/>
        <v>-3.4845112539316738</v>
      </c>
      <c r="E869" s="29">
        <f t="shared" si="526"/>
        <v>-4.549089148718771</v>
      </c>
      <c r="F869" s="29">
        <f t="shared" si="527"/>
        <v>4.2401777686909421</v>
      </c>
      <c r="G869" s="29">
        <f t="shared" si="528"/>
        <v>-2.3407236878804443</v>
      </c>
      <c r="H869" s="29">
        <f t="shared" si="529"/>
        <v>6.5952365540725451</v>
      </c>
      <c r="I869" s="29">
        <f t="shared" si="530"/>
        <v>6.739005042688202</v>
      </c>
      <c r="J869" s="29">
        <f t="shared" si="531"/>
        <v>-3.2852222909628157</v>
      </c>
      <c r="K869" s="26">
        <f t="shared" si="494"/>
        <v>-3.4845112539316738</v>
      </c>
      <c r="L869" s="26">
        <f t="shared" si="495"/>
        <v>2.9756159943314747E-2</v>
      </c>
      <c r="M869" s="26">
        <f t="shared" si="496"/>
        <v>-2.3407236878804443</v>
      </c>
      <c r="N869" s="26">
        <f t="shared" si="497"/>
        <v>8.78059329943882E-2</v>
      </c>
      <c r="O869" s="26">
        <f t="shared" si="498"/>
        <v>-2.4972487519687125</v>
      </c>
      <c r="P869" s="26">
        <f t="shared" si="499"/>
        <v>7.6051277941270617E-2</v>
      </c>
      <c r="Q869" s="26">
        <f t="shared" si="500"/>
        <v>2.8918984382501974E-3</v>
      </c>
      <c r="R869" s="26">
        <f t="shared" si="501"/>
        <v>-9.2468333936597293</v>
      </c>
      <c r="S869" s="26">
        <f t="shared" si="502"/>
        <v>9.640718697018139E-5</v>
      </c>
      <c r="T869" s="26">
        <f t="shared" si="503"/>
        <v>1.8994540808104978</v>
      </c>
      <c r="U869" s="26">
        <f t="shared" si="504"/>
        <v>0.86982972588385454</v>
      </c>
      <c r="V869" s="26">
        <f t="shared" si="505"/>
        <v>2.5772004462521574</v>
      </c>
      <c r="W869" s="26">
        <f t="shared" si="506"/>
        <v>0.92937974663018608</v>
      </c>
      <c r="X869" s="26">
        <f t="shared" si="507"/>
        <v>2.4936100930083574E-3</v>
      </c>
      <c r="Y869" s="26">
        <f t="shared" si="508"/>
        <v>2.356376011347622</v>
      </c>
      <c r="Z869" s="26">
        <f t="shared" si="509"/>
        <v>0.91343969434324612</v>
      </c>
      <c r="AA869" s="26">
        <f t="shared" si="510"/>
        <v>-6.8898128365992157</v>
      </c>
      <c r="AB869" s="26">
        <f t="shared" si="511"/>
        <v>1.0170688927521386E-3</v>
      </c>
      <c r="AC869" s="26">
        <f t="shared" si="512"/>
        <v>2.745982603507632</v>
      </c>
      <c r="AD869" s="26">
        <f t="shared" si="513"/>
        <v>0.93968606097551899</v>
      </c>
      <c r="AE869" s="26">
        <f t="shared" si="514"/>
        <v>1.8188856203244068E-3</v>
      </c>
      <c r="AF869" s="26">
        <f t="shared" si="515"/>
        <v>-3.4059461283804331</v>
      </c>
      <c r="AG869" s="26">
        <f t="shared" si="516"/>
        <v>3.211014942710911E-2</v>
      </c>
      <c r="AH869" s="26">
        <f t="shared" si="517"/>
        <v>-2.6496350679082732</v>
      </c>
      <c r="AI869" s="26">
        <f t="shared" si="518"/>
        <v>6.6011505446433763E-2</v>
      </c>
      <c r="AJ869" s="26">
        <f t="shared" si="519"/>
        <v>-2.6285963916254573</v>
      </c>
      <c r="AK869" s="26">
        <f t="shared" si="520"/>
        <v>6.7320527511223652E-2</v>
      </c>
      <c r="AL869" s="26">
        <f t="shared" si="521"/>
        <v>2.2660267121947103E-3</v>
      </c>
      <c r="AM869" s="27">
        <f t="shared" si="522"/>
        <v>9.4704208637776711E-3</v>
      </c>
    </row>
    <row r="870" spans="1:39" ht="15" customHeight="1" x14ac:dyDescent="0.2">
      <c r="A870" s="24">
        <v>859</v>
      </c>
      <c r="B870" s="29">
        <f t="shared" si="523"/>
        <v>5.8418034225738431</v>
      </c>
      <c r="C870" s="29">
        <f t="shared" si="524"/>
        <v>-5.7631856081666903</v>
      </c>
      <c r="D870" s="29">
        <f t="shared" si="525"/>
        <v>-3.4846096841427623</v>
      </c>
      <c r="E870" s="29">
        <f t="shared" si="526"/>
        <v>-4.5508219850798488</v>
      </c>
      <c r="F870" s="29">
        <f t="shared" si="527"/>
        <v>4.2419581888876161</v>
      </c>
      <c r="G870" s="29">
        <f t="shared" si="528"/>
        <v>-2.3418043436428797</v>
      </c>
      <c r="H870" s="29">
        <f t="shared" si="529"/>
        <v>6.5980647263237513</v>
      </c>
      <c r="I870" s="29">
        <f t="shared" si="530"/>
        <v>6.7422919423655756</v>
      </c>
      <c r="J870" s="29">
        <f t="shared" si="531"/>
        <v>-3.2867397915319314</v>
      </c>
      <c r="K870" s="26">
        <f t="shared" si="494"/>
        <v>-3.4846096841427623</v>
      </c>
      <c r="L870" s="26">
        <f t="shared" si="495"/>
        <v>2.9753318322709211E-2</v>
      </c>
      <c r="M870" s="26">
        <f t="shared" si="496"/>
        <v>-2.3418043436428797</v>
      </c>
      <c r="N870" s="26">
        <f t="shared" si="497"/>
        <v>8.7719415282051585E-2</v>
      </c>
      <c r="O870" s="26">
        <f t="shared" si="498"/>
        <v>-2.4989955645705857</v>
      </c>
      <c r="P870" s="26">
        <f t="shared" si="499"/>
        <v>7.592862468300364E-2</v>
      </c>
      <c r="Q870" s="26">
        <f t="shared" si="500"/>
        <v>2.8825780231262147E-3</v>
      </c>
      <c r="R870" s="26">
        <f t="shared" si="501"/>
        <v>-9.2477952923094531</v>
      </c>
      <c r="S870" s="26">
        <f t="shared" si="502"/>
        <v>9.6314506540571166E-5</v>
      </c>
      <c r="T870" s="26">
        <f t="shared" si="503"/>
        <v>1.9001538452447364</v>
      </c>
      <c r="U870" s="26">
        <f t="shared" si="504"/>
        <v>0.86990893689084758</v>
      </c>
      <c r="V870" s="26">
        <f t="shared" si="505"/>
        <v>2.5790757136072724</v>
      </c>
      <c r="W870" s="26">
        <f t="shared" si="506"/>
        <v>0.92950272705463144</v>
      </c>
      <c r="X870" s="26">
        <f t="shared" si="507"/>
        <v>2.4849327463668971E-3</v>
      </c>
      <c r="Y870" s="26">
        <f t="shared" si="508"/>
        <v>2.3571937384310808</v>
      </c>
      <c r="Z870" s="26">
        <f t="shared" si="509"/>
        <v>0.91350432822176542</v>
      </c>
      <c r="AA870" s="26">
        <f t="shared" si="510"/>
        <v>-6.892626328722729</v>
      </c>
      <c r="AB870" s="26">
        <f t="shared" si="511"/>
        <v>1.014214297197132E-3</v>
      </c>
      <c r="AC870" s="26">
        <f t="shared" si="512"/>
        <v>2.7474590227359981</v>
      </c>
      <c r="AD870" s="26">
        <f t="shared" si="513"/>
        <v>0.93976968445913434</v>
      </c>
      <c r="AE870" s="26">
        <f t="shared" si="514"/>
        <v>1.8138454550761219E-3</v>
      </c>
      <c r="AF870" s="26">
        <f t="shared" si="515"/>
        <v>-3.4059918697356095</v>
      </c>
      <c r="AG870" s="26">
        <f t="shared" si="516"/>
        <v>3.2108727857943206E-2</v>
      </c>
      <c r="AH870" s="26">
        <f t="shared" si="517"/>
        <v>-2.6506681398351124</v>
      </c>
      <c r="AI870" s="26">
        <f t="shared" si="518"/>
        <v>6.5947840992772566E-2</v>
      </c>
      <c r="AJ870" s="26">
        <f t="shared" si="519"/>
        <v>-2.6302447299033309</v>
      </c>
      <c r="AK870" s="26">
        <f t="shared" si="520"/>
        <v>6.7217104650798901E-2</v>
      </c>
      <c r="AL870" s="26">
        <f t="shared" si="521"/>
        <v>2.2590695788182254E-3</v>
      </c>
      <c r="AM870" s="27">
        <f t="shared" si="522"/>
        <v>9.4404258033874595E-3</v>
      </c>
    </row>
    <row r="871" spans="1:39" ht="15" customHeight="1" x14ac:dyDescent="0.2">
      <c r="A871" s="24">
        <v>860</v>
      </c>
      <c r="B871" s="29">
        <f t="shared" si="523"/>
        <v>5.8427165894305135</v>
      </c>
      <c r="C871" s="29">
        <f t="shared" si="524"/>
        <v>-5.7640468572020049</v>
      </c>
      <c r="D871" s="29">
        <f t="shared" si="525"/>
        <v>-3.4847083124620135</v>
      </c>
      <c r="E871" s="29">
        <f t="shared" si="526"/>
        <v>-4.5525490242194504</v>
      </c>
      <c r="F871" s="29">
        <f t="shared" si="527"/>
        <v>4.2437325767394611</v>
      </c>
      <c r="G871" s="29">
        <f t="shared" si="528"/>
        <v>-2.3428810741687811</v>
      </c>
      <c r="H871" s="29">
        <f t="shared" si="529"/>
        <v>6.6008856559752562</v>
      </c>
      <c r="I871" s="29">
        <f t="shared" si="530"/>
        <v>6.7455686962223256</v>
      </c>
      <c r="J871" s="29">
        <f t="shared" si="531"/>
        <v>-3.28825295266302</v>
      </c>
      <c r="K871" s="26">
        <f t="shared" si="494"/>
        <v>-3.4847083124620135</v>
      </c>
      <c r="L871" s="26">
        <f t="shared" si="495"/>
        <v>2.9750471246680652E-2</v>
      </c>
      <c r="M871" s="26">
        <f t="shared" si="496"/>
        <v>-2.3428810741687811</v>
      </c>
      <c r="N871" s="26">
        <f t="shared" si="497"/>
        <v>8.7633288465091996E-2</v>
      </c>
      <c r="O871" s="26">
        <f t="shared" si="498"/>
        <v>-2.5007371263351557</v>
      </c>
      <c r="P871" s="26">
        <f t="shared" si="499"/>
        <v>7.5806520878954606E-2</v>
      </c>
      <c r="Q871" s="26">
        <f t="shared" si="500"/>
        <v>2.8733143038856901E-3</v>
      </c>
      <c r="R871" s="26">
        <f t="shared" si="501"/>
        <v>-9.2487551696640189</v>
      </c>
      <c r="S871" s="26">
        <f t="shared" si="502"/>
        <v>9.6222109674495629E-5</v>
      </c>
      <c r="T871" s="26">
        <f t="shared" si="503"/>
        <v>1.90085150257068</v>
      </c>
      <c r="U871" s="26">
        <f t="shared" si="504"/>
        <v>0.86998786856837762</v>
      </c>
      <c r="V871" s="26">
        <f t="shared" si="505"/>
        <v>2.5809451307885483</v>
      </c>
      <c r="W871" s="26">
        <f t="shared" si="506"/>
        <v>0.92962512680314291</v>
      </c>
      <c r="X871" s="26">
        <f t="shared" si="507"/>
        <v>2.4763113887368571E-3</v>
      </c>
      <c r="Y871" s="26">
        <f t="shared" si="508"/>
        <v>2.3580082769685</v>
      </c>
      <c r="Z871" s="26">
        <f t="shared" si="509"/>
        <v>0.9135686666349605</v>
      </c>
      <c r="AA871" s="26">
        <f t="shared" si="510"/>
        <v>-6.895430098388232</v>
      </c>
      <c r="AB871" s="26">
        <f t="shared" si="511"/>
        <v>1.0113775285742726E-3</v>
      </c>
      <c r="AC871" s="26">
        <f t="shared" si="512"/>
        <v>2.748931671272945</v>
      </c>
      <c r="AD871" s="26">
        <f t="shared" si="513"/>
        <v>0.93985298626799707</v>
      </c>
      <c r="AE871" s="26">
        <f t="shared" si="514"/>
        <v>1.8088316304388744E-3</v>
      </c>
      <c r="AF871" s="26">
        <f t="shared" si="515"/>
        <v>-3.4060385802335049</v>
      </c>
      <c r="AG871" s="26">
        <f t="shared" si="516"/>
        <v>3.2107276232145265E-2</v>
      </c>
      <c r="AH871" s="26">
        <f t="shared" si="517"/>
        <v>-2.6516975216487704</v>
      </c>
      <c r="AI871" s="26">
        <f t="shared" si="518"/>
        <v>6.5884460711551407E-2</v>
      </c>
      <c r="AJ871" s="26">
        <f t="shared" si="519"/>
        <v>-2.6318883377864863</v>
      </c>
      <c r="AK871" s="26">
        <f t="shared" si="520"/>
        <v>6.7114125411777567E-2</v>
      </c>
      <c r="AL871" s="26">
        <f t="shared" si="521"/>
        <v>2.2521529148939036E-3</v>
      </c>
      <c r="AM871" s="27">
        <f t="shared" si="522"/>
        <v>9.4106102379553254E-3</v>
      </c>
    </row>
    <row r="872" spans="1:39" ht="15" customHeight="1" x14ac:dyDescent="0.2">
      <c r="A872" s="24">
        <v>861</v>
      </c>
      <c r="B872" s="29">
        <f t="shared" si="523"/>
        <v>5.8436267841107172</v>
      </c>
      <c r="C872" s="29">
        <f t="shared" si="524"/>
        <v>-5.7649058975102463</v>
      </c>
      <c r="D872" s="29">
        <f t="shared" si="525"/>
        <v>-3.4848071355618981</v>
      </c>
      <c r="E872" s="29">
        <f t="shared" si="526"/>
        <v>-4.5542703014070813</v>
      </c>
      <c r="F872" s="29">
        <f t="shared" si="527"/>
        <v>4.2455009697161739</v>
      </c>
      <c r="G872" s="29">
        <f t="shared" si="528"/>
        <v>-2.3439539048257969</v>
      </c>
      <c r="H872" s="29">
        <f t="shared" si="529"/>
        <v>6.6036993783509175</v>
      </c>
      <c r="I872" s="29">
        <f t="shared" si="530"/>
        <v>6.7488353641418044</v>
      </c>
      <c r="J872" s="29">
        <f t="shared" si="531"/>
        <v>-3.289761798436122</v>
      </c>
      <c r="K872" s="26">
        <f t="shared" si="494"/>
        <v>-3.4848071355618981</v>
      </c>
      <c r="L872" s="26">
        <f t="shared" si="495"/>
        <v>2.9747618812839053E-2</v>
      </c>
      <c r="M872" s="26">
        <f t="shared" si="496"/>
        <v>-2.3439539048257969</v>
      </c>
      <c r="N872" s="26">
        <f t="shared" si="497"/>
        <v>8.754754962877527E-2</v>
      </c>
      <c r="O872" s="26">
        <f t="shared" si="498"/>
        <v>-2.5024734675957183</v>
      </c>
      <c r="P872" s="26">
        <f t="shared" si="499"/>
        <v>7.5684962560961508E-2</v>
      </c>
      <c r="Q872" s="26">
        <f t="shared" si="500"/>
        <v>2.8641067789270725E-3</v>
      </c>
      <c r="R872" s="26">
        <f t="shared" si="501"/>
        <v>-9.249713033072144</v>
      </c>
      <c r="S872" s="26">
        <f t="shared" si="502"/>
        <v>9.6129995020331646E-5</v>
      </c>
      <c r="T872" s="26">
        <f t="shared" si="503"/>
        <v>1.9015470648903769</v>
      </c>
      <c r="U872" s="26">
        <f t="shared" si="504"/>
        <v>0.87006652266610318</v>
      </c>
      <c r="V872" s="26">
        <f t="shared" si="505"/>
        <v>2.5828087324771181</v>
      </c>
      <c r="W872" s="26">
        <f t="shared" si="506"/>
        <v>0.92974695024628318</v>
      </c>
      <c r="X872" s="26">
        <f t="shared" si="507"/>
        <v>2.4677454998491056E-3</v>
      </c>
      <c r="Y872" s="26">
        <f t="shared" si="508"/>
        <v>2.3588196485488191</v>
      </c>
      <c r="Z872" s="26">
        <f t="shared" si="509"/>
        <v>0.91363271181784023</v>
      </c>
      <c r="AA872" s="26">
        <f t="shared" si="510"/>
        <v>-6.8982242062328787</v>
      </c>
      <c r="AB872" s="26">
        <f t="shared" si="511"/>
        <v>1.0085584210501914E-3</v>
      </c>
      <c r="AC872" s="26">
        <f t="shared" si="512"/>
        <v>2.7504005673751983</v>
      </c>
      <c r="AD872" s="26">
        <f t="shared" si="513"/>
        <v>0.9399359683810411</v>
      </c>
      <c r="AE872" s="26">
        <f t="shared" si="514"/>
        <v>1.8038439471616474E-3</v>
      </c>
      <c r="AF872" s="26">
        <f t="shared" si="515"/>
        <v>-3.4060862489614272</v>
      </c>
      <c r="AG872" s="26">
        <f t="shared" si="516"/>
        <v>3.2105794892774236E-2</v>
      </c>
      <c r="AH872" s="26">
        <f t="shared" si="517"/>
        <v>-2.6527232365167044</v>
      </c>
      <c r="AI872" s="26">
        <f t="shared" si="518"/>
        <v>6.5821362526736538E-2</v>
      </c>
      <c r="AJ872" s="26">
        <f t="shared" si="519"/>
        <v>-2.633527241524809</v>
      </c>
      <c r="AK872" s="26">
        <f t="shared" si="520"/>
        <v>6.7011586714288335E-2</v>
      </c>
      <c r="AL872" s="26">
        <f t="shared" si="521"/>
        <v>2.2452763769832923E-3</v>
      </c>
      <c r="AM872" s="27">
        <f t="shared" si="522"/>
        <v>9.3809726029211171E-3</v>
      </c>
    </row>
    <row r="873" spans="1:39" ht="15" customHeight="1" x14ac:dyDescent="0.2">
      <c r="A873" s="24">
        <v>862</v>
      </c>
      <c r="B873" s="29">
        <f t="shared" si="523"/>
        <v>5.8445340247157933</v>
      </c>
      <c r="C873" s="29">
        <f t="shared" si="524"/>
        <v>-5.7657627396934732</v>
      </c>
      <c r="D873" s="29">
        <f t="shared" si="525"/>
        <v>-3.4849061501569403</v>
      </c>
      <c r="E873" s="29">
        <f t="shared" si="526"/>
        <v>-4.5559858516050609</v>
      </c>
      <c r="F873" s="29">
        <f t="shared" si="527"/>
        <v>4.2472634049525686</v>
      </c>
      <c r="G873" s="29">
        <f t="shared" si="528"/>
        <v>-2.3450228607492267</v>
      </c>
      <c r="H873" s="29">
        <f t="shared" si="529"/>
        <v>6.6065059285256034</v>
      </c>
      <c r="I873" s="29">
        <f t="shared" si="530"/>
        <v>6.7520920054922176</v>
      </c>
      <c r="J873" s="29">
        <f t="shared" si="531"/>
        <v>-3.2912663527345032</v>
      </c>
      <c r="K873" s="26">
        <f t="shared" si="494"/>
        <v>-3.4849061501569403</v>
      </c>
      <c r="L873" s="26">
        <f t="shared" si="495"/>
        <v>2.9744761117547883E-2</v>
      </c>
      <c r="M873" s="26">
        <f t="shared" si="496"/>
        <v>-2.3450228607492267</v>
      </c>
      <c r="N873" s="26">
        <f t="shared" si="497"/>
        <v>8.7462195888239613E-2</v>
      </c>
      <c r="O873" s="26">
        <f t="shared" si="498"/>
        <v>-2.5042046184290685</v>
      </c>
      <c r="P873" s="26">
        <f t="shared" si="499"/>
        <v>7.5563945800113802E-2</v>
      </c>
      <c r="Q873" s="26">
        <f t="shared" si="500"/>
        <v>2.854954952441268E-3</v>
      </c>
      <c r="R873" s="26">
        <f t="shared" si="501"/>
        <v>-9.250668889850413</v>
      </c>
      <c r="S873" s="26">
        <f t="shared" si="502"/>
        <v>9.6038161234573074E-5</v>
      </c>
      <c r="T873" s="26">
        <f t="shared" si="503"/>
        <v>1.9022405442033419</v>
      </c>
      <c r="U873" s="26">
        <f t="shared" si="504"/>
        <v>0.87014490091795749</v>
      </c>
      <c r="V873" s="26">
        <f t="shared" si="505"/>
        <v>2.5846665530550164</v>
      </c>
      <c r="W873" s="26">
        <f t="shared" si="506"/>
        <v>0.92986820170987294</v>
      </c>
      <c r="X873" s="26">
        <f t="shared" si="507"/>
        <v>2.4592345657035342E-3</v>
      </c>
      <c r="Y873" s="26">
        <f t="shared" si="508"/>
        <v>2.359627874558853</v>
      </c>
      <c r="Z873" s="26">
        <f t="shared" si="509"/>
        <v>0.91369646598240106</v>
      </c>
      <c r="AA873" s="26">
        <f t="shared" si="510"/>
        <v>-6.9010087123542876</v>
      </c>
      <c r="AB873" s="26">
        <f t="shared" si="511"/>
        <v>1.0057568108177465E-3</v>
      </c>
      <c r="AC873" s="26">
        <f t="shared" si="512"/>
        <v>2.7518657291729136</v>
      </c>
      <c r="AD873" s="26">
        <f t="shared" si="513"/>
        <v>0.94001863276072839</v>
      </c>
      <c r="AE873" s="26">
        <f t="shared" si="514"/>
        <v>1.7988822079461828E-3</v>
      </c>
      <c r="AF873" s="26">
        <f t="shared" si="515"/>
        <v>-3.4061348651346202</v>
      </c>
      <c r="AG873" s="26">
        <f t="shared" si="516"/>
        <v>3.2104284178933504E-2</v>
      </c>
      <c r="AH873" s="26">
        <f t="shared" si="517"/>
        <v>-2.653745307401719</v>
      </c>
      <c r="AI873" s="26">
        <f t="shared" si="518"/>
        <v>6.5758544383027945E-2</v>
      </c>
      <c r="AJ873" s="26">
        <f t="shared" si="519"/>
        <v>-2.6351614671538601</v>
      </c>
      <c r="AK873" s="26">
        <f t="shared" si="520"/>
        <v>6.6909485507850502E-2</v>
      </c>
      <c r="AL873" s="26">
        <f t="shared" si="521"/>
        <v>2.2384396254626284E-3</v>
      </c>
      <c r="AM873" s="27">
        <f t="shared" si="522"/>
        <v>9.3515113515536125E-3</v>
      </c>
    </row>
    <row r="874" spans="1:39" ht="15" customHeight="1" x14ac:dyDescent="0.2">
      <c r="A874" s="24">
        <v>863</v>
      </c>
      <c r="B874" s="29">
        <f t="shared" si="523"/>
        <v>5.8454383291888181</v>
      </c>
      <c r="C874" s="29">
        <f t="shared" si="524"/>
        <v>-5.7666173942802281</v>
      </c>
      <c r="D874" s="29">
        <f t="shared" si="525"/>
        <v>-3.4850053530031428</v>
      </c>
      <c r="E874" s="29">
        <f t="shared" si="526"/>
        <v>-4.5576957094719797</v>
      </c>
      <c r="F874" s="29">
        <f t="shared" si="527"/>
        <v>4.249019919252456</v>
      </c>
      <c r="G874" s="29">
        <f t="shared" si="528"/>
        <v>-2.3460879668447574</v>
      </c>
      <c r="H874" s="29">
        <f t="shared" si="529"/>
        <v>6.609305341327449</v>
      </c>
      <c r="I874" s="29">
        <f t="shared" si="530"/>
        <v>6.7553386791324002</v>
      </c>
      <c r="J874" s="29">
        <f t="shared" si="531"/>
        <v>-3.2927666392467652</v>
      </c>
      <c r="K874" s="26">
        <f t="shared" si="494"/>
        <v>-3.4850053530031428</v>
      </c>
      <c r="L874" s="26">
        <f t="shared" si="495"/>
        <v>2.9741898255941049E-2</v>
      </c>
      <c r="M874" s="26">
        <f t="shared" si="496"/>
        <v>-2.3460879668447574</v>
      </c>
      <c r="N874" s="26">
        <f t="shared" si="497"/>
        <v>8.7377224388108715E-2</v>
      </c>
      <c r="O874" s="26">
        <f t="shared" si="498"/>
        <v>-2.5059306086583346</v>
      </c>
      <c r="P874" s="26">
        <f t="shared" si="499"/>
        <v>7.5443466706262063E-2</v>
      </c>
      <c r="Q874" s="26">
        <f t="shared" si="500"/>
        <v>2.8458583343294363E-3</v>
      </c>
      <c r="R874" s="26">
        <f t="shared" si="501"/>
        <v>-9.2516227472833705</v>
      </c>
      <c r="S874" s="26">
        <f t="shared" si="502"/>
        <v>9.594660698177923E-5</v>
      </c>
      <c r="T874" s="26">
        <f t="shared" si="503"/>
        <v>1.9029319524076986</v>
      </c>
      <c r="U874" s="26">
        <f t="shared" si="504"/>
        <v>0.87022300504233319</v>
      </c>
      <c r="V874" s="26">
        <f t="shared" si="505"/>
        <v>2.5865186266085454</v>
      </c>
      <c r="W874" s="26">
        <f t="shared" si="506"/>
        <v>0.92998888547556646</v>
      </c>
      <c r="X874" s="26">
        <f t="shared" si="507"/>
        <v>2.4507780784766742E-3</v>
      </c>
      <c r="Y874" s="26">
        <f t="shared" si="508"/>
        <v>2.3604329761856753</v>
      </c>
      <c r="Z874" s="26">
        <f t="shared" si="509"/>
        <v>0.91375993131792377</v>
      </c>
      <c r="AA874" s="26">
        <f t="shared" si="510"/>
        <v>-6.9037836763167366</v>
      </c>
      <c r="AB874" s="26">
        <f t="shared" si="511"/>
        <v>1.0029725360655353E-3</v>
      </c>
      <c r="AC874" s="26">
        <f t="shared" si="512"/>
        <v>2.7533271746707824</v>
      </c>
      <c r="AD874" s="26">
        <f t="shared" si="513"/>
        <v>0.94010098135321796</v>
      </c>
      <c r="AE874" s="26">
        <f t="shared" si="514"/>
        <v>1.7939462174237715E-3</v>
      </c>
      <c r="AF874" s="26">
        <f t="shared" si="515"/>
        <v>-3.4061844180945529</v>
      </c>
      <c r="AG874" s="26">
        <f t="shared" si="516"/>
        <v>3.210274442582197E-2</v>
      </c>
      <c r="AH874" s="26">
        <f t="shared" si="517"/>
        <v>-2.654763757064281</v>
      </c>
      <c r="AI874" s="26">
        <f t="shared" si="518"/>
        <v>6.5696004245598502E-2</v>
      </c>
      <c r="AJ874" s="26">
        <f t="shared" si="519"/>
        <v>-2.6367910404971719</v>
      </c>
      <c r="AK874" s="26">
        <f t="shared" si="520"/>
        <v>6.6807818771018684E-2</v>
      </c>
      <c r="AL874" s="26">
        <f t="shared" si="521"/>
        <v>2.2316423244706381E-3</v>
      </c>
      <c r="AM874" s="27">
        <f t="shared" si="522"/>
        <v>9.3222249547005205E-3</v>
      </c>
    </row>
    <row r="875" spans="1:39" ht="15" customHeight="1" x14ac:dyDescent="0.2">
      <c r="A875" s="24">
        <v>864</v>
      </c>
      <c r="B875" s="29">
        <f t="shared" si="523"/>
        <v>5.8463397153163834</v>
      </c>
      <c r="C875" s="29">
        <f t="shared" si="524"/>
        <v>-5.7674698717261945</v>
      </c>
      <c r="D875" s="29">
        <f t="shared" si="525"/>
        <v>-3.4851047408974218</v>
      </c>
      <c r="E875" s="29">
        <f t="shared" si="526"/>
        <v>-4.5593999093661113</v>
      </c>
      <c r="F875" s="29">
        <f t="shared" si="527"/>
        <v>4.2507705490924703</v>
      </c>
      <c r="G875" s="29">
        <f t="shared" si="528"/>
        <v>-2.3471492477911586</v>
      </c>
      <c r="H875" s="29">
        <f t="shared" si="529"/>
        <v>6.612097651340088</v>
      </c>
      <c r="I875" s="29">
        <f t="shared" si="530"/>
        <v>6.7585754434175165</v>
      </c>
      <c r="J875" s="29">
        <f t="shared" si="531"/>
        <v>-3.2942626814689309</v>
      </c>
      <c r="K875" s="26">
        <f t="shared" si="494"/>
        <v>-3.4851047408974218</v>
      </c>
      <c r="L875" s="26">
        <f t="shared" si="495"/>
        <v>2.9739030321939679E-2</v>
      </c>
      <c r="M875" s="26">
        <f t="shared" si="496"/>
        <v>-2.3471492477911586</v>
      </c>
      <c r="N875" s="26">
        <f t="shared" si="497"/>
        <v>8.7292632302110942E-2</v>
      </c>
      <c r="O875" s="26">
        <f t="shared" si="498"/>
        <v>-2.50765146785578</v>
      </c>
      <c r="P875" s="26">
        <f t="shared" si="499"/>
        <v>7.5323521427534346E-2</v>
      </c>
      <c r="Q875" s="26">
        <f t="shared" si="500"/>
        <v>2.8368164401221131E-3</v>
      </c>
      <c r="R875" s="26">
        <f t="shared" si="501"/>
        <v>-9.2525746126236168</v>
      </c>
      <c r="S875" s="26">
        <f t="shared" si="502"/>
        <v>9.5855330934523244E-5</v>
      </c>
      <c r="T875" s="26">
        <f t="shared" si="503"/>
        <v>1.9036213013013117</v>
      </c>
      <c r="U875" s="26">
        <f t="shared" si="504"/>
        <v>0.87030083674226222</v>
      </c>
      <c r="V875" s="26">
        <f t="shared" si="505"/>
        <v>2.5883649869315803</v>
      </c>
      <c r="W875" s="26">
        <f t="shared" si="506"/>
        <v>0.9301090057814192</v>
      </c>
      <c r="X875" s="26">
        <f t="shared" si="507"/>
        <v>2.4423755364308478E-3</v>
      </c>
      <c r="Y875" s="26">
        <f t="shared" si="508"/>
        <v>2.3612349744189616</v>
      </c>
      <c r="Z875" s="26">
        <f t="shared" si="509"/>
        <v>0.91382310999126426</v>
      </c>
      <c r="AA875" s="26">
        <f t="shared" si="510"/>
        <v>-6.9065491571572704</v>
      </c>
      <c r="AB875" s="26">
        <f t="shared" si="511"/>
        <v>1.0002054369479517E-3</v>
      </c>
      <c r="AC875" s="26">
        <f t="shared" si="512"/>
        <v>2.754784921749132</v>
      </c>
      <c r="AD875" s="26">
        <f t="shared" si="513"/>
        <v>0.94018301608853461</v>
      </c>
      <c r="AE875" s="26">
        <f t="shared" si="514"/>
        <v>1.7890357821322548E-3</v>
      </c>
      <c r="AF875" s="26">
        <f t="shared" si="515"/>
        <v>-3.4062348973072329</v>
      </c>
      <c r="AG875" s="26">
        <f t="shared" si="516"/>
        <v>3.2101175964784394E-2</v>
      </c>
      <c r="AH875" s="26">
        <f t="shared" si="517"/>
        <v>-2.6557786080647996</v>
      </c>
      <c r="AI875" s="26">
        <f t="shared" si="518"/>
        <v>6.5633740099837259E-2</v>
      </c>
      <c r="AJ875" s="26">
        <f t="shared" si="519"/>
        <v>-2.6384159871685173</v>
      </c>
      <c r="AK875" s="26">
        <f t="shared" si="520"/>
        <v>6.6706583511032341E-2</v>
      </c>
      <c r="AL875" s="26">
        <f t="shared" si="521"/>
        <v>2.2248841418571661E-3</v>
      </c>
      <c r="AM875" s="27">
        <f t="shared" si="522"/>
        <v>9.2931119005423817E-3</v>
      </c>
    </row>
    <row r="876" spans="1:39" ht="15" customHeight="1" x14ac:dyDescent="0.2">
      <c r="A876" s="24">
        <v>865</v>
      </c>
      <c r="B876" s="29">
        <f t="shared" si="523"/>
        <v>5.8472382007303541</v>
      </c>
      <c r="C876" s="29">
        <f t="shared" si="524"/>
        <v>-5.7683201824148504</v>
      </c>
      <c r="D876" s="29">
        <f t="shared" si="525"/>
        <v>-3.4852043106770485</v>
      </c>
      <c r="E876" s="29">
        <f t="shared" si="526"/>
        <v>-4.5610984853487775</v>
      </c>
      <c r="F876" s="29">
        <f t="shared" si="527"/>
        <v>4.252515330625843</v>
      </c>
      <c r="G876" s="29">
        <f t="shared" si="528"/>
        <v>-2.3482067280429417</v>
      </c>
      <c r="H876" s="29">
        <f t="shared" si="529"/>
        <v>6.61488289290486</v>
      </c>
      <c r="I876" s="29">
        <f t="shared" si="530"/>
        <v>6.7618023562046812</v>
      </c>
      <c r="J876" s="29">
        <f t="shared" si="531"/>
        <v>-3.2957545027065001</v>
      </c>
      <c r="K876" s="26">
        <f t="shared" si="494"/>
        <v>-3.4852043106770485</v>
      </c>
      <c r="L876" s="26">
        <f t="shared" si="495"/>
        <v>2.9736157408268547E-2</v>
      </c>
      <c r="M876" s="26">
        <f t="shared" si="496"/>
        <v>-2.3482067280429417</v>
      </c>
      <c r="N876" s="26">
        <f t="shared" si="497"/>
        <v>8.7208416832704236E-2</v>
      </c>
      <c r="O876" s="26">
        <f t="shared" si="498"/>
        <v>-2.5093672253455588</v>
      </c>
      <c r="P876" s="26">
        <f t="shared" si="499"/>
        <v>7.5204106149860575E-2</v>
      </c>
      <c r="Q876" s="26">
        <f t="shared" si="500"/>
        <v>2.8278287908997486E-3</v>
      </c>
      <c r="R876" s="26">
        <f t="shared" si="501"/>
        <v>-9.2535244930918985</v>
      </c>
      <c r="S876" s="26">
        <f t="shared" si="502"/>
        <v>9.576433177334133E-5</v>
      </c>
      <c r="T876" s="26">
        <f t="shared" si="503"/>
        <v>1.9043086025829012</v>
      </c>
      <c r="U876" s="26">
        <f t="shared" si="504"/>
        <v>0.87037839770559589</v>
      </c>
      <c r="V876" s="26">
        <f t="shared" si="505"/>
        <v>2.590205667528851</v>
      </c>
      <c r="W876" s="26">
        <f t="shared" si="506"/>
        <v>0.93022856682244659</v>
      </c>
      <c r="X876" s="26">
        <f t="shared" si="507"/>
        <v>2.4340264438249002E-3</v>
      </c>
      <c r="Y876" s="26">
        <f t="shared" si="508"/>
        <v>2.3620338900533056</v>
      </c>
      <c r="Z876" s="26">
        <f t="shared" si="509"/>
        <v>0.91388600414714194</v>
      </c>
      <c r="AA876" s="26">
        <f t="shared" si="510"/>
        <v>-6.9093052133917192</v>
      </c>
      <c r="AB876" s="26">
        <f t="shared" si="511"/>
        <v>9.9745535555577683E-4</v>
      </c>
      <c r="AC876" s="26">
        <f t="shared" si="512"/>
        <v>2.7562389881650153</v>
      </c>
      <c r="AD876" s="26">
        <f t="shared" si="513"/>
        <v>0.94026473888073614</v>
      </c>
      <c r="AE876" s="26">
        <f t="shared" si="514"/>
        <v>1.7841507104933184E-3</v>
      </c>
      <c r="AF876" s="26">
        <f t="shared" si="515"/>
        <v>-3.4062862923615449</v>
      </c>
      <c r="AG876" s="26">
        <f t="shared" si="516"/>
        <v>3.2099579123361054E-2</v>
      </c>
      <c r="AH876" s="26">
        <f t="shared" si="517"/>
        <v>-2.6567898827658762</v>
      </c>
      <c r="AI876" s="26">
        <f t="shared" si="518"/>
        <v>6.5571749951096422E-2</v>
      </c>
      <c r="AJ876" s="26">
        <f t="shared" si="519"/>
        <v>-2.6400363325741449</v>
      </c>
      <c r="AK876" s="26">
        <f t="shared" si="520"/>
        <v>6.6605776763470612E-2</v>
      </c>
      <c r="AL876" s="26">
        <f t="shared" si="521"/>
        <v>2.2181647491326408E-3</v>
      </c>
      <c r="AM876" s="27">
        <f t="shared" si="522"/>
        <v>9.2641706943506087E-3</v>
      </c>
    </row>
    <row r="877" spans="1:39" ht="15" customHeight="1" x14ac:dyDescent="0.2">
      <c r="A877" s="24">
        <v>866</v>
      </c>
      <c r="B877" s="29">
        <f t="shared" si="523"/>
        <v>5.8481338029095991</v>
      </c>
      <c r="C877" s="29">
        <f t="shared" si="524"/>
        <v>-5.7691683366581161</v>
      </c>
      <c r="D877" s="29">
        <f t="shared" si="525"/>
        <v>-3.4853040592191009</v>
      </c>
      <c r="E877" s="29">
        <f t="shared" si="526"/>
        <v>-4.5627914711876656</v>
      </c>
      <c r="F877" s="29">
        <f t="shared" si="527"/>
        <v>4.2542542996861208</v>
      </c>
      <c r="G877" s="29">
        <f t="shared" si="528"/>
        <v>-2.3492604318329797</v>
      </c>
      <c r="H877" s="29">
        <f t="shared" si="529"/>
        <v>6.6176611001229935</v>
      </c>
      <c r="I877" s="29">
        <f t="shared" si="530"/>
        <v>6.7650194748585042</v>
      </c>
      <c r="J877" s="29">
        <f t="shared" si="531"/>
        <v>-3.2972421260764793</v>
      </c>
      <c r="K877" s="26">
        <f t="shared" si="494"/>
        <v>-3.4853040592191009</v>
      </c>
      <c r="L877" s="26">
        <f t="shared" si="495"/>
        <v>2.9733279606472329E-2</v>
      </c>
      <c r="M877" s="26">
        <f t="shared" si="496"/>
        <v>-2.3492604318329797</v>
      </c>
      <c r="N877" s="26">
        <f t="shared" si="497"/>
        <v>8.7124575210707017E-2</v>
      </c>
      <c r="O877" s="26">
        <f t="shared" si="498"/>
        <v>-2.5110779102064393</v>
      </c>
      <c r="P877" s="26">
        <f t="shared" si="499"/>
        <v>7.5085217096503579E-2</v>
      </c>
      <c r="Q877" s="26">
        <f t="shared" si="500"/>
        <v>2.8188949132145367E-3</v>
      </c>
      <c r="R877" s="26">
        <f t="shared" si="501"/>
        <v>-9.254472395877217</v>
      </c>
      <c r="S877" s="26">
        <f t="shared" si="502"/>
        <v>9.567360818668079E-5</v>
      </c>
      <c r="T877" s="26">
        <f t="shared" si="503"/>
        <v>1.9049938678531411</v>
      </c>
      <c r="U877" s="26">
        <f t="shared" si="504"/>
        <v>0.87045568960517916</v>
      </c>
      <c r="V877" s="26">
        <f t="shared" si="505"/>
        <v>2.5920407016191525</v>
      </c>
      <c r="W877" s="26">
        <f t="shared" si="506"/>
        <v>0.93034757275117275</v>
      </c>
      <c r="X877" s="26">
        <f t="shared" si="507"/>
        <v>2.4257303108265868E-3</v>
      </c>
      <c r="Y877" s="26">
        <f t="shared" si="508"/>
        <v>2.3628297436904981</v>
      </c>
      <c r="Z877" s="26">
        <f t="shared" si="509"/>
        <v>0.91394861590842047</v>
      </c>
      <c r="AA877" s="26">
        <f t="shared" si="510"/>
        <v>-6.9120519030206449</v>
      </c>
      <c r="AB877" s="26">
        <f t="shared" si="511"/>
        <v>9.9472213588728165E-4</v>
      </c>
      <c r="AC877" s="26">
        <f t="shared" si="512"/>
        <v>2.7576893915532756</v>
      </c>
      <c r="AD877" s="26">
        <f t="shared" si="513"/>
        <v>0.94034615162807511</v>
      </c>
      <c r="AE877" s="26">
        <f t="shared" si="514"/>
        <v>1.7792908127903029E-3</v>
      </c>
      <c r="AF877" s="26">
        <f t="shared" si="515"/>
        <v>-3.406338592967618</v>
      </c>
      <c r="AG877" s="26">
        <f t="shared" si="516"/>
        <v>3.2097954225336574E-2</v>
      </c>
      <c r="AH877" s="26">
        <f t="shared" si="517"/>
        <v>-2.6577976033345245</v>
      </c>
      <c r="AI877" s="26">
        <f t="shared" si="518"/>
        <v>6.5510031824442289E-2</v>
      </c>
      <c r="AJ877" s="26">
        <f t="shared" si="519"/>
        <v>-2.6416521019149886</v>
      </c>
      <c r="AK877" s="26">
        <f t="shared" si="520"/>
        <v>6.6505395591912125E-2</v>
      </c>
      <c r="AL877" s="26">
        <f t="shared" si="521"/>
        <v>2.2114838214183623E-3</v>
      </c>
      <c r="AM877" s="27">
        <f t="shared" si="522"/>
        <v>9.235399858249789E-3</v>
      </c>
    </row>
    <row r="878" spans="1:39" ht="15" customHeight="1" x14ac:dyDescent="0.2">
      <c r="A878" s="24">
        <v>867</v>
      </c>
      <c r="B878" s="29">
        <f t="shared" si="523"/>
        <v>5.8490265391817022</v>
      </c>
      <c r="C878" s="29">
        <f t="shared" si="524"/>
        <v>-5.7700143446969916</v>
      </c>
      <c r="D878" s="29">
        <f t="shared" si="525"/>
        <v>-3.4854039834399226</v>
      </c>
      <c r="E878" s="29">
        <f t="shared" si="526"/>
        <v>-4.5644789003601005</v>
      </c>
      <c r="F878" s="29">
        <f t="shared" si="527"/>
        <v>4.2559874917908314</v>
      </c>
      <c r="G878" s="29">
        <f t="shared" si="528"/>
        <v>-2.3503103831750902</v>
      </c>
      <c r="H878" s="29">
        <f t="shared" si="529"/>
        <v>6.6204323068577677</v>
      </c>
      <c r="I878" s="29">
        <f t="shared" si="530"/>
        <v>6.7682268562565584</v>
      </c>
      <c r="J878" s="29">
        <f t="shared" si="531"/>
        <v>-3.2987255745093842</v>
      </c>
      <c r="K878" s="26">
        <f t="shared" si="494"/>
        <v>-3.4854039834399226</v>
      </c>
      <c r="L878" s="26">
        <f t="shared" si="495"/>
        <v>2.9730397006931589E-2</v>
      </c>
      <c r="M878" s="26">
        <f t="shared" si="496"/>
        <v>-2.3503103831750902</v>
      </c>
      <c r="N878" s="26">
        <f t="shared" si="497"/>
        <v>8.7041104694934771E-2</v>
      </c>
      <c r="O878" s="26">
        <f t="shared" si="498"/>
        <v>-2.5127835512744907</v>
      </c>
      <c r="P878" s="26">
        <f t="shared" si="499"/>
        <v>7.4966850527597204E-2</v>
      </c>
      <c r="Q878" s="26">
        <f t="shared" si="500"/>
        <v>2.8100143390135507E-3</v>
      </c>
      <c r="R878" s="26">
        <f t="shared" si="501"/>
        <v>-9.2554183281369138</v>
      </c>
      <c r="S878" s="26">
        <f t="shared" si="502"/>
        <v>9.5583158870850499E-5</v>
      </c>
      <c r="T878" s="26">
        <f t="shared" si="503"/>
        <v>1.9056771086157411</v>
      </c>
      <c r="U878" s="26">
        <f t="shared" si="504"/>
        <v>0.87053271409902533</v>
      </c>
      <c r="V878" s="26">
        <f t="shared" si="505"/>
        <v>2.5938701221385312</v>
      </c>
      <c r="W878" s="26">
        <f t="shared" si="506"/>
        <v>0.9304660276781731</v>
      </c>
      <c r="X878" s="26">
        <f t="shared" si="507"/>
        <v>2.4174866534262943E-3</v>
      </c>
      <c r="Y878" s="26">
        <f t="shared" si="508"/>
        <v>2.3636225557417796</v>
      </c>
      <c r="Z878" s="26">
        <f t="shared" si="509"/>
        <v>0.91401094737638866</v>
      </c>
      <c r="AA878" s="26">
        <f t="shared" si="510"/>
        <v>-6.9147892835351907</v>
      </c>
      <c r="AB878" s="26">
        <f t="shared" si="511"/>
        <v>9.9200562381985082E-4</v>
      </c>
      <c r="AC878" s="26">
        <f t="shared" si="512"/>
        <v>2.7591361494276292</v>
      </c>
      <c r="AD878" s="26">
        <f t="shared" si="513"/>
        <v>0.94042725621316381</v>
      </c>
      <c r="AE878" s="26">
        <f t="shared" si="514"/>
        <v>1.7744559011460151E-3</v>
      </c>
      <c r="AF878" s="26">
        <f t="shared" si="515"/>
        <v>-3.406391788955212</v>
      </c>
      <c r="AG878" s="26">
        <f t="shared" si="516"/>
        <v>3.2096301590788218E-2</v>
      </c>
      <c r="AH878" s="26">
        <f t="shared" si="517"/>
        <v>-2.6588017917443594</v>
      </c>
      <c r="AI878" s="26">
        <f t="shared" si="518"/>
        <v>6.5448583764409735E-2</v>
      </c>
      <c r="AJ878" s="26">
        <f t="shared" si="519"/>
        <v>-2.6432633201888445</v>
      </c>
      <c r="AK878" s="26">
        <f t="shared" si="520"/>
        <v>6.6405437087599772E-2</v>
      </c>
      <c r="AL878" s="26">
        <f t="shared" si="521"/>
        <v>2.2048410373975858E-3</v>
      </c>
      <c r="AM878" s="27">
        <f t="shared" si="522"/>
        <v>9.2067979309834458E-3</v>
      </c>
    </row>
    <row r="879" spans="1:39" ht="15" customHeight="1" x14ac:dyDescent="0.2">
      <c r="A879" s="24">
        <v>868</v>
      </c>
      <c r="B879" s="29">
        <f t="shared" si="523"/>
        <v>5.8499164267246471</v>
      </c>
      <c r="C879" s="29">
        <f t="shared" si="524"/>
        <v>-5.7708582167021891</v>
      </c>
      <c r="D879" s="29">
        <f t="shared" si="525"/>
        <v>-3.4855040802945907</v>
      </c>
      <c r="E879" s="29">
        <f t="shared" si="526"/>
        <v>-4.5661608060562742</v>
      </c>
      <c r="F879" s="29">
        <f t="shared" si="527"/>
        <v>4.2577149421451015</v>
      </c>
      <c r="G879" s="29">
        <f t="shared" si="528"/>
        <v>-2.3513566058665809</v>
      </c>
      <c r="H879" s="29">
        <f t="shared" si="529"/>
        <v>6.6231965467366463</v>
      </c>
      <c r="I879" s="29">
        <f t="shared" si="530"/>
        <v>6.7714245567947735</v>
      </c>
      <c r="J879" s="29">
        <f t="shared" si="531"/>
        <v>-3.3002048707512168</v>
      </c>
      <c r="K879" s="26">
        <f t="shared" si="494"/>
        <v>-3.4855040802945907</v>
      </c>
      <c r="L879" s="26">
        <f t="shared" si="495"/>
        <v>2.9727509698878527E-2</v>
      </c>
      <c r="M879" s="26">
        <f t="shared" si="496"/>
        <v>-2.3513566058665809</v>
      </c>
      <c r="N879" s="26">
        <f t="shared" si="497"/>
        <v>8.6958002571842136E-2</v>
      </c>
      <c r="O879" s="26">
        <f t="shared" si="498"/>
        <v>-2.5144841771457296</v>
      </c>
      <c r="P879" s="26">
        <f t="shared" si="499"/>
        <v>7.4849002739691584E-2</v>
      </c>
      <c r="Q879" s="26">
        <f t="shared" si="500"/>
        <v>2.8011866055631792E-3</v>
      </c>
      <c r="R879" s="26">
        <f t="shared" si="501"/>
        <v>-9.2563622969967803</v>
      </c>
      <c r="S879" s="26">
        <f t="shared" si="502"/>
        <v>9.5492982529969277E-5</v>
      </c>
      <c r="T879" s="26">
        <f t="shared" si="503"/>
        <v>1.9063583362785206</v>
      </c>
      <c r="U879" s="26">
        <f t="shared" si="504"/>
        <v>0.87060947283048695</v>
      </c>
      <c r="V879" s="26">
        <f t="shared" si="505"/>
        <v>2.5956939617434243</v>
      </c>
      <c r="W879" s="26">
        <f t="shared" si="506"/>
        <v>0.93058393567260644</v>
      </c>
      <c r="X879" s="26">
        <f t="shared" si="507"/>
        <v>2.40929499335242E-3</v>
      </c>
      <c r="Y879" s="26">
        <f t="shared" si="508"/>
        <v>2.3644123464300564</v>
      </c>
      <c r="Z879" s="26">
        <f t="shared" si="509"/>
        <v>0.91407300063103247</v>
      </c>
      <c r="AA879" s="26">
        <f t="shared" si="510"/>
        <v>-6.9175174119228551</v>
      </c>
      <c r="AB879" s="26">
        <f t="shared" si="511"/>
        <v>9.8930566708210288E-4</v>
      </c>
      <c r="AC879" s="26">
        <f t="shared" si="512"/>
        <v>2.7605792791816972</v>
      </c>
      <c r="AD879" s="26">
        <f t="shared" si="513"/>
        <v>0.9405080545031328</v>
      </c>
      <c r="AE879" s="26">
        <f t="shared" si="514"/>
        <v>1.769645789501109E-3</v>
      </c>
      <c r="AF879" s="26">
        <f t="shared" si="515"/>
        <v>-3.4064458702721327</v>
      </c>
      <c r="AG879" s="26">
        <f t="shared" si="516"/>
        <v>3.2094621536133398E-2</v>
      </c>
      <c r="AH879" s="26">
        <f t="shared" si="517"/>
        <v>-2.6598024697777536</v>
      </c>
      <c r="AI879" s="26">
        <f t="shared" si="518"/>
        <v>6.5387403834760743E-2</v>
      </c>
      <c r="AJ879" s="26">
        <f t="shared" si="519"/>
        <v>-2.6448700121925226</v>
      </c>
      <c r="AK879" s="26">
        <f t="shared" si="520"/>
        <v>6.630589836911023E-2</v>
      </c>
      <c r="AL879" s="26">
        <f t="shared" si="521"/>
        <v>2.1982360792673875E-3</v>
      </c>
      <c r="AM879" s="27">
        <f t="shared" si="522"/>
        <v>9.1783634676840947E-3</v>
      </c>
    </row>
    <row r="880" spans="1:39" ht="15" customHeight="1" x14ac:dyDescent="0.2">
      <c r="A880" s="24">
        <v>869</v>
      </c>
      <c r="B880" s="29">
        <f t="shared" si="523"/>
        <v>5.8508034825684785</v>
      </c>
      <c r="C880" s="29">
        <f t="shared" si="524"/>
        <v>-5.7716999627747585</v>
      </c>
      <c r="D880" s="29">
        <f t="shared" si="525"/>
        <v>-3.4856043467763906</v>
      </c>
      <c r="E880" s="29">
        <f t="shared" si="526"/>
        <v>-4.5678372211824314</v>
      </c>
      <c r="F880" s="29">
        <f t="shared" si="527"/>
        <v>4.2594366856452188</v>
      </c>
      <c r="G880" s="29">
        <f t="shared" si="528"/>
        <v>-2.3523991234907613</v>
      </c>
      <c r="H880" s="29">
        <f t="shared" si="529"/>
        <v>6.6259538531533941</v>
      </c>
      <c r="I880" s="29">
        <f t="shared" si="530"/>
        <v>6.7746126323927571</v>
      </c>
      <c r="J880" s="29">
        <f t="shared" si="531"/>
        <v>-3.3016800373654163</v>
      </c>
      <c r="K880" s="26">
        <f t="shared" si="494"/>
        <v>-3.4856043467763906</v>
      </c>
      <c r="L880" s="26">
        <f t="shared" si="495"/>
        <v>2.9724617770412499E-2</v>
      </c>
      <c r="M880" s="26">
        <f t="shared" si="496"/>
        <v>-2.3523991234907613</v>
      </c>
      <c r="N880" s="26">
        <f t="shared" si="497"/>
        <v>8.6875266155170563E-2</v>
      </c>
      <c r="O880" s="26">
        <f t="shared" si="498"/>
        <v>-2.5161798161787381</v>
      </c>
      <c r="P880" s="26">
        <f t="shared" si="499"/>
        <v>7.4731670065304567E-2</v>
      </c>
      <c r="Q880" s="26">
        <f t="shared" si="500"/>
        <v>2.7924112553747694E-3</v>
      </c>
      <c r="R880" s="26">
        <f t="shared" si="501"/>
        <v>-9.2573043095511487</v>
      </c>
      <c r="S880" s="26">
        <f t="shared" si="502"/>
        <v>9.5403077875916729E-5</v>
      </c>
      <c r="T880" s="26">
        <f t="shared" si="503"/>
        <v>1.9070375621544575</v>
      </c>
      <c r="U880" s="26">
        <f t="shared" si="504"/>
        <v>0.87068596742842319</v>
      </c>
      <c r="V880" s="26">
        <f t="shared" si="505"/>
        <v>2.5975122528137429</v>
      </c>
      <c r="W880" s="26">
        <f t="shared" si="506"/>
        <v>0.93070130076274027</v>
      </c>
      <c r="X880" s="26">
        <f t="shared" si="507"/>
        <v>2.4011548579880911E-3</v>
      </c>
      <c r="Y880" s="26">
        <f t="shared" si="508"/>
        <v>2.3651991357920878</v>
      </c>
      <c r="Z880" s="26">
        <f t="shared" si="509"/>
        <v>0.91413477773130614</v>
      </c>
      <c r="AA880" s="26">
        <f t="shared" si="510"/>
        <v>-6.9202363446731923</v>
      </c>
      <c r="AB880" s="26">
        <f t="shared" si="511"/>
        <v>9.8662211522649408E-4</v>
      </c>
      <c r="AC880" s="26">
        <f t="shared" si="512"/>
        <v>2.7620187980900641</v>
      </c>
      <c r="AD880" s="26">
        <f t="shared" si="513"/>
        <v>0.940588548349789</v>
      </c>
      <c r="AE880" s="26">
        <f t="shared" si="514"/>
        <v>1.7648602935926797E-3</v>
      </c>
      <c r="AF880" s="26">
        <f t="shared" si="515"/>
        <v>-3.4065008269826706</v>
      </c>
      <c r="AG880" s="26">
        <f t="shared" si="516"/>
        <v>3.2092914374176412E-2</v>
      </c>
      <c r="AH880" s="26">
        <f t="shared" si="517"/>
        <v>-2.6607996590279739</v>
      </c>
      <c r="AI880" s="26">
        <f t="shared" si="518"/>
        <v>6.5326490118245817E-2</v>
      </c>
      <c r="AJ880" s="26">
        <f t="shared" si="519"/>
        <v>-2.6464722025239715</v>
      </c>
      <c r="AK880" s="26">
        <f t="shared" si="520"/>
        <v>6.6206776582028184E-2</v>
      </c>
      <c r="AL880" s="26">
        <f t="shared" si="521"/>
        <v>2.1916686326912977E-3</v>
      </c>
      <c r="AM880" s="27">
        <f t="shared" si="522"/>
        <v>9.1500950396468383E-3</v>
      </c>
    </row>
    <row r="881" spans="1:39" ht="15" customHeight="1" x14ac:dyDescent="0.2">
      <c r="A881" s="24">
        <v>870</v>
      </c>
      <c r="B881" s="29">
        <f t="shared" si="523"/>
        <v>5.851687723596946</v>
      </c>
      <c r="C881" s="29">
        <f t="shared" si="524"/>
        <v>-5.772539592946706</v>
      </c>
      <c r="D881" s="29">
        <f t="shared" si="525"/>
        <v>-3.4857047799163015</v>
      </c>
      <c r="E881" s="29">
        <f t="shared" si="526"/>
        <v>-4.5695081783640088</v>
      </c>
      <c r="F881" s="29">
        <f t="shared" si="527"/>
        <v>4.261152756882149</v>
      </c>
      <c r="G881" s="29">
        <f t="shared" si="528"/>
        <v>-2.3534379594194159</v>
      </c>
      <c r="H881" s="29">
        <f t="shared" si="529"/>
        <v>6.628704259270167</v>
      </c>
      <c r="I881" s="29">
        <f t="shared" si="530"/>
        <v>6.7777911384990421</v>
      </c>
      <c r="J881" s="29">
        <f t="shared" si="531"/>
        <v>-3.3031510967347835</v>
      </c>
      <c r="K881" s="26">
        <f t="shared" si="494"/>
        <v>-3.4857047799163015</v>
      </c>
      <c r="L881" s="26">
        <f t="shared" si="495"/>
        <v>2.9721721308515255E-2</v>
      </c>
      <c r="M881" s="26">
        <f t="shared" si="496"/>
        <v>-2.3534379594194159</v>
      </c>
      <c r="N881" s="26">
        <f t="shared" si="497"/>
        <v>8.6792892785601483E-2</v>
      </c>
      <c r="O881" s="26">
        <f t="shared" si="498"/>
        <v>-2.5178704964972405</v>
      </c>
      <c r="P881" s="26">
        <f t="shared" si="499"/>
        <v>7.4614848872480405E-2</v>
      </c>
      <c r="Q881" s="26">
        <f t="shared" si="500"/>
        <v>2.783687836131545E-3</v>
      </c>
      <c r="R881" s="26">
        <f t="shared" si="501"/>
        <v>-9.2582443728630075</v>
      </c>
      <c r="S881" s="26">
        <f t="shared" si="502"/>
        <v>9.5313443628281802E-5</v>
      </c>
      <c r="T881" s="26">
        <f t="shared" si="503"/>
        <v>1.9077147974627331</v>
      </c>
      <c r="U881" s="26">
        <f t="shared" si="504"/>
        <v>0.870762199507368</v>
      </c>
      <c r="V881" s="26">
        <f t="shared" si="505"/>
        <v>2.5993250274559347</v>
      </c>
      <c r="W881" s="26">
        <f t="shared" si="506"/>
        <v>0.93081812693646782</v>
      </c>
      <c r="X881" s="26">
        <f t="shared" si="507"/>
        <v>2.3930657802893399E-3</v>
      </c>
      <c r="Y881" s="26">
        <f t="shared" si="508"/>
        <v>2.3659829436806445</v>
      </c>
      <c r="Z881" s="26">
        <f t="shared" si="509"/>
        <v>0.9141962807153986</v>
      </c>
      <c r="AA881" s="26">
        <f t="shared" si="510"/>
        <v>-6.9229461377834252</v>
      </c>
      <c r="AB881" s="26">
        <f t="shared" si="511"/>
        <v>9.8395481960240959E-4</v>
      </c>
      <c r="AC881" s="26">
        <f t="shared" si="512"/>
        <v>2.7634547233093096</v>
      </c>
      <c r="AD881" s="26">
        <f t="shared" si="513"/>
        <v>0.94066873958977359</v>
      </c>
      <c r="AE881" s="26">
        <f t="shared" si="514"/>
        <v>1.7600992309330496E-3</v>
      </c>
      <c r="AF881" s="26">
        <f t="shared" si="515"/>
        <v>-3.4065566492660615</v>
      </c>
      <c r="AG881" s="26">
        <f t="shared" si="516"/>
        <v>3.209118041415468E-2</v>
      </c>
      <c r="AH881" s="26">
        <f t="shared" si="517"/>
        <v>-2.6617933809012757</v>
      </c>
      <c r="AI881" s="26">
        <f t="shared" si="518"/>
        <v>6.5265840716369858E-2</v>
      </c>
      <c r="AJ881" s="26">
        <f t="shared" si="519"/>
        <v>-2.6480699155843674</v>
      </c>
      <c r="AK881" s="26">
        <f t="shared" si="520"/>
        <v>6.6108068898625694E-2</v>
      </c>
      <c r="AL881" s="26">
        <f t="shared" si="521"/>
        <v>2.1851383867527207E-3</v>
      </c>
      <c r="AM881" s="27">
        <f t="shared" si="522"/>
        <v>9.1219912341066554E-3</v>
      </c>
    </row>
    <row r="882" spans="1:39" ht="15" customHeight="1" x14ac:dyDescent="0.2">
      <c r="A882" s="24">
        <v>871</v>
      </c>
      <c r="B882" s="29">
        <f t="shared" si="523"/>
        <v>5.8525691665491184</v>
      </c>
      <c r="C882" s="29">
        <f t="shared" si="524"/>
        <v>-5.7733771171816048</v>
      </c>
      <c r="D882" s="29">
        <f t="shared" si="525"/>
        <v>-3.4858053767824853</v>
      </c>
      <c r="E882" s="29">
        <f t="shared" si="526"/>
        <v>-4.5711737099487362</v>
      </c>
      <c r="F882" s="29">
        <f t="shared" si="527"/>
        <v>4.2628631901450014</v>
      </c>
      <c r="G882" s="29">
        <f t="shared" si="528"/>
        <v>-2.3544731368152454</v>
      </c>
      <c r="H882" s="29">
        <f t="shared" si="529"/>
        <v>6.6314477980195781</v>
      </c>
      <c r="I882" s="29">
        <f t="shared" si="530"/>
        <v>6.7809601300962665</v>
      </c>
      <c r="J882" s="29">
        <f t="shared" si="531"/>
        <v>-3.3046180710633819</v>
      </c>
      <c r="K882" s="26">
        <f t="shared" si="494"/>
        <v>-3.4858053767824853</v>
      </c>
      <c r="L882" s="26">
        <f t="shared" si="495"/>
        <v>2.9718820399066044E-2</v>
      </c>
      <c r="M882" s="26">
        <f t="shared" si="496"/>
        <v>-2.3544731368152454</v>
      </c>
      <c r="N882" s="26">
        <f t="shared" si="497"/>
        <v>8.6710879830414575E-2</v>
      </c>
      <c r="O882" s="26">
        <f t="shared" si="498"/>
        <v>-2.5195562459926464</v>
      </c>
      <c r="P882" s="26">
        <f t="shared" si="499"/>
        <v>7.449853556435479E-2</v>
      </c>
      <c r="Q882" s="26">
        <f t="shared" si="500"/>
        <v>2.7750159006167175E-3</v>
      </c>
      <c r="R882" s="26">
        <f t="shared" si="501"/>
        <v>-9.2591824939640901</v>
      </c>
      <c r="S882" s="26">
        <f t="shared" si="502"/>
        <v>9.5224078514314403E-5</v>
      </c>
      <c r="T882" s="26">
        <f t="shared" si="503"/>
        <v>1.908390053329756</v>
      </c>
      <c r="U882" s="26">
        <f t="shared" si="504"/>
        <v>0.87083817066769276</v>
      </c>
      <c r="V882" s="26">
        <f t="shared" si="505"/>
        <v>2.6011323175059933</v>
      </c>
      <c r="W882" s="26">
        <f t="shared" si="506"/>
        <v>0.93093441814181799</v>
      </c>
      <c r="X882" s="26">
        <f t="shared" si="507"/>
        <v>2.3850272987046201E-3</v>
      </c>
      <c r="Y882" s="26">
        <f t="shared" si="508"/>
        <v>2.3667637897666332</v>
      </c>
      <c r="Z882" s="26">
        <f t="shared" si="509"/>
        <v>0.91425751160099389</v>
      </c>
      <c r="AA882" s="26">
        <f t="shared" si="510"/>
        <v>-6.925646846763982</v>
      </c>
      <c r="AB882" s="26">
        <f t="shared" si="511"/>
        <v>9.8130363332972546E-4</v>
      </c>
      <c r="AC882" s="26">
        <f t="shared" si="512"/>
        <v>2.7648870718790151</v>
      </c>
      <c r="AD882" s="26">
        <f t="shared" si="513"/>
        <v>0.94074863004471521</v>
      </c>
      <c r="AE882" s="26">
        <f t="shared" si="514"/>
        <v>1.7553624207890127E-3</v>
      </c>
      <c r="AF882" s="26">
        <f t="shared" si="515"/>
        <v>-3.4066133274149717</v>
      </c>
      <c r="AG882" s="26">
        <f t="shared" si="516"/>
        <v>3.208941996178416E-2</v>
      </c>
      <c r="AH882" s="26">
        <f t="shared" si="517"/>
        <v>-2.6627836566189802</v>
      </c>
      <c r="AI882" s="26">
        <f t="shared" si="518"/>
        <v>6.5205453749160744E-2</v>
      </c>
      <c r="AJ882" s="26">
        <f t="shared" si="519"/>
        <v>-2.6496631755801876</v>
      </c>
      <c r="AK882" s="26">
        <f t="shared" si="520"/>
        <v>6.6009772517545418E-2</v>
      </c>
      <c r="AL882" s="26">
        <f t="shared" si="521"/>
        <v>2.1786450339090473E-3</v>
      </c>
      <c r="AM882" s="27">
        <f t="shared" si="522"/>
        <v>9.094050654019397E-3</v>
      </c>
    </row>
    <row r="883" spans="1:39" ht="15" customHeight="1" x14ac:dyDescent="0.2">
      <c r="A883" s="24">
        <v>872</v>
      </c>
      <c r="B883" s="29">
        <f t="shared" si="523"/>
        <v>5.8534478280209852</v>
      </c>
      <c r="C883" s="29">
        <f t="shared" si="524"/>
        <v>-5.7742125453752005</v>
      </c>
      <c r="D883" s="29">
        <f t="shared" si="525"/>
        <v>-3.4859061344797868</v>
      </c>
      <c r="E883" s="29">
        <f t="shared" si="526"/>
        <v>-4.5728338480096911</v>
      </c>
      <c r="F883" s="29">
        <f t="shared" si="527"/>
        <v>4.2645680194244457</v>
      </c>
      <c r="G883" s="29">
        <f t="shared" si="528"/>
        <v>-2.3555046786342717</v>
      </c>
      <c r="H883" s="29">
        <f t="shared" si="529"/>
        <v>6.6341845021067467</v>
      </c>
      <c r="I883" s="29">
        <f t="shared" si="530"/>
        <v>6.7841196617062796</v>
      </c>
      <c r="J883" s="29">
        <f t="shared" si="531"/>
        <v>-3.3060809823784139</v>
      </c>
      <c r="K883" s="26">
        <f t="shared" si="494"/>
        <v>-3.4859061344797868</v>
      </c>
      <c r="L883" s="26">
        <f t="shared" si="495"/>
        <v>2.971591512685642E-2</v>
      </c>
      <c r="M883" s="26">
        <f t="shared" si="496"/>
        <v>-2.3555046786342717</v>
      </c>
      <c r="N883" s="26">
        <f t="shared" si="497"/>
        <v>8.6629224683151443E-2</v>
      </c>
      <c r="O883" s="26">
        <f t="shared" si="498"/>
        <v>-2.5212370923265648</v>
      </c>
      <c r="P883" s="26">
        <f t="shared" si="499"/>
        <v>7.4382726578726022E-2</v>
      </c>
      <c r="Q883" s="26">
        <f t="shared" si="500"/>
        <v>2.7663950066427571E-3</v>
      </c>
      <c r="R883" s="26">
        <f t="shared" si="501"/>
        <v>-9.2601186798549868</v>
      </c>
      <c r="S883" s="26">
        <f t="shared" si="502"/>
        <v>9.5134981268875021E-5</v>
      </c>
      <c r="T883" s="26">
        <f t="shared" si="503"/>
        <v>1.909063340790174</v>
      </c>
      <c r="U883" s="26">
        <f t="shared" si="504"/>
        <v>0.87091388249576751</v>
      </c>
      <c r="V883" s="26">
        <f t="shared" si="505"/>
        <v>2.6029341545324174</v>
      </c>
      <c r="W883" s="26">
        <f t="shared" si="506"/>
        <v>0.93105017828745495</v>
      </c>
      <c r="X883" s="26">
        <f t="shared" si="507"/>
        <v>2.3770389570958741E-3</v>
      </c>
      <c r="Y883" s="26">
        <f t="shared" si="508"/>
        <v>2.3675416935411984</v>
      </c>
      <c r="Z883" s="26">
        <f t="shared" si="509"/>
        <v>0.9143184723855311</v>
      </c>
      <c r="AA883" s="26">
        <f t="shared" si="510"/>
        <v>-6.9283385266439623</v>
      </c>
      <c r="AB883" s="26">
        <f t="shared" si="511"/>
        <v>9.7866841127282334E-4</v>
      </c>
      <c r="AC883" s="26">
        <f t="shared" si="512"/>
        <v>2.7663158607227984</v>
      </c>
      <c r="AD883" s="26">
        <f t="shared" si="513"/>
        <v>0.9408282215213829</v>
      </c>
      <c r="AE883" s="26">
        <f t="shared" si="514"/>
        <v>1.7506496841612669E-3</v>
      </c>
      <c r="AF883" s="26">
        <f t="shared" si="515"/>
        <v>-3.4066708518340021</v>
      </c>
      <c r="AG883" s="26">
        <f t="shared" si="516"/>
        <v>3.2087633319304365E-2</v>
      </c>
      <c r="AH883" s="26">
        <f t="shared" si="517"/>
        <v>-2.663770507219517</v>
      </c>
      <c r="AI883" s="26">
        <f t="shared" si="518"/>
        <v>6.514532735494187E-2</v>
      </c>
      <c r="AJ883" s="26">
        <f t="shared" si="519"/>
        <v>-2.6512520065252478</v>
      </c>
      <c r="AK883" s="26">
        <f t="shared" si="520"/>
        <v>6.5911884663489059E-2</v>
      </c>
      <c r="AL883" s="26">
        <f t="shared" si="521"/>
        <v>2.1721882699465419E-3</v>
      </c>
      <c r="AM883" s="27">
        <f t="shared" si="522"/>
        <v>9.0662719178464402E-3</v>
      </c>
    </row>
    <row r="884" spans="1:39" ht="15" customHeight="1" x14ac:dyDescent="0.2">
      <c r="A884" s="24">
        <v>873</v>
      </c>
      <c r="B884" s="29">
        <f t="shared" si="523"/>
        <v>5.8543237244670294</v>
      </c>
      <c r="C884" s="29">
        <f t="shared" si="524"/>
        <v>-5.7750458873560104</v>
      </c>
      <c r="D884" s="29">
        <f t="shared" si="525"/>
        <v>-3.4860070501492402</v>
      </c>
      <c r="E884" s="29">
        <f t="shared" si="526"/>
        <v>-4.5744886243483185</v>
      </c>
      <c r="F884" s="29">
        <f t="shared" si="527"/>
        <v>4.2662672784160831</v>
      </c>
      <c r="G884" s="29">
        <f t="shared" si="528"/>
        <v>-2.3565326076282105</v>
      </c>
      <c r="H884" s="29">
        <f t="shared" si="529"/>
        <v>6.6369144040113222</v>
      </c>
      <c r="I884" s="29">
        <f t="shared" si="530"/>
        <v>6.7872697873951813</v>
      </c>
      <c r="J884" s="29">
        <f t="shared" si="531"/>
        <v>-3.3075398525320709</v>
      </c>
      <c r="K884" s="26">
        <f t="shared" si="494"/>
        <v>-3.4860070501492402</v>
      </c>
      <c r="L884" s="26">
        <f t="shared" si="495"/>
        <v>2.9713005575604856E-2</v>
      </c>
      <c r="M884" s="26">
        <f t="shared" si="496"/>
        <v>-2.3565326076282105</v>
      </c>
      <c r="N884" s="26">
        <f t="shared" si="497"/>
        <v>8.6547924763284254E-2</v>
      </c>
      <c r="O884" s="26">
        <f t="shared" si="498"/>
        <v>-2.5229130629332799</v>
      </c>
      <c r="P884" s="26">
        <f t="shared" si="499"/>
        <v>7.4267418387632789E-2</v>
      </c>
      <c r="Q884" s="26">
        <f t="shared" si="500"/>
        <v>2.7578247169818483E-3</v>
      </c>
      <c r="R884" s="26">
        <f t="shared" si="501"/>
        <v>-9.2610529375052515</v>
      </c>
      <c r="S884" s="26">
        <f t="shared" si="502"/>
        <v>9.5046150634385334E-5</v>
      </c>
      <c r="T884" s="26">
        <f t="shared" si="503"/>
        <v>1.9097346707878726</v>
      </c>
      <c r="U884" s="26">
        <f t="shared" si="504"/>
        <v>0.87098933656412147</v>
      </c>
      <c r="V884" s="26">
        <f t="shared" si="505"/>
        <v>2.6047305698391554</v>
      </c>
      <c r="W884" s="26">
        <f t="shared" si="506"/>
        <v>0.93116541124317354</v>
      </c>
      <c r="X884" s="26">
        <f t="shared" si="507"/>
        <v>2.3691003046607101E-3</v>
      </c>
      <c r="Y884" s="26">
        <f t="shared" si="508"/>
        <v>2.3683166743177892</v>
      </c>
      <c r="Z884" s="26">
        <f t="shared" si="509"/>
        <v>0.914379165046457</v>
      </c>
      <c r="AA884" s="26">
        <f t="shared" si="510"/>
        <v>-6.931021231976529</v>
      </c>
      <c r="AB884" s="26">
        <f t="shared" si="511"/>
        <v>9.760490100150593E-4</v>
      </c>
      <c r="AC884" s="26">
        <f t="shared" si="512"/>
        <v>2.7677411066492974</v>
      </c>
      <c r="AD884" s="26">
        <f t="shared" si="513"/>
        <v>0.94090751581183762</v>
      </c>
      <c r="AE884" s="26">
        <f t="shared" si="514"/>
        <v>1.7459608437641102E-3</v>
      </c>
      <c r="AF884" s="26">
        <f t="shared" si="515"/>
        <v>-3.4067292130382212</v>
      </c>
      <c r="AG884" s="26">
        <f t="shared" si="516"/>
        <v>3.2085820785522384E-2</v>
      </c>
      <c r="AH884" s="26">
        <f t="shared" si="517"/>
        <v>-2.6647539535604459</v>
      </c>
      <c r="AI884" s="26">
        <f t="shared" si="518"/>
        <v>6.5085459690107511E-2</v>
      </c>
      <c r="AJ884" s="26">
        <f t="shared" si="519"/>
        <v>-2.6528364322427178</v>
      </c>
      <c r="AK884" s="26">
        <f t="shared" si="520"/>
        <v>6.581440258690982E-2</v>
      </c>
      <c r="AL884" s="26">
        <f t="shared" si="521"/>
        <v>2.1657677939359212E-3</v>
      </c>
      <c r="AM884" s="27">
        <f t="shared" si="522"/>
        <v>9.0386536593425899E-3</v>
      </c>
    </row>
    <row r="885" spans="1:39" ht="15" customHeight="1" x14ac:dyDescent="0.2">
      <c r="A885" s="24">
        <v>874</v>
      </c>
      <c r="B885" s="29">
        <f t="shared" si="523"/>
        <v>5.8551968722017813</v>
      </c>
      <c r="C885" s="29">
        <f t="shared" si="524"/>
        <v>-5.775877152885915</v>
      </c>
      <c r="D885" s="29">
        <f t="shared" si="525"/>
        <v>-3.4861081209675824</v>
      </c>
      <c r="E885" s="29">
        <f t="shared" si="526"/>
        <v>-4.5761380704974028</v>
      </c>
      <c r="F885" s="29">
        <f t="shared" si="527"/>
        <v>4.2679610005237718</v>
      </c>
      <c r="G885" s="29">
        <f t="shared" si="528"/>
        <v>-2.3575569463468096</v>
      </c>
      <c r="H885" s="29">
        <f t="shared" si="529"/>
        <v>6.6396375359894853</v>
      </c>
      <c r="I885" s="29">
        <f t="shared" si="530"/>
        <v>6.7904105607782927</v>
      </c>
      <c r="J885" s="29">
        <f t="shared" si="531"/>
        <v>-3.308994703203362</v>
      </c>
      <c r="K885" s="26">
        <f t="shared" si="494"/>
        <v>-3.4861081209675824</v>
      </c>
      <c r="L885" s="26">
        <f t="shared" si="495"/>
        <v>2.9710091827971109E-2</v>
      </c>
      <c r="M885" s="26">
        <f t="shared" si="496"/>
        <v>-2.3575569463468096</v>
      </c>
      <c r="N885" s="26">
        <f t="shared" si="497"/>
        <v>8.6466977515889651E-2</v>
      </c>
      <c r="O885" s="26">
        <f t="shared" si="498"/>
        <v>-2.5245841850221944</v>
      </c>
      <c r="P885" s="26">
        <f t="shared" si="499"/>
        <v>7.4152607496938139E-2</v>
      </c>
      <c r="Q885" s="26">
        <f t="shared" si="500"/>
        <v>2.7493045992974833E-3</v>
      </c>
      <c r="R885" s="26">
        <f t="shared" si="501"/>
        <v>-9.2619852738534973</v>
      </c>
      <c r="S885" s="26">
        <f t="shared" si="502"/>
        <v>9.4957585360780009E-5</v>
      </c>
      <c r="T885" s="26">
        <f t="shared" si="503"/>
        <v>1.9104040541769622</v>
      </c>
      <c r="U885" s="26">
        <f t="shared" si="504"/>
        <v>0.87106453443159926</v>
      </c>
      <c r="V885" s="26">
        <f t="shared" si="505"/>
        <v>2.6065215944684845</v>
      </c>
      <c r="W885" s="26">
        <f t="shared" si="506"/>
        <v>0.93128012084038525</v>
      </c>
      <c r="X885" s="26">
        <f t="shared" si="507"/>
        <v>2.3612108958560268E-3</v>
      </c>
      <c r="Y885" s="26">
        <f t="shared" si="508"/>
        <v>2.3690887512341989</v>
      </c>
      <c r="Z885" s="26">
        <f t="shared" si="509"/>
        <v>0.91443959154147714</v>
      </c>
      <c r="AA885" s="26">
        <f t="shared" si="510"/>
        <v>-6.9336950168442124</v>
      </c>
      <c r="AB885" s="26">
        <f t="shared" si="511"/>
        <v>9.7344528783368611E-4</v>
      </c>
      <c r="AC885" s="26">
        <f t="shared" si="512"/>
        <v>2.7691628263531682</v>
      </c>
      <c r="AD885" s="26">
        <f t="shared" si="513"/>
        <v>0.94098651469357997</v>
      </c>
      <c r="AE885" s="26">
        <f t="shared" si="514"/>
        <v>1.7412957240055264E-3</v>
      </c>
      <c r="AF885" s="26">
        <f t="shared" si="515"/>
        <v>-3.406788401651716</v>
      </c>
      <c r="AG885" s="26">
        <f t="shared" si="516"/>
        <v>3.208398265585654E-2</v>
      </c>
      <c r="AH885" s="26">
        <f t="shared" si="517"/>
        <v>-2.6657340163204406</v>
      </c>
      <c r="AI885" s="26">
        <f t="shared" si="518"/>
        <v>6.5025848928902216E-2</v>
      </c>
      <c r="AJ885" s="26">
        <f t="shared" si="519"/>
        <v>-2.6544164763671096</v>
      </c>
      <c r="AK885" s="26">
        <f t="shared" si="520"/>
        <v>6.5717323563709504E-2</v>
      </c>
      <c r="AL885" s="26">
        <f t="shared" si="521"/>
        <v>2.1593833081886443E-3</v>
      </c>
      <c r="AM885" s="27">
        <f t="shared" si="522"/>
        <v>9.0111945273476796E-3</v>
      </c>
    </row>
    <row r="886" spans="1:39" ht="15" customHeight="1" x14ac:dyDescent="0.2">
      <c r="A886" s="24">
        <v>875</v>
      </c>
      <c r="B886" s="29">
        <f t="shared" si="523"/>
        <v>5.8560672874013528</v>
      </c>
      <c r="C886" s="29">
        <f t="shared" si="524"/>
        <v>-5.7767063516607449</v>
      </c>
      <c r="D886" s="29">
        <f t="shared" si="525"/>
        <v>-3.4862093441467752</v>
      </c>
      <c r="E886" s="29">
        <f t="shared" si="526"/>
        <v>-4.5777822177240077</v>
      </c>
      <c r="F886" s="29">
        <f t="shared" si="527"/>
        <v>4.2696492188629023</v>
      </c>
      <c r="G886" s="29">
        <f t="shared" si="528"/>
        <v>-2.3585777171401552</v>
      </c>
      <c r="H886" s="29">
        <f t="shared" si="529"/>
        <v>6.6423539300759309</v>
      </c>
      <c r="I886" s="29">
        <f t="shared" si="530"/>
        <v>6.7935420350250633</v>
      </c>
      <c r="J886" s="29">
        <f t="shared" si="531"/>
        <v>-3.3104455558999168</v>
      </c>
      <c r="K886" s="26">
        <f t="shared" si="494"/>
        <v>-3.4862093441467752</v>
      </c>
      <c r="L886" s="26">
        <f t="shared" si="495"/>
        <v>2.9707173965570426E-2</v>
      </c>
      <c r="M886" s="26">
        <f t="shared" si="496"/>
        <v>-2.3585777171401552</v>
      </c>
      <c r="N886" s="26">
        <f t="shared" si="497"/>
        <v>8.638638041132729E-2</v>
      </c>
      <c r="O886" s="26">
        <f t="shared" si="498"/>
        <v>-2.5262504855802432</v>
      </c>
      <c r="P886" s="26">
        <f t="shared" si="499"/>
        <v>7.4038290445919377E-2</v>
      </c>
      <c r="Q886" s="26">
        <f t="shared" si="500"/>
        <v>2.7408342260771584E-3</v>
      </c>
      <c r="R886" s="26">
        <f t="shared" si="501"/>
        <v>-9.2629156958075196</v>
      </c>
      <c r="S886" s="26">
        <f t="shared" si="502"/>
        <v>9.4869284205456494E-5</v>
      </c>
      <c r="T886" s="26">
        <f t="shared" si="503"/>
        <v>1.9110715017227471</v>
      </c>
      <c r="U886" s="26">
        <f t="shared" si="504"/>
        <v>0.87113947764351596</v>
      </c>
      <c r="V886" s="26">
        <f t="shared" si="505"/>
        <v>2.6083072592038707</v>
      </c>
      <c r="W886" s="26">
        <f t="shared" si="506"/>
        <v>0.93139431087259728</v>
      </c>
      <c r="X886" s="26">
        <f t="shared" si="507"/>
        <v>2.353370290322912E-3</v>
      </c>
      <c r="Y886" s="26">
        <f t="shared" si="508"/>
        <v>2.3698579432545777</v>
      </c>
      <c r="Z886" s="26">
        <f t="shared" si="509"/>
        <v>0.91449975380880255</v>
      </c>
      <c r="AA886" s="26">
        <f t="shared" si="510"/>
        <v>-6.9363599348641625</v>
      </c>
      <c r="AB886" s="26">
        <f t="shared" si="511"/>
        <v>9.7085710467519082E-4</v>
      </c>
      <c r="AC886" s="26">
        <f t="shared" si="512"/>
        <v>2.7705810364160675</v>
      </c>
      <c r="AD886" s="26">
        <f t="shared" si="513"/>
        <v>0.94106521992969927</v>
      </c>
      <c r="AE886" s="26">
        <f t="shared" si="514"/>
        <v>1.736654150967358E-3</v>
      </c>
      <c r="AF886" s="26">
        <f t="shared" si="515"/>
        <v>-3.4068484084061672</v>
      </c>
      <c r="AG886" s="26">
        <f t="shared" si="516"/>
        <v>3.208211922237926E-2</v>
      </c>
      <c r="AH886" s="26">
        <f t="shared" si="517"/>
        <v>-2.6667107160012606</v>
      </c>
      <c r="AI886" s="26">
        <f t="shared" si="518"/>
        <v>6.4966493263202599E-2</v>
      </c>
      <c r="AJ886" s="26">
        <f t="shared" si="519"/>
        <v>-2.6559921623462417</v>
      </c>
      <c r="AK886" s="26">
        <f t="shared" si="520"/>
        <v>6.5620644894939656E-2</v>
      </c>
      <c r="AL886" s="26">
        <f t="shared" si="521"/>
        <v>2.1530345182138848E-3</v>
      </c>
      <c r="AM886" s="27">
        <f t="shared" si="522"/>
        <v>8.9838931855813139E-3</v>
      </c>
    </row>
    <row r="887" spans="1:39" ht="15" customHeight="1" x14ac:dyDescent="0.2">
      <c r="A887" s="24">
        <v>876</v>
      </c>
      <c r="B887" s="29">
        <f t="shared" si="523"/>
        <v>5.8569349861049522</v>
      </c>
      <c r="C887" s="29">
        <f t="shared" si="524"/>
        <v>-5.777533493310858</v>
      </c>
      <c r="D887" s="29">
        <f t="shared" si="525"/>
        <v>-3.4863107169335326</v>
      </c>
      <c r="E887" s="29">
        <f t="shared" si="526"/>
        <v>-4.5794210970323688</v>
      </c>
      <c r="F887" s="29">
        <f t="shared" si="527"/>
        <v>4.2713319662636327</v>
      </c>
      <c r="G887" s="29">
        <f t="shared" si="528"/>
        <v>-2.359594942160947</v>
      </c>
      <c r="H887" s="29">
        <f t="shared" si="529"/>
        <v>6.6450636180858256</v>
      </c>
      <c r="I887" s="29">
        <f t="shared" si="530"/>
        <v>6.7966642628639073</v>
      </c>
      <c r="J887" s="29">
        <f t="shared" si="531"/>
        <v>-3.3118924319597669</v>
      </c>
      <c r="K887" s="26">
        <f t="shared" si="494"/>
        <v>-3.4863107169335326</v>
      </c>
      <c r="L887" s="26">
        <f t="shared" si="495"/>
        <v>2.9704252068987497E-2</v>
      </c>
      <c r="M887" s="26">
        <f t="shared" si="496"/>
        <v>-2.359594942160947</v>
      </c>
      <c r="N887" s="26">
        <f t="shared" si="497"/>
        <v>8.6306130944923398E-2</v>
      </c>
      <c r="O887" s="26">
        <f t="shared" si="498"/>
        <v>-2.5279119913742738</v>
      </c>
      <c r="P887" s="26">
        <f t="shared" si="499"/>
        <v>7.392446380686403E-2</v>
      </c>
      <c r="Q887" s="26">
        <f t="shared" si="500"/>
        <v>2.7324131745661748E-3</v>
      </c>
      <c r="R887" s="26">
        <f t="shared" si="501"/>
        <v>-9.2638442102443896</v>
      </c>
      <c r="S887" s="26">
        <f t="shared" si="502"/>
        <v>9.478124593322768E-5</v>
      </c>
      <c r="T887" s="26">
        <f t="shared" si="503"/>
        <v>1.9117370241026856</v>
      </c>
      <c r="U887" s="26">
        <f t="shared" si="504"/>
        <v>0.87121416773181015</v>
      </c>
      <c r="V887" s="26">
        <f t="shared" si="505"/>
        <v>2.6100875945727768</v>
      </c>
      <c r="W887" s="26">
        <f t="shared" si="506"/>
        <v>0.93150798509588451</v>
      </c>
      <c r="X887" s="26">
        <f t="shared" si="507"/>
        <v>2.3455780528127894E-3</v>
      </c>
      <c r="Y887" s="26">
        <f t="shared" si="508"/>
        <v>2.3706242691714197</v>
      </c>
      <c r="Z887" s="26">
        <f t="shared" si="509"/>
        <v>0.9145596537673919</v>
      </c>
      <c r="AA887" s="26">
        <f t="shared" si="510"/>
        <v>-6.9390160391933158</v>
      </c>
      <c r="AB887" s="26">
        <f t="shared" si="511"/>
        <v>9.6828432213106989E-4</v>
      </c>
      <c r="AC887" s="26">
        <f t="shared" si="512"/>
        <v>2.7719957533076176</v>
      </c>
      <c r="AD887" s="26">
        <f t="shared" si="513"/>
        <v>0.94114363326901695</v>
      </c>
      <c r="AE887" s="26">
        <f t="shared" si="514"/>
        <v>1.7320359523859839E-3</v>
      </c>
      <c r="AF887" s="26">
        <f t="shared" si="515"/>
        <v>-3.4069092241394383</v>
      </c>
      <c r="AG887" s="26">
        <f t="shared" si="516"/>
        <v>3.2080230773859575E-2</v>
      </c>
      <c r="AH887" s="26">
        <f t="shared" si="517"/>
        <v>-2.6676840729296831</v>
      </c>
      <c r="AI887" s="26">
        <f t="shared" si="518"/>
        <v>6.4907390902303075E-2</v>
      </c>
      <c r="AJ887" s="26">
        <f t="shared" si="519"/>
        <v>-2.6575635134431739</v>
      </c>
      <c r="AK887" s="26">
        <f t="shared" si="520"/>
        <v>6.5524363906507288E-2</v>
      </c>
      <c r="AL887" s="26">
        <f t="shared" si="521"/>
        <v>2.1467211326761976E-3</v>
      </c>
      <c r="AM887" s="27">
        <f t="shared" si="522"/>
        <v>8.9567483124411464E-3</v>
      </c>
    </row>
    <row r="888" spans="1:39" ht="15" customHeight="1" x14ac:dyDescent="0.2">
      <c r="A888" s="24">
        <v>877</v>
      </c>
      <c r="B888" s="29">
        <f t="shared" si="523"/>
        <v>5.8577999842163759</v>
      </c>
      <c r="C888" s="29">
        <f t="shared" si="524"/>
        <v>-5.7783585874017147</v>
      </c>
      <c r="D888" s="29">
        <f t="shared" si="525"/>
        <v>-3.4864122366088566</v>
      </c>
      <c r="E888" s="29">
        <f t="shared" si="526"/>
        <v>-4.5810547391667553</v>
      </c>
      <c r="F888" s="29">
        <f t="shared" si="527"/>
        <v>4.2730092752740756</v>
      </c>
      <c r="G888" s="29">
        <f t="shared" si="528"/>
        <v>-2.3606086433667404</v>
      </c>
      <c r="H888" s="29">
        <f t="shared" si="529"/>
        <v>6.6477666316167499</v>
      </c>
      <c r="I888" s="29">
        <f t="shared" si="530"/>
        <v>6.7997772965869814</v>
      </c>
      <c r="J888" s="29">
        <f t="shared" si="531"/>
        <v>-3.313335352553104</v>
      </c>
      <c r="K888" s="26">
        <f t="shared" si="494"/>
        <v>-3.4864122366088566</v>
      </c>
      <c r="L888" s="26">
        <f t="shared" si="495"/>
        <v>2.9701326217790217E-2</v>
      </c>
      <c r="M888" s="26">
        <f t="shared" si="496"/>
        <v>-2.3606086433667404</v>
      </c>
      <c r="N888" s="26">
        <f t="shared" si="497"/>
        <v>8.6226226636659214E-2</v>
      </c>
      <c r="O888" s="26">
        <f t="shared" si="498"/>
        <v>-2.5295687289533957</v>
      </c>
      <c r="P888" s="26">
        <f t="shared" si="499"/>
        <v>7.3811124184671645E-2</v>
      </c>
      <c r="Q888" s="26">
        <f t="shared" si="500"/>
        <v>2.7240410267025095E-3</v>
      </c>
      <c r="R888" s="26">
        <f t="shared" si="501"/>
        <v>-9.2647708240105722</v>
      </c>
      <c r="S888" s="26">
        <f t="shared" si="502"/>
        <v>9.4693469316272798E-5</v>
      </c>
      <c r="T888" s="26">
        <f t="shared" si="503"/>
        <v>1.9124006319073352</v>
      </c>
      <c r="U888" s="26">
        <f t="shared" si="504"/>
        <v>0.87128860621519388</v>
      </c>
      <c r="V888" s="26">
        <f t="shared" si="505"/>
        <v>2.6118626308494384</v>
      </c>
      <c r="W888" s="26">
        <f t="shared" si="506"/>
        <v>0.93162114722935385</v>
      </c>
      <c r="X888" s="26">
        <f t="shared" si="507"/>
        <v>2.3378337531148514E-3</v>
      </c>
      <c r="Y888" s="26">
        <f t="shared" si="508"/>
        <v>2.3713877476075194</v>
      </c>
      <c r="Z888" s="26">
        <f t="shared" si="509"/>
        <v>0.91461929331719216</v>
      </c>
      <c r="AA888" s="26">
        <f t="shared" si="510"/>
        <v>-6.9416633825334957</v>
      </c>
      <c r="AB888" s="26">
        <f t="shared" si="511"/>
        <v>9.6572680341401758E-4</v>
      </c>
      <c r="AC888" s="26">
        <f t="shared" si="512"/>
        <v>2.7734069933863785</v>
      </c>
      <c r="AD888" s="26">
        <f t="shared" si="513"/>
        <v>0.9412217564462324</v>
      </c>
      <c r="AE888" s="26">
        <f t="shared" si="514"/>
        <v>1.7274409576330109E-3</v>
      </c>
      <c r="AF888" s="26">
        <f t="shared" si="515"/>
        <v>-3.4069708397941953</v>
      </c>
      <c r="AG888" s="26">
        <f t="shared" si="516"/>
        <v>3.2078317595804755E-2</v>
      </c>
      <c r="AH888" s="26">
        <f t="shared" si="517"/>
        <v>-2.6686541072594201</v>
      </c>
      <c r="AI888" s="26">
        <f t="shared" si="518"/>
        <v>6.4848540072704172E-2</v>
      </c>
      <c r="AJ888" s="26">
        <f t="shared" si="519"/>
        <v>-2.6591305527381239</v>
      </c>
      <c r="AK888" s="26">
        <f t="shared" si="520"/>
        <v>6.5428477948884373E-2</v>
      </c>
      <c r="AL888" s="26">
        <f t="shared" si="521"/>
        <v>2.1404428633538244E-3</v>
      </c>
      <c r="AM888" s="27">
        <f t="shared" si="522"/>
        <v>8.9297586008041975E-3</v>
      </c>
    </row>
    <row r="889" spans="1:39" ht="15" customHeight="1" x14ac:dyDescent="0.2">
      <c r="A889" s="24">
        <v>878</v>
      </c>
      <c r="B889" s="29">
        <f t="shared" si="523"/>
        <v>5.8586622975054823</v>
      </c>
      <c r="C889" s="29">
        <f t="shared" si="524"/>
        <v>-5.7791816434344456</v>
      </c>
      <c r="D889" s="29">
        <f t="shared" si="525"/>
        <v>-3.4865139004875787</v>
      </c>
      <c r="E889" s="29">
        <f t="shared" si="526"/>
        <v>-4.5826831746142886</v>
      </c>
      <c r="F889" s="29">
        <f t="shared" si="527"/>
        <v>4.2746811781634459</v>
      </c>
      <c r="G889" s="29">
        <f t="shared" si="528"/>
        <v>-2.3616188425221574</v>
      </c>
      <c r="H889" s="29">
        <f t="shared" si="529"/>
        <v>6.6504630020506141</v>
      </c>
      <c r="I889" s="29">
        <f t="shared" si="530"/>
        <v>6.8028811880548936</v>
      </c>
      <c r="J889" s="29">
        <f t="shared" si="531"/>
        <v>-3.3147743386840149</v>
      </c>
      <c r="K889" s="26">
        <f t="shared" si="494"/>
        <v>-3.4865139004875787</v>
      </c>
      <c r="L889" s="26">
        <f t="shared" si="495"/>
        <v>2.9698396490543275E-2</v>
      </c>
      <c r="M889" s="26">
        <f t="shared" si="496"/>
        <v>-2.3616188425221574</v>
      </c>
      <c r="N889" s="26">
        <f t="shared" si="497"/>
        <v>8.614666503086392E-2</v>
      </c>
      <c r="O889" s="26">
        <f t="shared" si="498"/>
        <v>-2.5312207246512965</v>
      </c>
      <c r="P889" s="26">
        <f t="shared" si="499"/>
        <v>7.3698268216461596E-2</v>
      </c>
      <c r="Q889" s="26">
        <f t="shared" si="500"/>
        <v>2.7157173690527565E-3</v>
      </c>
      <c r="R889" s="26">
        <f t="shared" si="501"/>
        <v>-9.2656955439220248</v>
      </c>
      <c r="S889" s="26">
        <f t="shared" si="502"/>
        <v>9.4605953134090215E-5</v>
      </c>
      <c r="T889" s="26">
        <f t="shared" si="503"/>
        <v>1.9130623356412886</v>
      </c>
      <c r="U889" s="26">
        <f t="shared" si="504"/>
        <v>0.87136279459930255</v>
      </c>
      <c r="V889" s="26">
        <f t="shared" si="505"/>
        <v>2.6136323980576126</v>
      </c>
      <c r="W889" s="26">
        <f t="shared" si="506"/>
        <v>0.93173380095560387</v>
      </c>
      <c r="X889" s="26">
        <f t="shared" si="507"/>
        <v>2.3301369659845554E-3</v>
      </c>
      <c r="Y889" s="26">
        <f t="shared" si="508"/>
        <v>2.3721483970179036</v>
      </c>
      <c r="Z889" s="26">
        <f t="shared" si="509"/>
        <v>0.91467867433937333</v>
      </c>
      <c r="AA889" s="26">
        <f t="shared" si="510"/>
        <v>-6.9443020171364456</v>
      </c>
      <c r="AB889" s="26">
        <f t="shared" si="511"/>
        <v>9.6318441333452184E-4</v>
      </c>
      <c r="AC889" s="26">
        <f t="shared" si="512"/>
        <v>2.7748147729007906</v>
      </c>
      <c r="AD889" s="26">
        <f t="shared" si="513"/>
        <v>0.9412995911820633</v>
      </c>
      <c r="AE889" s="26">
        <f t="shared" si="514"/>
        <v>1.7228689976964504E-3</v>
      </c>
      <c r="AF889" s="26">
        <f t="shared" si="515"/>
        <v>-3.407033246416542</v>
      </c>
      <c r="AG889" s="26">
        <f t="shared" si="516"/>
        <v>3.2076379970501466E-2</v>
      </c>
      <c r="AH889" s="26">
        <f t="shared" si="517"/>
        <v>-2.6696208389730001</v>
      </c>
      <c r="AI889" s="26">
        <f t="shared" si="518"/>
        <v>6.4789939017904391E-2</v>
      </c>
      <c r="AJ889" s="26">
        <f t="shared" si="519"/>
        <v>-2.6606933031303521</v>
      </c>
      <c r="AK889" s="26">
        <f t="shared" si="520"/>
        <v>6.5332984396821808E-2</v>
      </c>
      <c r="AL889" s="26">
        <f t="shared" si="521"/>
        <v>2.1341994250976808E-3</v>
      </c>
      <c r="AM889" s="27">
        <f t="shared" si="522"/>
        <v>8.902922757831444E-3</v>
      </c>
    </row>
    <row r="890" spans="1:39" ht="15" customHeight="1" x14ac:dyDescent="0.2">
      <c r="A890" s="24">
        <v>879</v>
      </c>
      <c r="B890" s="29">
        <f t="shared" si="523"/>
        <v>5.8595219416096453</v>
      </c>
      <c r="C890" s="29">
        <f t="shared" si="524"/>
        <v>-5.7800026708464101</v>
      </c>
      <c r="D890" s="29">
        <f t="shared" si="525"/>
        <v>-3.4866157059179104</v>
      </c>
      <c r="E890" s="29">
        <f t="shared" si="526"/>
        <v>-4.5843064336077246</v>
      </c>
      <c r="F890" s="29">
        <f t="shared" si="527"/>
        <v>4.2763477069251588</v>
      </c>
      <c r="G890" s="29">
        <f t="shared" si="528"/>
        <v>-2.3626255612010687</v>
      </c>
      <c r="H890" s="29">
        <f t="shared" si="529"/>
        <v>6.6531527605555594</v>
      </c>
      <c r="I890" s="29">
        <f t="shared" si="530"/>
        <v>6.8059759887013556</v>
      </c>
      <c r="J890" s="29">
        <f t="shared" si="531"/>
        <v>-3.3162094111921956</v>
      </c>
      <c r="K890" s="26">
        <f t="shared" si="494"/>
        <v>-3.4866157059179104</v>
      </c>
      <c r="L890" s="26">
        <f t="shared" si="495"/>
        <v>2.9695462964821454E-2</v>
      </c>
      <c r="M890" s="26">
        <f t="shared" si="496"/>
        <v>-2.3626255612010687</v>
      </c>
      <c r="N890" s="26">
        <f t="shared" si="497"/>
        <v>8.6067443695912266E-2</v>
      </c>
      <c r="O890" s="26">
        <f t="shared" si="498"/>
        <v>-2.5328680045885337</v>
      </c>
      <c r="P890" s="26">
        <f t="shared" si="499"/>
        <v>7.3585892571186209E-2</v>
      </c>
      <c r="Q890" s="26">
        <f t="shared" si="500"/>
        <v>2.7074417927490787E-3</v>
      </c>
      <c r="R890" s="26">
        <f t="shared" si="501"/>
        <v>-9.2666183767643204</v>
      </c>
      <c r="S890" s="26">
        <f t="shared" si="502"/>
        <v>9.4518696173448566E-5</v>
      </c>
      <c r="T890" s="26">
        <f t="shared" si="503"/>
        <v>1.9137221457240901</v>
      </c>
      <c r="U890" s="26">
        <f t="shared" si="504"/>
        <v>0.871436734376839</v>
      </c>
      <c r="V890" s="26">
        <f t="shared" si="505"/>
        <v>2.6153969259732621</v>
      </c>
      <c r="W890" s="26">
        <f t="shared" si="506"/>
        <v>0.93184594992117364</v>
      </c>
      <c r="X890" s="26">
        <f t="shared" si="507"/>
        <v>2.3224872710735853E-3</v>
      </c>
      <c r="Y890" s="26">
        <f t="shared" si="508"/>
        <v>2.372906235691735</v>
      </c>
      <c r="Z890" s="26">
        <f t="shared" si="509"/>
        <v>0.91473779869656124</v>
      </c>
      <c r="AA890" s="26">
        <f t="shared" si="510"/>
        <v>-6.9469319948087929</v>
      </c>
      <c r="AB890" s="26">
        <f t="shared" si="511"/>
        <v>9.6065701827785933E-4</v>
      </c>
      <c r="AC890" s="26">
        <f t="shared" si="512"/>
        <v>2.7762191079901228</v>
      </c>
      <c r="AD890" s="26">
        <f t="shared" si="513"/>
        <v>0.94137713918338739</v>
      </c>
      <c r="AE890" s="26">
        <f t="shared" si="514"/>
        <v>1.7183199051619671E-3</v>
      </c>
      <c r="AF890" s="26">
        <f t="shared" si="515"/>
        <v>-3.4070964351546751</v>
      </c>
      <c r="AG890" s="26">
        <f t="shared" si="516"/>
        <v>3.2074418177056384E-2</v>
      </c>
      <c r="AH890" s="26">
        <f t="shared" si="517"/>
        <v>-2.6705842878836346</v>
      </c>
      <c r="AI890" s="26">
        <f t="shared" si="518"/>
        <v>6.473158599819466E-2</v>
      </c>
      <c r="AJ890" s="26">
        <f t="shared" si="519"/>
        <v>-2.66225178734003</v>
      </c>
      <c r="AK890" s="26">
        <f t="shared" si="520"/>
        <v>6.5237880649067048E-2</v>
      </c>
      <c r="AL890" s="26">
        <f t="shared" si="521"/>
        <v>2.1279905357909582E-3</v>
      </c>
      <c r="AM890" s="27">
        <f t="shared" si="522"/>
        <v>8.8762395047755904E-3</v>
      </c>
    </row>
    <row r="891" spans="1:39" ht="15" customHeight="1" x14ac:dyDescent="0.2">
      <c r="A891" s="24">
        <v>880</v>
      </c>
      <c r="B891" s="29">
        <f t="shared" si="523"/>
        <v>5.8603789320351902</v>
      </c>
      <c r="C891" s="29">
        <f t="shared" si="524"/>
        <v>-5.780821679011753</v>
      </c>
      <c r="D891" s="29">
        <f t="shared" si="525"/>
        <v>-3.486717650280998</v>
      </c>
      <c r="E891" s="29">
        <f t="shared" si="526"/>
        <v>-4.5859245461282008</v>
      </c>
      <c r="F891" s="29">
        <f t="shared" si="527"/>
        <v>4.2780088932798943</v>
      </c>
      <c r="G891" s="29">
        <f t="shared" si="528"/>
        <v>-2.3636288207887444</v>
      </c>
      <c r="H891" s="29">
        <f t="shared" si="529"/>
        <v>6.6558359380878338</v>
      </c>
      <c r="I891" s="29">
        <f t="shared" si="530"/>
        <v>6.8090617495377659</v>
      </c>
      <c r="J891" s="29">
        <f t="shared" si="531"/>
        <v>-3.317640590754642</v>
      </c>
      <c r="K891" s="26">
        <f t="shared" si="494"/>
        <v>-3.486717650280998</v>
      </c>
      <c r="L891" s="26">
        <f t="shared" si="495"/>
        <v>2.9692525717222827E-2</v>
      </c>
      <c r="M891" s="26">
        <f t="shared" si="496"/>
        <v>-2.3636288207887444</v>
      </c>
      <c r="N891" s="26">
        <f t="shared" si="497"/>
        <v>8.5988560223926716E-2</v>
      </c>
      <c r="O891" s="26">
        <f t="shared" si="498"/>
        <v>-2.534510594674789</v>
      </c>
      <c r="P891" s="26">
        <f t="shared" si="499"/>
        <v>7.3473993949249777E-2</v>
      </c>
      <c r="Q891" s="26">
        <f t="shared" si="500"/>
        <v>2.6992138934271966E-3</v>
      </c>
      <c r="R891" s="26">
        <f t="shared" si="501"/>
        <v>-9.2675393292927506</v>
      </c>
      <c r="S891" s="26">
        <f t="shared" si="502"/>
        <v>9.443169722833986E-5</v>
      </c>
      <c r="T891" s="26">
        <f t="shared" si="503"/>
        <v>1.9143800724911499</v>
      </c>
      <c r="U891" s="26">
        <f t="shared" si="504"/>
        <v>0.87151042702772119</v>
      </c>
      <c r="V891" s="26">
        <f t="shared" si="505"/>
        <v>2.6171562441272465</v>
      </c>
      <c r="W891" s="26">
        <f t="shared" si="506"/>
        <v>0.93195759773698883</v>
      </c>
      <c r="X891" s="26">
        <f t="shared" si="507"/>
        <v>2.3148842528607138E-3</v>
      </c>
      <c r="Y891" s="26">
        <f t="shared" si="508"/>
        <v>2.3736612817541922</v>
      </c>
      <c r="Z891" s="26">
        <f t="shared" si="509"/>
        <v>0.91479666823306616</v>
      </c>
      <c r="AA891" s="26">
        <f t="shared" si="510"/>
        <v>-6.9495533669169447</v>
      </c>
      <c r="AB891" s="26">
        <f t="shared" si="511"/>
        <v>9.5814448618148685E-4</v>
      </c>
      <c r="AC891" s="26">
        <f t="shared" si="512"/>
        <v>2.7776200146854015</v>
      </c>
      <c r="AD891" s="26">
        <f t="shared" si="513"/>
        <v>0.94145440214338005</v>
      </c>
      <c r="AE891" s="26">
        <f t="shared" si="514"/>
        <v>1.7137935141945311E-3</v>
      </c>
      <c r="AF891" s="26">
        <f t="shared" si="515"/>
        <v>-3.4071603972575608</v>
      </c>
      <c r="AG891" s="26">
        <f t="shared" si="516"/>
        <v>3.207243249143614E-2</v>
      </c>
      <c r="AH891" s="26">
        <f t="shared" si="517"/>
        <v>-2.6715444736370508</v>
      </c>
      <c r="AI891" s="26">
        <f t="shared" si="518"/>
        <v>6.4673479290456221E-2</v>
      </c>
      <c r="AJ891" s="26">
        <f t="shared" si="519"/>
        <v>-2.663806027910077</v>
      </c>
      <c r="AK891" s="26">
        <f t="shared" si="520"/>
        <v>6.5143164128086087E-2</v>
      </c>
      <c r="AL891" s="26">
        <f t="shared" si="521"/>
        <v>2.1218159163093808E-3</v>
      </c>
      <c r="AM891" s="27">
        <f t="shared" si="522"/>
        <v>8.849707576791821E-3</v>
      </c>
    </row>
    <row r="892" spans="1:39" ht="15" customHeight="1" x14ac:dyDescent="0.2">
      <c r="A892" s="24">
        <v>881</v>
      </c>
      <c r="B892" s="29">
        <f t="shared" si="523"/>
        <v>5.8612332841588088</v>
      </c>
      <c r="C892" s="29">
        <f t="shared" si="524"/>
        <v>-5.781638677241955</v>
      </c>
      <c r="D892" s="29">
        <f t="shared" si="525"/>
        <v>-3.4868197309904847</v>
      </c>
      <c r="E892" s="29">
        <f t="shared" si="526"/>
        <v>-4.5875375419079454</v>
      </c>
      <c r="F892" s="29">
        <f t="shared" si="527"/>
        <v>4.2796647686786109</v>
      </c>
      <c r="G892" s="29">
        <f t="shared" si="528"/>
        <v>-2.364628642483976</v>
      </c>
      <c r="H892" s="29">
        <f t="shared" si="529"/>
        <v>6.658512565393651</v>
      </c>
      <c r="I892" s="29">
        <f t="shared" si="530"/>
        <v>6.812138521157741</v>
      </c>
      <c r="J892" s="29">
        <f t="shared" si="531"/>
        <v>-3.31906789788732</v>
      </c>
      <c r="K892" s="26">
        <f t="shared" si="494"/>
        <v>-3.4868197309904847</v>
      </c>
      <c r="L892" s="26">
        <f t="shared" si="495"/>
        <v>2.9689584823381746E-2</v>
      </c>
      <c r="M892" s="26">
        <f t="shared" si="496"/>
        <v>-2.364628642483976</v>
      </c>
      <c r="N892" s="26">
        <f t="shared" si="497"/>
        <v>8.5910012230484001E-2</v>
      </c>
      <c r="O892" s="26">
        <f t="shared" si="498"/>
        <v>-2.5361485206110994</v>
      </c>
      <c r="P892" s="26">
        <f t="shared" si="499"/>
        <v>7.3362569082132956E-2</v>
      </c>
      <c r="Q892" s="26">
        <f t="shared" si="500"/>
        <v>2.6910332711653651E-3</v>
      </c>
      <c r="R892" s="26">
        <f t="shared" si="501"/>
        <v>-9.2684584082324406</v>
      </c>
      <c r="S892" s="26">
        <f t="shared" si="502"/>
        <v>9.4344955099931804E-5</v>
      </c>
      <c r="T892" s="26">
        <f t="shared" si="503"/>
        <v>1.9150361261946349</v>
      </c>
      <c r="U892" s="26">
        <f t="shared" si="504"/>
        <v>0.87158387401922188</v>
      </c>
      <c r="V892" s="26">
        <f t="shared" si="505"/>
        <v>2.6189103818079311</v>
      </c>
      <c r="W892" s="26">
        <f t="shared" si="506"/>
        <v>0.93206874797879902</v>
      </c>
      <c r="X892" s="26">
        <f t="shared" si="507"/>
        <v>2.3073275005839615E-3</v>
      </c>
      <c r="Y892" s="26">
        <f t="shared" si="508"/>
        <v>2.3744135531683241</v>
      </c>
      <c r="Z892" s="26">
        <f t="shared" si="509"/>
        <v>0.91485528477510825</v>
      </c>
      <c r="AA892" s="26">
        <f t="shared" si="510"/>
        <v>-6.9521661843919214</v>
      </c>
      <c r="AB892" s="26">
        <f t="shared" si="511"/>
        <v>9.5564668651281122E-4</v>
      </c>
      <c r="AC892" s="26">
        <f t="shared" si="512"/>
        <v>2.7790175089103362</v>
      </c>
      <c r="AD892" s="26">
        <f t="shared" si="513"/>
        <v>0.9415313817416523</v>
      </c>
      <c r="AE892" s="26">
        <f t="shared" si="514"/>
        <v>1.7092896605201953E-3</v>
      </c>
      <c r="AF892" s="26">
        <f t="shared" si="515"/>
        <v>-3.4072251240736309</v>
      </c>
      <c r="AG892" s="26">
        <f t="shared" si="516"/>
        <v>3.2070423186506811E-2</v>
      </c>
      <c r="AH892" s="26">
        <f t="shared" si="517"/>
        <v>-2.6725014157133105</v>
      </c>
      <c r="AI892" s="26">
        <f t="shared" si="518"/>
        <v>6.4615617187960883E-2</v>
      </c>
      <c r="AJ892" s="26">
        <f t="shared" si="519"/>
        <v>-2.665356047207982</v>
      </c>
      <c r="AK892" s="26">
        <f t="shared" si="520"/>
        <v>6.5048832279788887E-2</v>
      </c>
      <c r="AL892" s="26">
        <f t="shared" si="521"/>
        <v>2.1156752904820525E-3</v>
      </c>
      <c r="AM892" s="27">
        <f t="shared" si="522"/>
        <v>8.8233257227515738E-3</v>
      </c>
    </row>
    <row r="893" spans="1:39" ht="15" customHeight="1" x14ac:dyDescent="0.2">
      <c r="A893" s="24">
        <v>882</v>
      </c>
      <c r="B893" s="29">
        <f t="shared" si="523"/>
        <v>5.862085013228957</v>
      </c>
      <c r="C893" s="29">
        <f t="shared" si="524"/>
        <v>-5.7824536747863746</v>
      </c>
      <c r="D893" s="29">
        <f t="shared" si="525"/>
        <v>-3.4869219454920803</v>
      </c>
      <c r="E893" s="29">
        <f t="shared" si="526"/>
        <v>-4.5891454504329525</v>
      </c>
      <c r="F893" s="29">
        <f t="shared" si="527"/>
        <v>4.2813153643055264</v>
      </c>
      <c r="G893" s="29">
        <f t="shared" si="528"/>
        <v>-2.3656250473011688</v>
      </c>
      <c r="H893" s="29">
        <f t="shared" si="529"/>
        <v>6.6611826730110275</v>
      </c>
      <c r="I893" s="29">
        <f t="shared" si="530"/>
        <v>6.815206353741579</v>
      </c>
      <c r="J893" s="29">
        <f t="shared" si="531"/>
        <v>-3.320491352946815</v>
      </c>
      <c r="K893" s="26">
        <f t="shared" si="494"/>
        <v>-3.4869219454920803</v>
      </c>
      <c r="L893" s="26">
        <f t="shared" si="495"/>
        <v>2.9686640357981575E-2</v>
      </c>
      <c r="M893" s="26">
        <f t="shared" si="496"/>
        <v>-2.3656250473011688</v>
      </c>
      <c r="N893" s="26">
        <f t="shared" si="497"/>
        <v>8.583179735432607E-2</v>
      </c>
      <c r="O893" s="26">
        <f t="shared" si="498"/>
        <v>-2.5377818078920553</v>
      </c>
      <c r="P893" s="26">
        <f t="shared" si="499"/>
        <v>7.3251614732022616E-2</v>
      </c>
      <c r="Q893" s="26">
        <f t="shared" si="500"/>
        <v>2.6828995304243363E-3</v>
      </c>
      <c r="R893" s="26">
        <f t="shared" si="501"/>
        <v>-9.2693756202784545</v>
      </c>
      <c r="S893" s="26">
        <f t="shared" si="502"/>
        <v>9.4258468596521521E-5</v>
      </c>
      <c r="T893" s="26">
        <f t="shared" si="503"/>
        <v>1.9156903170043575</v>
      </c>
      <c r="U893" s="26">
        <f t="shared" si="504"/>
        <v>0.87165707680611049</v>
      </c>
      <c r="V893" s="26">
        <f t="shared" si="505"/>
        <v>2.6206593680638011</v>
      </c>
      <c r="W893" s="26">
        <f t="shared" si="506"/>
        <v>0.93217940418760925</v>
      </c>
      <c r="X893" s="26">
        <f t="shared" si="507"/>
        <v>2.2998166081738369E-3</v>
      </c>
      <c r="Y893" s="26">
        <f t="shared" si="508"/>
        <v>2.3751630677368767</v>
      </c>
      <c r="Z893" s="26">
        <f t="shared" si="509"/>
        <v>0.91491365013104053</v>
      </c>
      <c r="AA893" s="26">
        <f t="shared" si="510"/>
        <v>-6.9547704977341214</v>
      </c>
      <c r="AB893" s="26">
        <f t="shared" si="511"/>
        <v>9.5316349024734254E-4</v>
      </c>
      <c r="AC893" s="26">
        <f t="shared" si="512"/>
        <v>2.7804116064822337</v>
      </c>
      <c r="AD893" s="26">
        <f t="shared" si="513"/>
        <v>0.94160807964438531</v>
      </c>
      <c r="AE893" s="26">
        <f t="shared" si="514"/>
        <v>1.7048081814082245E-3</v>
      </c>
      <c r="AF893" s="26">
        <f t="shared" si="515"/>
        <v>-3.4072906070494979</v>
      </c>
      <c r="AG893" s="26">
        <f t="shared" si="516"/>
        <v>3.2068390532072701E-2</v>
      </c>
      <c r="AH893" s="26">
        <f t="shared" si="517"/>
        <v>-2.673455133428595</v>
      </c>
      <c r="AI893" s="26">
        <f t="shared" si="518"/>
        <v>6.4557998000174699E-2</v>
      </c>
      <c r="AJ893" s="26">
        <f t="shared" si="519"/>
        <v>-2.6669018674275948</v>
      </c>
      <c r="AK893" s="26">
        <f t="shared" si="520"/>
        <v>6.4954882573259098E-2</v>
      </c>
      <c r="AL893" s="26">
        <f t="shared" si="521"/>
        <v>2.1095683850529392E-3</v>
      </c>
      <c r="AM893" s="27">
        <f t="shared" si="522"/>
        <v>8.7970927050593367E-3</v>
      </c>
    </row>
    <row r="894" spans="1:39" ht="15" customHeight="1" x14ac:dyDescent="0.2">
      <c r="A894" s="24">
        <v>883</v>
      </c>
      <c r="B894" s="29">
        <f t="shared" si="523"/>
        <v>5.8629341343672348</v>
      </c>
      <c r="C894" s="29">
        <f t="shared" si="524"/>
        <v>-5.7832666808327851</v>
      </c>
      <c r="D894" s="29">
        <f t="shared" si="525"/>
        <v>-3.4870242912631362</v>
      </c>
      <c r="E894" s="29">
        <f t="shared" si="526"/>
        <v>-4.59074830094562</v>
      </c>
      <c r="F894" s="29">
        <f t="shared" si="527"/>
        <v>4.2829607110810546</v>
      </c>
      <c r="G894" s="29">
        <f t="shared" si="528"/>
        <v>-2.3666180560724053</v>
      </c>
      <c r="H894" s="29">
        <f t="shared" si="529"/>
        <v>6.6638462912716045</v>
      </c>
      <c r="I894" s="29">
        <f t="shared" si="530"/>
        <v>6.8182652970606723</v>
      </c>
      <c r="J894" s="29">
        <f t="shared" si="531"/>
        <v>-3.3219109761319601</v>
      </c>
      <c r="K894" s="26">
        <f t="shared" si="494"/>
        <v>-3.4870242912631362</v>
      </c>
      <c r="L894" s="26">
        <f t="shared" si="495"/>
        <v>2.9683692394767303E-2</v>
      </c>
      <c r="M894" s="26">
        <f t="shared" si="496"/>
        <v>-2.3666180560724053</v>
      </c>
      <c r="N894" s="26">
        <f t="shared" si="497"/>
        <v>8.5753913257075404E-2</v>
      </c>
      <c r="O894" s="26">
        <f t="shared" si="498"/>
        <v>-2.5394104818079746</v>
      </c>
      <c r="P894" s="26">
        <f t="shared" si="499"/>
        <v>7.3141127691446789E-2</v>
      </c>
      <c r="Q894" s="26">
        <f t="shared" si="500"/>
        <v>2.6748122799882621E-3</v>
      </c>
      <c r="R894" s="26">
        <f t="shared" si="501"/>
        <v>-9.2702909720959212</v>
      </c>
      <c r="S894" s="26">
        <f t="shared" si="502"/>
        <v>9.4172236533487396E-5</v>
      </c>
      <c r="T894" s="26">
        <f t="shared" si="503"/>
        <v>1.9163426550086493</v>
      </c>
      <c r="U894" s="26">
        <f t="shared" si="504"/>
        <v>0.87173003683079175</v>
      </c>
      <c r="V894" s="26">
        <f t="shared" si="505"/>
        <v>2.6224032317060129</v>
      </c>
      <c r="W894" s="26">
        <f t="shared" si="506"/>
        <v>0.93228956987010458</v>
      </c>
      <c r="X894" s="26">
        <f t="shared" si="507"/>
        <v>2.2923511741877243E-3</v>
      </c>
      <c r="Y894" s="26">
        <f t="shared" si="508"/>
        <v>2.3759098431040986</v>
      </c>
      <c r="Z894" s="26">
        <f t="shared" si="509"/>
        <v>0.91497176609156694</v>
      </c>
      <c r="AA894" s="26">
        <f t="shared" si="510"/>
        <v>-6.9573663570180253</v>
      </c>
      <c r="AB894" s="26">
        <f t="shared" si="511"/>
        <v>9.5069476984721124E-4</v>
      </c>
      <c r="AC894" s="26">
        <f t="shared" si="512"/>
        <v>2.7818023231129052</v>
      </c>
      <c r="AD894" s="26">
        <f t="shared" si="513"/>
        <v>0.94168449750446548</v>
      </c>
      <c r="AE894" s="26">
        <f t="shared" si="514"/>
        <v>1.7003489156533465E-3</v>
      </c>
      <c r="AF894" s="26">
        <f t="shared" si="515"/>
        <v>-3.4073568377286865</v>
      </c>
      <c r="AG894" s="26">
        <f t="shared" si="516"/>
        <v>3.2066334794914823E-2</v>
      </c>
      <c r="AH894" s="26">
        <f t="shared" si="517"/>
        <v>-2.6744056459369707</v>
      </c>
      <c r="AI894" s="26">
        <f t="shared" si="518"/>
        <v>6.4500620052564309E-2</v>
      </c>
      <c r="AJ894" s="26">
        <f t="shared" si="519"/>
        <v>-2.6684435105908983</v>
      </c>
      <c r="AK894" s="26">
        <f t="shared" si="520"/>
        <v>6.4861312500487225E-2</v>
      </c>
      <c r="AL894" s="26">
        <f t="shared" si="521"/>
        <v>2.1034949296429304E-3</v>
      </c>
      <c r="AM894" s="27">
        <f t="shared" si="522"/>
        <v>8.7710072994722638E-3</v>
      </c>
    </row>
    <row r="895" spans="1:39" ht="15" customHeight="1" x14ac:dyDescent="0.2">
      <c r="A895" s="24">
        <v>884</v>
      </c>
      <c r="B895" s="29">
        <f t="shared" si="523"/>
        <v>5.8637806625697459</v>
      </c>
      <c r="C895" s="29">
        <f t="shared" si="524"/>
        <v>-5.7840777045079079</v>
      </c>
      <c r="D895" s="29">
        <f t="shared" si="525"/>
        <v>-3.487126765812226</v>
      </c>
      <c r="E895" s="29">
        <f t="shared" si="526"/>
        <v>-4.5923461224473545</v>
      </c>
      <c r="F895" s="29">
        <f t="shared" si="527"/>
        <v>4.2846008396647006</v>
      </c>
      <c r="G895" s="29">
        <f t="shared" si="528"/>
        <v>-2.3676076894494815</v>
      </c>
      <c r="H895" s="29">
        <f t="shared" si="529"/>
        <v>6.6665034503024465</v>
      </c>
      <c r="I895" s="29">
        <f t="shared" si="530"/>
        <v>6.8213154004818541</v>
      </c>
      <c r="J895" s="29">
        <f t="shared" si="531"/>
        <v>-3.3233267874854424</v>
      </c>
      <c r="K895" s="26">
        <f t="shared" si="494"/>
        <v>-3.487126765812226</v>
      </c>
      <c r="L895" s="26">
        <f t="shared" si="495"/>
        <v>2.9680741006557959E-2</v>
      </c>
      <c r="M895" s="26">
        <f t="shared" si="496"/>
        <v>-2.3676076894494815</v>
      </c>
      <c r="N895" s="26">
        <f t="shared" si="497"/>
        <v>8.5676357622954363E-2</v>
      </c>
      <c r="O895" s="26">
        <f t="shared" si="498"/>
        <v>-2.5410345674470411</v>
      </c>
      <c r="P895" s="26">
        <f t="shared" si="499"/>
        <v>7.3031104782915315E-2</v>
      </c>
      <c r="Q895" s="26">
        <f t="shared" si="500"/>
        <v>2.6667711329065782E-3</v>
      </c>
      <c r="R895" s="26">
        <f t="shared" si="501"/>
        <v>-9.271204470320134</v>
      </c>
      <c r="S895" s="26">
        <f t="shared" si="502"/>
        <v>9.4086257733244028E-5</v>
      </c>
      <c r="T895" s="26">
        <f t="shared" si="503"/>
        <v>1.9169931502152191</v>
      </c>
      <c r="U895" s="26">
        <f t="shared" si="504"/>
        <v>0.87180275552344233</v>
      </c>
      <c r="V895" s="26">
        <f t="shared" si="505"/>
        <v>2.6241420013109358</v>
      </c>
      <c r="W895" s="26">
        <f t="shared" si="506"/>
        <v>0.93239924849907008</v>
      </c>
      <c r="X895" s="26">
        <f t="shared" si="507"/>
        <v>2.2849308017452398E-3</v>
      </c>
      <c r="Y895" s="26">
        <f t="shared" si="508"/>
        <v>2.3766538967575199</v>
      </c>
      <c r="Z895" s="26">
        <f t="shared" si="509"/>
        <v>0.91502963442995833</v>
      </c>
      <c r="AA895" s="26">
        <f t="shared" si="510"/>
        <v>-6.9599538118968365</v>
      </c>
      <c r="AB895" s="26">
        <f t="shared" si="511"/>
        <v>9.4824039924005208E-4</v>
      </c>
      <c r="AC895" s="26">
        <f t="shared" si="512"/>
        <v>2.7831896744095563</v>
      </c>
      <c r="AD895" s="26">
        <f t="shared" si="513"/>
        <v>0.94176063696161527</v>
      </c>
      <c r="AE895" s="26">
        <f t="shared" si="514"/>
        <v>1.6959117035583867E-3</v>
      </c>
      <c r="AF895" s="26">
        <f t="shared" si="515"/>
        <v>-3.407423807750388</v>
      </c>
      <c r="AG895" s="26">
        <f t="shared" si="516"/>
        <v>3.2064256238828547E-2</v>
      </c>
      <c r="AH895" s="26">
        <f t="shared" si="517"/>
        <v>-2.6753529722321354</v>
      </c>
      <c r="AI895" s="26">
        <f t="shared" si="518"/>
        <v>6.4443481686405776E-2</v>
      </c>
      <c r="AJ895" s="26">
        <f t="shared" si="519"/>
        <v>-2.66998099854976</v>
      </c>
      <c r="AK895" s="26">
        <f t="shared" si="520"/>
        <v>6.4768119576107619E-2</v>
      </c>
      <c r="AL895" s="26">
        <f t="shared" si="521"/>
        <v>2.0974546567124877E-3</v>
      </c>
      <c r="AM895" s="27">
        <f t="shared" si="522"/>
        <v>8.7450682949226921E-3</v>
      </c>
    </row>
    <row r="896" spans="1:39" ht="15" customHeight="1" x14ac:dyDescent="0.2">
      <c r="A896" s="24">
        <v>885</v>
      </c>
      <c r="B896" s="29">
        <f t="shared" si="523"/>
        <v>5.8646246127084432</v>
      </c>
      <c r="C896" s="29">
        <f t="shared" si="524"/>
        <v>-5.784886754877939</v>
      </c>
      <c r="D896" s="29">
        <f t="shared" si="525"/>
        <v>-3.4872293666787337</v>
      </c>
      <c r="E896" s="29">
        <f t="shared" si="526"/>
        <v>-4.5939389437011409</v>
      </c>
      <c r="F896" s="29">
        <f t="shared" si="527"/>
        <v>4.2862357804579219</v>
      </c>
      <c r="G896" s="29">
        <f t="shared" si="528"/>
        <v>-2.3685939679059147</v>
      </c>
      <c r="H896" s="29">
        <f t="shared" si="529"/>
        <v>6.6691541800278218</v>
      </c>
      <c r="I896" s="29">
        <f t="shared" si="530"/>
        <v>6.8243567129716967</v>
      </c>
      <c r="J896" s="29">
        <f t="shared" si="531"/>
        <v>-3.3247388068953923</v>
      </c>
      <c r="K896" s="26">
        <f t="shared" si="494"/>
        <v>-3.4872293666787337</v>
      </c>
      <c r="L896" s="26">
        <f t="shared" si="495"/>
        <v>2.9677786265258826E-2</v>
      </c>
      <c r="M896" s="26">
        <f t="shared" si="496"/>
        <v>-2.3685939679059147</v>
      </c>
      <c r="N896" s="26">
        <f t="shared" si="497"/>
        <v>8.5599128158508939E-2</v>
      </c>
      <c r="O896" s="26">
        <f t="shared" si="498"/>
        <v>-2.5426540896974239</v>
      </c>
      <c r="P896" s="26">
        <f t="shared" si="499"/>
        <v>7.29215428585651E-2</v>
      </c>
      <c r="Q896" s="26">
        <f t="shared" si="500"/>
        <v>2.6587757064367732E-3</v>
      </c>
      <c r="R896" s="26">
        <f t="shared" si="501"/>
        <v>-9.2721161215566728</v>
      </c>
      <c r="S896" s="26">
        <f t="shared" si="502"/>
        <v>9.4000531025195002E-5</v>
      </c>
      <c r="T896" s="26">
        <f t="shared" si="503"/>
        <v>1.9176418125520072</v>
      </c>
      <c r="U896" s="26">
        <f t="shared" si="504"/>
        <v>0.8718752343021452</v>
      </c>
      <c r="V896" s="26">
        <f t="shared" si="505"/>
        <v>2.6258757052226347</v>
      </c>
      <c r="W896" s="26">
        <f t="shared" si="506"/>
        <v>0.9325084435138018</v>
      </c>
      <c r="X896" s="26">
        <f t="shared" si="507"/>
        <v>2.2775550984648414E-3</v>
      </c>
      <c r="Y896" s="26">
        <f t="shared" si="508"/>
        <v>2.3773952460297094</v>
      </c>
      <c r="Z896" s="26">
        <f t="shared" si="509"/>
        <v>0.91508725690226556</v>
      </c>
      <c r="AA896" s="26">
        <f t="shared" si="510"/>
        <v>-6.962532911607056</v>
      </c>
      <c r="AB896" s="26">
        <f t="shared" si="511"/>
        <v>9.4580025379824393E-4</v>
      </c>
      <c r="AC896" s="26">
        <f t="shared" si="512"/>
        <v>2.7845736758756834</v>
      </c>
      <c r="AD896" s="26">
        <f t="shared" si="513"/>
        <v>0.94183649964252558</v>
      </c>
      <c r="AE896" s="26">
        <f t="shared" si="514"/>
        <v>1.6914963869169633E-3</v>
      </c>
      <c r="AF896" s="26">
        <f t="shared" si="515"/>
        <v>-3.4074915088482296</v>
      </c>
      <c r="AG896" s="26">
        <f t="shared" si="516"/>
        <v>3.2062155124660971E-2</v>
      </c>
      <c r="AH896" s="26">
        <f t="shared" si="517"/>
        <v>-2.6762971311491337</v>
      </c>
      <c r="AI896" s="26">
        <f t="shared" si="518"/>
        <v>6.4386581258596656E-2</v>
      </c>
      <c r="AJ896" s="26">
        <f t="shared" si="519"/>
        <v>-2.6715143529876575</v>
      </c>
      <c r="AK896" s="26">
        <f t="shared" si="520"/>
        <v>6.4675301337139127E-2</v>
      </c>
      <c r="AL896" s="26">
        <f t="shared" si="521"/>
        <v>2.0914473015248751E-3</v>
      </c>
      <c r="AM896" s="27">
        <f t="shared" si="522"/>
        <v>8.7192744933434537E-3</v>
      </c>
    </row>
    <row r="897" spans="1:39" ht="15" customHeight="1" x14ac:dyDescent="0.2">
      <c r="A897" s="24">
        <v>886</v>
      </c>
      <c r="B897" s="29">
        <f t="shared" si="523"/>
        <v>5.8654659995324518</v>
      </c>
      <c r="C897" s="29">
        <f t="shared" si="524"/>
        <v>-5.7856938409490697</v>
      </c>
      <c r="D897" s="29">
        <f t="shared" si="525"/>
        <v>-3.4873320914324482</v>
      </c>
      <c r="E897" s="29">
        <f t="shared" si="526"/>
        <v>-4.5955267932340824</v>
      </c>
      <c r="F897" s="29">
        <f t="shared" si="527"/>
        <v>4.2878655636069469</v>
      </c>
      <c r="G897" s="29">
        <f t="shared" si="528"/>
        <v>-2.3695769117389252</v>
      </c>
      <c r="H897" s="29">
        <f t="shared" si="529"/>
        <v>6.6717985101709658</v>
      </c>
      <c r="I897" s="29">
        <f t="shared" si="530"/>
        <v>6.8273892831007474</v>
      </c>
      <c r="J897" s="29">
        <f t="shared" si="531"/>
        <v>-3.3261470540969489</v>
      </c>
      <c r="K897" s="26">
        <f t="shared" si="494"/>
        <v>-3.4873320914324482</v>
      </c>
      <c r="L897" s="26">
        <f t="shared" si="495"/>
        <v>2.9674828241873501E-2</v>
      </c>
      <c r="M897" s="26">
        <f t="shared" si="496"/>
        <v>-2.3695769117389252</v>
      </c>
      <c r="N897" s="26">
        <f t="shared" si="497"/>
        <v>8.5522222592336189E-2</v>
      </c>
      <c r="O897" s="26">
        <f t="shared" si="498"/>
        <v>-2.5442690732493651</v>
      </c>
      <c r="P897" s="26">
        <f t="shared" si="499"/>
        <v>7.2812438799810655E-2</v>
      </c>
      <c r="Q897" s="26">
        <f t="shared" si="500"/>
        <v>2.6508256219880859E-3</v>
      </c>
      <c r="R897" s="26">
        <f t="shared" si="501"/>
        <v>-9.2730259323815183</v>
      </c>
      <c r="S897" s="26">
        <f t="shared" si="502"/>
        <v>9.3915055245687024E-5</v>
      </c>
      <c r="T897" s="26">
        <f t="shared" si="503"/>
        <v>1.9182886518680218</v>
      </c>
      <c r="U897" s="26">
        <f t="shared" si="504"/>
        <v>0.87194747457302335</v>
      </c>
      <c r="V897" s="26">
        <f t="shared" si="505"/>
        <v>2.6276043715553428</v>
      </c>
      <c r="W897" s="26">
        <f t="shared" si="506"/>
        <v>0.93261715832051451</v>
      </c>
      <c r="X897" s="26">
        <f t="shared" si="507"/>
        <v>2.2702236764013039E-3</v>
      </c>
      <c r="Y897" s="26">
        <f t="shared" si="508"/>
        <v>2.3781339081000037</v>
      </c>
      <c r="Z897" s="26">
        <f t="shared" si="509"/>
        <v>0.91514463524752843</v>
      </c>
      <c r="AA897" s="26">
        <f t="shared" si="510"/>
        <v>-6.9651037049730071</v>
      </c>
      <c r="AB897" s="26">
        <f t="shared" si="511"/>
        <v>9.4337421031848937E-4</v>
      </c>
      <c r="AC897" s="26">
        <f t="shared" si="512"/>
        <v>2.7859543429119453</v>
      </c>
      <c r="AD897" s="26">
        <f t="shared" si="513"/>
        <v>0.94191208716098351</v>
      </c>
      <c r="AE897" s="26">
        <f t="shared" si="514"/>
        <v>1.6871028089965883E-3</v>
      </c>
      <c r="AF897" s="26">
        <f t="shared" si="515"/>
        <v>-3.407559932849066</v>
      </c>
      <c r="AG897" s="26">
        <f t="shared" si="516"/>
        <v>3.2060031710347534E-2</v>
      </c>
      <c r="AH897" s="26">
        <f t="shared" si="517"/>
        <v>-2.6772381413660606</v>
      </c>
      <c r="AI897" s="26">
        <f t="shared" si="518"/>
        <v>6.4329917141470155E-2</v>
      </c>
      <c r="AJ897" s="26">
        <f t="shared" si="519"/>
        <v>-2.6730435954213858</v>
      </c>
      <c r="AK897" s="26">
        <f t="shared" si="520"/>
        <v>6.4582855342729256E-2</v>
      </c>
      <c r="AL897" s="26">
        <f t="shared" si="521"/>
        <v>2.0854726021099462E-3</v>
      </c>
      <c r="AM897" s="27">
        <f t="shared" si="522"/>
        <v>8.6936247094959243E-3</v>
      </c>
    </row>
    <row r="898" spans="1:39" ht="15" customHeight="1" x14ac:dyDescent="0.2">
      <c r="A898" s="24">
        <v>887</v>
      </c>
      <c r="B898" s="29">
        <f t="shared" si="523"/>
        <v>5.8663048376693805</v>
      </c>
      <c r="C898" s="29">
        <f t="shared" si="524"/>
        <v>-5.7864989716680002</v>
      </c>
      <c r="D898" s="29">
        <f t="shared" si="525"/>
        <v>-3.4874349376731613</v>
      </c>
      <c r="E898" s="29">
        <f t="shared" si="526"/>
        <v>-4.5971096993399003</v>
      </c>
      <c r="F898" s="29">
        <f t="shared" si="527"/>
        <v>4.2894902190055593</v>
      </c>
      <c r="G898" s="29">
        <f t="shared" si="528"/>
        <v>-2.3705565410713891</v>
      </c>
      <c r="H898" s="29">
        <f t="shared" si="529"/>
        <v>6.6744364702558245</v>
      </c>
      <c r="I898" s="29">
        <f t="shared" si="530"/>
        <v>6.830413159047712</v>
      </c>
      <c r="J898" s="29">
        <f t="shared" si="531"/>
        <v>-3.3275515486738096</v>
      </c>
      <c r="K898" s="26">
        <f t="shared" si="494"/>
        <v>-3.4874349376731613</v>
      </c>
      <c r="L898" s="26">
        <f t="shared" si="495"/>
        <v>2.9671867006515751E-2</v>
      </c>
      <c r="M898" s="26">
        <f t="shared" si="496"/>
        <v>-2.3705565410713891</v>
      </c>
      <c r="N898" s="26">
        <f t="shared" si="497"/>
        <v>8.5445638674816179E-2</v>
      </c>
      <c r="O898" s="26">
        <f t="shared" si="498"/>
        <v>-2.5458795425972398</v>
      </c>
      <c r="P898" s="26">
        <f t="shared" si="499"/>
        <v>7.2703789516999739E-2</v>
      </c>
      <c r="Q898" s="26">
        <f t="shared" si="500"/>
        <v>2.6429205050661005E-3</v>
      </c>
      <c r="R898" s="26">
        <f t="shared" si="501"/>
        <v>-9.2739339093411619</v>
      </c>
      <c r="S898" s="26">
        <f t="shared" si="502"/>
        <v>9.382982923796463E-5</v>
      </c>
      <c r="T898" s="26">
        <f t="shared" si="503"/>
        <v>1.9189336779341701</v>
      </c>
      <c r="U898" s="26">
        <f t="shared" si="504"/>
        <v>0.87201947773037081</v>
      </c>
      <c r="V898" s="26">
        <f t="shared" si="505"/>
        <v>2.6293280281958924</v>
      </c>
      <c r="W898" s="26">
        <f t="shared" si="506"/>
        <v>0.93272539629274265</v>
      </c>
      <c r="X898" s="26">
        <f t="shared" si="507"/>
        <v>2.2629361519842625E-3</v>
      </c>
      <c r="Y898" s="26">
        <f t="shared" si="508"/>
        <v>2.3788698999962192</v>
      </c>
      <c r="Z898" s="26">
        <f t="shared" si="509"/>
        <v>0.91520177118798218</v>
      </c>
      <c r="AA898" s="26">
        <f t="shared" si="510"/>
        <v>-6.9676662404112895</v>
      </c>
      <c r="AB898" s="26">
        <f t="shared" si="511"/>
        <v>9.4096214700174709E-4</v>
      </c>
      <c r="AC898" s="26">
        <f t="shared" si="512"/>
        <v>2.7873316908170316</v>
      </c>
      <c r="AD898" s="26">
        <f t="shared" si="513"/>
        <v>0.94198740111800072</v>
      </c>
      <c r="AE898" s="26">
        <f t="shared" si="514"/>
        <v>1.6827308145218719E-3</v>
      </c>
      <c r="AF898" s="26">
        <f t="shared" si="515"/>
        <v>-3.407629071671781</v>
      </c>
      <c r="AG898" s="26">
        <f t="shared" si="516"/>
        <v>3.2057886250948409E-2</v>
      </c>
      <c r="AH898" s="26">
        <f t="shared" si="517"/>
        <v>-2.6781760214057302</v>
      </c>
      <c r="AI898" s="26">
        <f t="shared" si="518"/>
        <v>6.427348772261271E-2</v>
      </c>
      <c r="AJ898" s="26">
        <f t="shared" si="519"/>
        <v>-2.6745687472027413</v>
      </c>
      <c r="AK898" s="26">
        <f t="shared" si="520"/>
        <v>6.449077917390203E-2</v>
      </c>
      <c r="AL898" s="26">
        <f t="shared" si="521"/>
        <v>2.0795302992284979E-3</v>
      </c>
      <c r="AM898" s="27">
        <f t="shared" si="522"/>
        <v>8.6681177708007335E-3</v>
      </c>
    </row>
    <row r="899" spans="1:39" ht="15" customHeight="1" x14ac:dyDescent="0.2">
      <c r="A899" s="24">
        <v>888</v>
      </c>
      <c r="B899" s="29">
        <f t="shared" si="523"/>
        <v>5.8671411416266128</v>
      </c>
      <c r="C899" s="29">
        <f t="shared" si="524"/>
        <v>-5.7873021559224531</v>
      </c>
      <c r="D899" s="29">
        <f t="shared" si="525"/>
        <v>-3.4875379030302747</v>
      </c>
      <c r="E899" s="29">
        <f t="shared" si="526"/>
        <v>-4.5986876900814098</v>
      </c>
      <c r="F899" s="29">
        <f t="shared" si="527"/>
        <v>4.2911097762978416</v>
      </c>
      <c r="G899" s="29">
        <f t="shared" si="528"/>
        <v>-2.371532875853767</v>
      </c>
      <c r="H899" s="29">
        <f t="shared" si="529"/>
        <v>6.6770680896087793</v>
      </c>
      <c r="I899" s="29">
        <f t="shared" si="530"/>
        <v>6.8334283886035836</v>
      </c>
      <c r="J899" s="29">
        <f t="shared" si="531"/>
        <v>-3.3289523100597571</v>
      </c>
      <c r="K899" s="26">
        <f t="shared" si="494"/>
        <v>-3.4875379030302747</v>
      </c>
      <c r="L899" s="26">
        <f t="shared" si="495"/>
        <v>2.9668902628421218E-2</v>
      </c>
      <c r="M899" s="26">
        <f t="shared" si="496"/>
        <v>-2.371532875853767</v>
      </c>
      <c r="N899" s="26">
        <f t="shared" si="497"/>
        <v>8.5369374177847415E-2</v>
      </c>
      <c r="O899" s="26">
        <f t="shared" si="498"/>
        <v>-2.5474855220415913</v>
      </c>
      <c r="P899" s="26">
        <f t="shared" si="499"/>
        <v>7.2595591949073696E-2</v>
      </c>
      <c r="Q899" s="26">
        <f t="shared" si="500"/>
        <v>2.6350599852182069E-3</v>
      </c>
      <c r="R899" s="26">
        <f t="shared" si="501"/>
        <v>-9.2748400589527282</v>
      </c>
      <c r="S899" s="26">
        <f t="shared" si="502"/>
        <v>9.3744851852123998E-5</v>
      </c>
      <c r="T899" s="26">
        <f t="shared" si="503"/>
        <v>1.9195769004440746</v>
      </c>
      <c r="U899" s="26">
        <f t="shared" si="504"/>
        <v>0.87209124515678205</v>
      </c>
      <c r="V899" s="26">
        <f t="shared" si="505"/>
        <v>2.6310467028061111</v>
      </c>
      <c r="W899" s="26">
        <f t="shared" si="506"/>
        <v>0.93283316077173417</v>
      </c>
      <c r="X899" s="26">
        <f t="shared" si="507"/>
        <v>2.2556921459578549E-3</v>
      </c>
      <c r="Y899" s="26">
        <f t="shared" si="508"/>
        <v>2.3796032385963382</v>
      </c>
      <c r="Z899" s="26">
        <f t="shared" si="509"/>
        <v>0.91525866642926135</v>
      </c>
      <c r="AA899" s="26">
        <f t="shared" si="510"/>
        <v>-6.9702205659351772</v>
      </c>
      <c r="AB899" s="26">
        <f t="shared" si="511"/>
        <v>9.3856394343349572E-4</v>
      </c>
      <c r="AC899" s="26">
        <f t="shared" si="512"/>
        <v>2.7887057347885276</v>
      </c>
      <c r="AD899" s="26">
        <f t="shared" si="513"/>
        <v>0.94206244310193965</v>
      </c>
      <c r="AE899" s="26">
        <f t="shared" si="514"/>
        <v>1.6783802496579902E-3</v>
      </c>
      <c r="AF899" s="26">
        <f t="shared" si="515"/>
        <v>-3.407698917326115</v>
      </c>
      <c r="AG899" s="26">
        <f t="shared" si="516"/>
        <v>3.205571899868407E-2</v>
      </c>
      <c r="AH899" s="26">
        <f t="shared" si="517"/>
        <v>-2.6791107896373352</v>
      </c>
      <c r="AI899" s="26">
        <f t="shared" si="518"/>
        <v>6.4217291404683366E-2</v>
      </c>
      <c r="AJ899" s="26">
        <f t="shared" si="519"/>
        <v>-2.6760898295201856</v>
      </c>
      <c r="AK899" s="26">
        <f t="shared" si="520"/>
        <v>6.4399070433309086E-2</v>
      </c>
      <c r="AL899" s="26">
        <f t="shared" si="521"/>
        <v>2.073620136337152E-3</v>
      </c>
      <c r="AM899" s="27">
        <f t="shared" si="522"/>
        <v>8.6427525171712035E-3</v>
      </c>
    </row>
    <row r="900" spans="1:39" ht="15" customHeight="1" x14ac:dyDescent="0.2">
      <c r="A900" s="24">
        <v>889</v>
      </c>
      <c r="B900" s="29">
        <f t="shared" si="523"/>
        <v>5.8679749257925815</v>
      </c>
      <c r="C900" s="29">
        <f t="shared" si="524"/>
        <v>-5.7881034025416733</v>
      </c>
      <c r="D900" s="29">
        <f t="shared" si="525"/>
        <v>-3.4876409851624106</v>
      </c>
      <c r="E900" s="29">
        <f t="shared" si="526"/>
        <v>-4.6002607932929553</v>
      </c>
      <c r="F900" s="29">
        <f t="shared" si="527"/>
        <v>4.2927242648808841</v>
      </c>
      <c r="G900" s="29">
        <f t="shared" si="528"/>
        <v>-2.372505935866005</v>
      </c>
      <c r="H900" s="29">
        <f t="shared" si="529"/>
        <v>6.6796933973603565</v>
      </c>
      <c r="I900" s="29">
        <f t="shared" si="530"/>
        <v>6.8364350191757168</v>
      </c>
      <c r="J900" s="29">
        <f t="shared" si="531"/>
        <v>-3.3303493575401704</v>
      </c>
      <c r="K900" s="26">
        <f t="shared" si="494"/>
        <v>-3.4876409851624106</v>
      </c>
      <c r="L900" s="26">
        <f t="shared" si="495"/>
        <v>2.9665935175958946E-2</v>
      </c>
      <c r="M900" s="26">
        <f t="shared" si="496"/>
        <v>-2.372505935866005</v>
      </c>
      <c r="N900" s="26">
        <f t="shared" si="497"/>
        <v>8.5293426894586424E-2</v>
      </c>
      <c r="O900" s="26">
        <f t="shared" si="498"/>
        <v>-2.5490870356911426</v>
      </c>
      <c r="P900" s="26">
        <f t="shared" si="499"/>
        <v>7.2487843063232513E-2</v>
      </c>
      <c r="Q900" s="26">
        <f t="shared" si="500"/>
        <v>2.6272436959799131E-3</v>
      </c>
      <c r="R900" s="26">
        <f t="shared" si="501"/>
        <v>-9.2757443877040835</v>
      </c>
      <c r="S900" s="26">
        <f t="shared" si="502"/>
        <v>9.3660121945068458E-5</v>
      </c>
      <c r="T900" s="26">
        <f t="shared" si="503"/>
        <v>1.9202183290148791</v>
      </c>
      <c r="U900" s="26">
        <f t="shared" si="504"/>
        <v>0.87216277822327981</v>
      </c>
      <c r="V900" s="26">
        <f t="shared" si="505"/>
        <v>2.6327604228251968</v>
      </c>
      <c r="W900" s="26">
        <f t="shared" si="506"/>
        <v>0.93294045506684076</v>
      </c>
      <c r="X900" s="26">
        <f t="shared" si="507"/>
        <v>2.2484912833212016E-3</v>
      </c>
      <c r="Y900" s="26">
        <f t="shared" si="508"/>
        <v>2.3803339406301709</v>
      </c>
      <c r="Z900" s="26">
        <f t="shared" si="509"/>
        <v>0.91531532266060023</v>
      </c>
      <c r="AA900" s="26">
        <f t="shared" si="510"/>
        <v>-6.9727667291589608</v>
      </c>
      <c r="AB900" s="26">
        <f t="shared" si="511"/>
        <v>9.3617948056432389E-4</v>
      </c>
      <c r="AC900" s="26">
        <f t="shared" si="512"/>
        <v>2.7900764899237687</v>
      </c>
      <c r="AD900" s="26">
        <f t="shared" si="513"/>
        <v>0.94213721468863765</v>
      </c>
      <c r="AE900" s="26">
        <f t="shared" si="514"/>
        <v>1.6740509619944054E-3</v>
      </c>
      <c r="AF900" s="26">
        <f t="shared" si="515"/>
        <v>-3.4077694619115024</v>
      </c>
      <c r="AG900" s="26">
        <f t="shared" si="516"/>
        <v>3.2053530202970679E-2</v>
      </c>
      <c r="AH900" s="26">
        <f t="shared" si="517"/>
        <v>-2.6800424642780762</v>
      </c>
      <c r="AI900" s="26">
        <f t="shared" si="518"/>
        <v>6.4161326605236282E-2</v>
      </c>
      <c r="AJ900" s="26">
        <f t="shared" si="519"/>
        <v>-2.6776068634004884</v>
      </c>
      <c r="AK900" s="26">
        <f t="shared" si="520"/>
        <v>6.4307726744984403E-2</v>
      </c>
      <c r="AL900" s="26">
        <f t="shared" si="521"/>
        <v>2.0677418595537911E-3</v>
      </c>
      <c r="AM900" s="27">
        <f t="shared" si="522"/>
        <v>8.6175278008493103E-3</v>
      </c>
    </row>
    <row r="901" spans="1:39" ht="15" customHeight="1" x14ac:dyDescent="0.2">
      <c r="A901" s="24">
        <v>890</v>
      </c>
      <c r="B901" s="29">
        <f t="shared" si="523"/>
        <v>5.8688062044380285</v>
      </c>
      <c r="C901" s="29">
        <f t="shared" si="524"/>
        <v>-5.7889027202969325</v>
      </c>
      <c r="D901" s="29">
        <f t="shared" si="525"/>
        <v>-3.4877441817570283</v>
      </c>
      <c r="E901" s="29">
        <f t="shared" si="526"/>
        <v>-4.6018290365828207</v>
      </c>
      <c r="F901" s="29">
        <f t="shared" si="527"/>
        <v>4.2943337139074584</v>
      </c>
      <c r="G901" s="29">
        <f t="shared" si="528"/>
        <v>-2.3734757407194111</v>
      </c>
      <c r="H901" s="29">
        <f t="shared" si="529"/>
        <v>6.6823124224469161</v>
      </c>
      <c r="I901" s="29">
        <f t="shared" si="530"/>
        <v>6.8394330977918534</v>
      </c>
      <c r="J901" s="29">
        <f t="shared" si="531"/>
        <v>-3.3317427102535135</v>
      </c>
      <c r="K901" s="26">
        <f t="shared" si="494"/>
        <v>-3.4877441817570283</v>
      </c>
      <c r="L901" s="26">
        <f t="shared" si="495"/>
        <v>2.9662964716642773E-2</v>
      </c>
      <c r="M901" s="26">
        <f t="shared" si="496"/>
        <v>-2.3734757407194111</v>
      </c>
      <c r="N901" s="26">
        <f t="shared" si="497"/>
        <v>8.5217794639190991E-2</v>
      </c>
      <c r="O901" s="26">
        <f t="shared" si="498"/>
        <v>-2.5506841074647748</v>
      </c>
      <c r="P901" s="26">
        <f t="shared" si="499"/>
        <v>7.2380539854605075E-2</v>
      </c>
      <c r="Q901" s="26">
        <f t="shared" si="500"/>
        <v>2.6194712748220366E-3</v>
      </c>
      <c r="R901" s="26">
        <f t="shared" si="501"/>
        <v>-9.2766469020539617</v>
      </c>
      <c r="S901" s="26">
        <f t="shared" si="502"/>
        <v>9.3575638380462598E-5</v>
      </c>
      <c r="T901" s="26">
        <f t="shared" si="503"/>
        <v>1.9208579731880473</v>
      </c>
      <c r="U901" s="26">
        <f t="shared" si="504"/>
        <v>0.87223407828944144</v>
      </c>
      <c r="V901" s="26">
        <f t="shared" si="505"/>
        <v>2.6344692154720515</v>
      </c>
      <c r="W901" s="26">
        <f t="shared" si="506"/>
        <v>0.93304728245590018</v>
      </c>
      <c r="X901" s="26">
        <f t="shared" si="507"/>
        <v>2.2413331932700058E-3</v>
      </c>
      <c r="Y901" s="26">
        <f t="shared" si="508"/>
        <v>2.3810620226810002</v>
      </c>
      <c r="Z901" s="26">
        <f t="shared" si="509"/>
        <v>0.91537174155503043</v>
      </c>
      <c r="AA901" s="26">
        <f t="shared" si="510"/>
        <v>-6.9753047773022319</v>
      </c>
      <c r="AB901" s="26">
        <f t="shared" si="511"/>
        <v>9.3380864069084527E-4</v>
      </c>
      <c r="AC901" s="26">
        <f t="shared" si="512"/>
        <v>2.7914439712206796</v>
      </c>
      <c r="AD901" s="26">
        <f t="shared" si="513"/>
        <v>0.94221171744153187</v>
      </c>
      <c r="AE901" s="26">
        <f t="shared" si="514"/>
        <v>1.669742800528676E-3</v>
      </c>
      <c r="AF901" s="26">
        <f t="shared" si="515"/>
        <v>-3.4078406976159323</v>
      </c>
      <c r="AG901" s="26">
        <f t="shared" si="516"/>
        <v>3.2051320110454667E-2</v>
      </c>
      <c r="AH901" s="26">
        <f t="shared" si="517"/>
        <v>-2.6809710633947734</v>
      </c>
      <c r="AI901" s="26">
        <f t="shared" si="518"/>
        <v>6.4105591756545538E-2</v>
      </c>
      <c r="AJ901" s="26">
        <f t="shared" si="519"/>
        <v>-2.6791198697103495</v>
      </c>
      <c r="AK901" s="26">
        <f t="shared" si="520"/>
        <v>6.4216745754102314E-2</v>
      </c>
      <c r="AL901" s="26">
        <f t="shared" si="521"/>
        <v>2.0618952176235088E-3</v>
      </c>
      <c r="AM901" s="27">
        <f t="shared" si="522"/>
        <v>8.5924424862442277E-3</v>
      </c>
    </row>
    <row r="902" spans="1:39" ht="15" customHeight="1" x14ac:dyDescent="0.2">
      <c r="A902" s="24">
        <v>891</v>
      </c>
      <c r="B902" s="29">
        <f t="shared" si="523"/>
        <v>5.8696349917172457</v>
      </c>
      <c r="C902" s="29">
        <f t="shared" si="524"/>
        <v>-5.7897001179020195</v>
      </c>
      <c r="D902" s="29">
        <f t="shared" si="525"/>
        <v>-3.4878474905300476</v>
      </c>
      <c r="E902" s="29">
        <f t="shared" si="526"/>
        <v>-4.6033924473356072</v>
      </c>
      <c r="F902" s="29">
        <f t="shared" si="527"/>
        <v>4.2959381522886551</v>
      </c>
      <c r="G902" s="29">
        <f t="shared" si="528"/>
        <v>-2.3744423098585066</v>
      </c>
      <c r="H902" s="29">
        <f t="shared" si="529"/>
        <v>6.6849251936123233</v>
      </c>
      <c r="I902" s="29">
        <f t="shared" si="530"/>
        <v>6.8424226711040905</v>
      </c>
      <c r="J902" s="29">
        <f t="shared" si="531"/>
        <v>-3.3331323871928098</v>
      </c>
      <c r="K902" s="26">
        <f t="shared" si="494"/>
        <v>-3.4878474905300476</v>
      </c>
      <c r="L902" s="26">
        <f t="shared" si="495"/>
        <v>2.9659991317142489E-2</v>
      </c>
      <c r="M902" s="26">
        <f t="shared" si="496"/>
        <v>-2.3744423098585066</v>
      </c>
      <c r="N902" s="26">
        <f t="shared" si="497"/>
        <v>8.5142475246567165E-2</v>
      </c>
      <c r="O902" s="26">
        <f t="shared" si="498"/>
        <v>-2.5522767610934913</v>
      </c>
      <c r="P902" s="26">
        <f t="shared" si="499"/>
        <v>7.2273679345923325E-2</v>
      </c>
      <c r="Q902" s="26">
        <f t="shared" si="500"/>
        <v>2.611742363098672E-3</v>
      </c>
      <c r="R902" s="26">
        <f t="shared" si="501"/>
        <v>-9.2775476084320676</v>
      </c>
      <c r="S902" s="26">
        <f t="shared" si="502"/>
        <v>9.349140002868882E-5</v>
      </c>
      <c r="T902" s="26">
        <f t="shared" si="503"/>
        <v>1.9214958424301485</v>
      </c>
      <c r="U902" s="26">
        <f t="shared" si="504"/>
        <v>0.87230514670352222</v>
      </c>
      <c r="V902" s="26">
        <f t="shared" si="505"/>
        <v>2.6361731077475885</v>
      </c>
      <c r="W902" s="26">
        <f t="shared" si="506"/>
        <v>0.93315364618561536</v>
      </c>
      <c r="X902" s="26">
        <f t="shared" si="507"/>
        <v>2.2342175091389482E-3</v>
      </c>
      <c r="Y902" s="26">
        <f t="shared" si="508"/>
        <v>2.3817875011871981</v>
      </c>
      <c r="Z902" s="26">
        <f t="shared" si="509"/>
        <v>0.91542792476957535</v>
      </c>
      <c r="AA902" s="26">
        <f t="shared" si="510"/>
        <v>-6.9778347571941133</v>
      </c>
      <c r="AB902" s="26">
        <f t="shared" si="511"/>
        <v>9.3145130743692544E-4</v>
      </c>
      <c r="AC902" s="26">
        <f t="shared" si="512"/>
        <v>2.7928081935786078</v>
      </c>
      <c r="AD902" s="26">
        <f t="shared" si="513"/>
        <v>0.94228595291177841</v>
      </c>
      <c r="AE902" s="26">
        <f t="shared" si="514"/>
        <v>1.6654556156507293E-3</v>
      </c>
      <c r="AF902" s="26">
        <f t="shared" si="515"/>
        <v>-3.4079126167148215</v>
      </c>
      <c r="AG902" s="26">
        <f t="shared" si="516"/>
        <v>3.204908896504708E-2</v>
      </c>
      <c r="AH902" s="26">
        <f t="shared" si="517"/>
        <v>-2.6818966049054587</v>
      </c>
      <c r="AI902" s="26">
        <f t="shared" si="518"/>
        <v>6.405008530543238E-2</v>
      </c>
      <c r="AJ902" s="26">
        <f t="shared" si="519"/>
        <v>-2.6806288691580025</v>
      </c>
      <c r="AK902" s="26">
        <f t="shared" si="520"/>
        <v>6.4126125126738792E-2</v>
      </c>
      <c r="AL902" s="26">
        <f t="shared" si="521"/>
        <v>2.05607996188508E-3</v>
      </c>
      <c r="AM902" s="27">
        <f t="shared" si="522"/>
        <v>8.5674954497734282E-3</v>
      </c>
    </row>
    <row r="903" spans="1:39" ht="15" customHeight="1" x14ac:dyDescent="0.2">
      <c r="A903" s="24">
        <v>892</v>
      </c>
      <c r="B903" s="29">
        <f t="shared" si="523"/>
        <v>5.8704613016693026</v>
      </c>
      <c r="C903" s="29">
        <f t="shared" si="524"/>
        <v>-5.7904956040137305</v>
      </c>
      <c r="D903" s="29">
        <f t="shared" si="525"/>
        <v>-3.4879509092254768</v>
      </c>
      <c r="E903" s="29">
        <f t="shared" si="526"/>
        <v>-4.6049510527145783</v>
      </c>
      <c r="F903" s="29">
        <f t="shared" si="527"/>
        <v>4.2975376086964854</v>
      </c>
      <c r="G903" s="29">
        <f t="shared" si="528"/>
        <v>-2.3754056625628519</v>
      </c>
      <c r="H903" s="29">
        <f t="shared" si="529"/>
        <v>6.6875317394096028</v>
      </c>
      <c r="I903" s="29">
        <f t="shared" si="530"/>
        <v>6.8454037853928016</v>
      </c>
      <c r="J903" s="29">
        <f t="shared" si="531"/>
        <v>-3.3345184072070939</v>
      </c>
      <c r="K903" s="26">
        <f t="shared" si="494"/>
        <v>-3.4879509092254768</v>
      </c>
      <c r="L903" s="26">
        <f t="shared" si="495"/>
        <v>2.9657015043294883E-2</v>
      </c>
      <c r="M903" s="26">
        <f t="shared" si="496"/>
        <v>-2.3754056625628519</v>
      </c>
      <c r="N903" s="26">
        <f t="shared" si="497"/>
        <v>8.5067466572119929E-2</v>
      </c>
      <c r="O903" s="26">
        <f t="shared" si="498"/>
        <v>-2.5538650201223461</v>
      </c>
      <c r="P903" s="26">
        <f t="shared" si="499"/>
        <v>7.2167258587201716E-2</v>
      </c>
      <c r="Q903" s="26">
        <f t="shared" si="500"/>
        <v>2.6040566059960198E-3</v>
      </c>
      <c r="R903" s="26">
        <f t="shared" si="501"/>
        <v>-9.2784465132392064</v>
      </c>
      <c r="S903" s="26">
        <f t="shared" si="502"/>
        <v>9.3407405766801746E-5</v>
      </c>
      <c r="T903" s="26">
        <f t="shared" si="503"/>
        <v>1.9221319461336335</v>
      </c>
      <c r="U903" s="26">
        <f t="shared" si="504"/>
        <v>0.8723759848025795</v>
      </c>
      <c r="V903" s="26">
        <f t="shared" si="505"/>
        <v>2.637872126437018</v>
      </c>
      <c r="W903" s="26">
        <f t="shared" si="506"/>
        <v>0.93325954947192646</v>
      </c>
      <c r="X903" s="26">
        <f t="shared" si="507"/>
        <v>2.2271438683451154E-3</v>
      </c>
      <c r="Y903" s="26">
        <f t="shared" si="508"/>
        <v>2.3825103924438258</v>
      </c>
      <c r="Z903" s="26">
        <f t="shared" si="509"/>
        <v>0.91548387394544251</v>
      </c>
      <c r="AA903" s="26">
        <f t="shared" si="510"/>
        <v>-6.9803567152774306</v>
      </c>
      <c r="AB903" s="26">
        <f t="shared" si="511"/>
        <v>9.291073657352241E-4</v>
      </c>
      <c r="AC903" s="26">
        <f t="shared" si="512"/>
        <v>2.7941691717991528</v>
      </c>
      <c r="AD903" s="26">
        <f t="shared" si="513"/>
        <v>0.9423599226383752</v>
      </c>
      <c r="AE903" s="26">
        <f t="shared" si="514"/>
        <v>1.6611892591270458E-3</v>
      </c>
      <c r="AF903" s="26">
        <f t="shared" si="515"/>
        <v>-3.4079852115699047</v>
      </c>
      <c r="AG903" s="26">
        <f t="shared" si="516"/>
        <v>3.2046837007957289E-2</v>
      </c>
      <c r="AH903" s="26">
        <f t="shared" si="517"/>
        <v>-2.6828191065809448</v>
      </c>
      <c r="AI903" s="26">
        <f t="shared" si="518"/>
        <v>6.3994805713094988E-2</v>
      </c>
      <c r="AJ903" s="26">
        <f t="shared" si="519"/>
        <v>-2.6821338822947958</v>
      </c>
      <c r="AK903" s="26">
        <f t="shared" si="520"/>
        <v>6.4035862549636016E-2</v>
      </c>
      <c r="AL903" s="26">
        <f t="shared" si="521"/>
        <v>2.0502958462379384E-3</v>
      </c>
      <c r="AM903" s="27">
        <f t="shared" si="522"/>
        <v>8.5426855797061194E-3</v>
      </c>
    </row>
    <row r="904" spans="1:39" ht="15" customHeight="1" x14ac:dyDescent="0.2">
      <c r="A904" s="24">
        <v>893</v>
      </c>
      <c r="B904" s="29">
        <f t="shared" si="523"/>
        <v>5.8712851482192567</v>
      </c>
      <c r="C904" s="29">
        <f t="shared" si="524"/>
        <v>-5.7912891872323531</v>
      </c>
      <c r="D904" s="29">
        <f t="shared" si="525"/>
        <v>-3.4880544356150449</v>
      </c>
      <c r="E904" s="29">
        <f t="shared" si="526"/>
        <v>-4.6065048796639756</v>
      </c>
      <c r="F904" s="29">
        <f t="shared" si="527"/>
        <v>4.2991321115664478</v>
      </c>
      <c r="G904" s="29">
        <f t="shared" si="528"/>
        <v>-2.3763658179488485</v>
      </c>
      <c r="H904" s="29">
        <f t="shared" si="529"/>
        <v>6.6901320882025797</v>
      </c>
      <c r="I904" s="29">
        <f t="shared" si="530"/>
        <v>6.8483764865705048</v>
      </c>
      <c r="J904" s="29">
        <f t="shared" si="531"/>
        <v>-3.3359007890028498</v>
      </c>
      <c r="K904" s="26">
        <f t="shared" si="494"/>
        <v>-3.4880544356150449</v>
      </c>
      <c r="L904" s="26">
        <f t="shared" si="495"/>
        <v>2.9654035960114639E-2</v>
      </c>
      <c r="M904" s="26">
        <f t="shared" si="496"/>
        <v>-2.3763658179488485</v>
      </c>
      <c r="N904" s="26">
        <f t="shared" si="497"/>
        <v>8.4992766491507596E-2</v>
      </c>
      <c r="O904" s="26">
        <f t="shared" si="498"/>
        <v>-2.5554489079123552</v>
      </c>
      <c r="P904" s="26">
        <f t="shared" si="499"/>
        <v>7.2061274655420698E-2</v>
      </c>
      <c r="Q904" s="26">
        <f t="shared" si="500"/>
        <v>2.5964136524819887E-3</v>
      </c>
      <c r="R904" s="26">
        <f t="shared" si="501"/>
        <v>-9.2793436228473976</v>
      </c>
      <c r="S904" s="26">
        <f t="shared" si="502"/>
        <v>9.3323654478484334E-5</v>
      </c>
      <c r="T904" s="26">
        <f t="shared" si="503"/>
        <v>1.9227662936175993</v>
      </c>
      <c r="U904" s="26">
        <f t="shared" si="504"/>
        <v>0.87244659391259261</v>
      </c>
      <c r="V904" s="26">
        <f t="shared" si="505"/>
        <v>2.6395662981120895</v>
      </c>
      <c r="W904" s="26">
        <f t="shared" si="506"/>
        <v>0.93336499550037733</v>
      </c>
      <c r="X904" s="26">
        <f t="shared" si="507"/>
        <v>2.2201119123323671E-3</v>
      </c>
      <c r="Y904" s="26">
        <f t="shared" si="508"/>
        <v>2.3832307126042118</v>
      </c>
      <c r="Z904" s="26">
        <f t="shared" si="509"/>
        <v>0.91553959070821367</v>
      </c>
      <c r="AA904" s="26">
        <f t="shared" si="510"/>
        <v>-6.9828706976128245</v>
      </c>
      <c r="AB904" s="26">
        <f t="shared" si="511"/>
        <v>9.267767018090457E-4</v>
      </c>
      <c r="AC904" s="26">
        <f t="shared" si="512"/>
        <v>2.795526920586997</v>
      </c>
      <c r="AD904" s="26">
        <f t="shared" si="513"/>
        <v>0.94243362814828024</v>
      </c>
      <c r="AE904" s="26">
        <f t="shared" si="514"/>
        <v>1.6569435840852363E-3</v>
      </c>
      <c r="AF904" s="26">
        <f t="shared" si="515"/>
        <v>-3.4080584746281413</v>
      </c>
      <c r="AG904" s="26">
        <f t="shared" si="516"/>
        <v>3.2044564477726384E-2</v>
      </c>
      <c r="AH904" s="26">
        <f t="shared" si="517"/>
        <v>-2.6837385860463763</v>
      </c>
      <c r="AI904" s="26">
        <f t="shared" si="518"/>
        <v>6.3939751454940616E-2</v>
      </c>
      <c r="AJ904" s="26">
        <f t="shared" si="519"/>
        <v>-2.6836349295167583</v>
      </c>
      <c r="AK904" s="26">
        <f t="shared" si="520"/>
        <v>6.3945955729970069E-2</v>
      </c>
      <c r="AL904" s="26">
        <f t="shared" si="521"/>
        <v>2.0445426271096458E-3</v>
      </c>
      <c r="AM904" s="27">
        <f t="shared" si="522"/>
        <v>8.5180117760092367E-3</v>
      </c>
    </row>
    <row r="905" spans="1:39" ht="15" customHeight="1" x14ac:dyDescent="0.2">
      <c r="A905" s="24">
        <v>894</v>
      </c>
      <c r="B905" s="29">
        <f t="shared" si="523"/>
        <v>5.8721065451793502</v>
      </c>
      <c r="C905" s="29">
        <f t="shared" si="524"/>
        <v>-5.7920808761021458</v>
      </c>
      <c r="D905" s="29">
        <f t="shared" si="525"/>
        <v>-3.4881580674978419</v>
      </c>
      <c r="E905" s="29">
        <f t="shared" si="526"/>
        <v>-4.6080539549113073</v>
      </c>
      <c r="F905" s="29">
        <f t="shared" si="527"/>
        <v>4.3007216891000661</v>
      </c>
      <c r="G905" s="29">
        <f t="shared" si="528"/>
        <v>-2.3773227949715174</v>
      </c>
      <c r="H905" s="29">
        <f t="shared" si="529"/>
        <v>6.6927262681674957</v>
      </c>
      <c r="I905" s="29">
        <f t="shared" si="530"/>
        <v>6.851340820185686</v>
      </c>
      <c r="J905" s="29">
        <f t="shared" si="531"/>
        <v>-3.3372795511454276</v>
      </c>
      <c r="K905" s="26">
        <f t="shared" si="494"/>
        <v>-3.4881580674978419</v>
      </c>
      <c r="L905" s="26">
        <f t="shared" si="495"/>
        <v>2.9651054131805049E-2</v>
      </c>
      <c r="M905" s="26">
        <f t="shared" si="496"/>
        <v>-2.3773227949715174</v>
      </c>
      <c r="N905" s="26">
        <f t="shared" si="497"/>
        <v>8.4918372900399539E-2</v>
      </c>
      <c r="O905" s="26">
        <f t="shared" si="498"/>
        <v>-2.5570284476423826</v>
      </c>
      <c r="P905" s="26">
        <f t="shared" si="499"/>
        <v>7.1955724654214751E-2</v>
      </c>
      <c r="Q905" s="26">
        <f t="shared" si="500"/>
        <v>2.5888131552565842E-3</v>
      </c>
      <c r="R905" s="26">
        <f t="shared" si="501"/>
        <v>-9.2802389435999881</v>
      </c>
      <c r="S905" s="26">
        <f t="shared" si="502"/>
        <v>9.324014505400442E-5</v>
      </c>
      <c r="T905" s="26">
        <f t="shared" si="503"/>
        <v>1.9233988941285487</v>
      </c>
      <c r="U905" s="26">
        <f t="shared" si="504"/>
        <v>0.87251697534858264</v>
      </c>
      <c r="V905" s="26">
        <f t="shared" si="505"/>
        <v>2.6412556491333152</v>
      </c>
      <c r="W905" s="26">
        <f t="shared" si="506"/>
        <v>0.93346998742647902</v>
      </c>
      <c r="X905" s="26">
        <f t="shared" si="507"/>
        <v>2.2131212865164297E-3</v>
      </c>
      <c r="Y905" s="26">
        <f t="shared" si="508"/>
        <v>2.3839484776815083</v>
      </c>
      <c r="Z905" s="26">
        <f t="shared" si="509"/>
        <v>0.91559507666802942</v>
      </c>
      <c r="AA905" s="26">
        <f t="shared" si="510"/>
        <v>-6.9853767498828248</v>
      </c>
      <c r="AB905" s="26">
        <f t="shared" si="511"/>
        <v>9.2445920315447228E-4</v>
      </c>
      <c r="AC905" s="26">
        <f t="shared" si="512"/>
        <v>2.796881454550693</v>
      </c>
      <c r="AD905" s="26">
        <f t="shared" si="513"/>
        <v>0.94250707095652808</v>
      </c>
      <c r="AE905" s="26">
        <f t="shared" si="514"/>
        <v>1.6527184449988484E-3</v>
      </c>
      <c r="AF905" s="26">
        <f t="shared" si="515"/>
        <v>-3.4081323984206375</v>
      </c>
      <c r="AG905" s="26">
        <f t="shared" si="516"/>
        <v>3.2042271610259937E-2</v>
      </c>
      <c r="AH905" s="26">
        <f t="shared" si="517"/>
        <v>-2.6846550607827586</v>
      </c>
      <c r="AI905" s="26">
        <f t="shared" si="518"/>
        <v>6.3884921020420052E-2</v>
      </c>
      <c r="AJ905" s="26">
        <f t="shared" si="519"/>
        <v>-2.6851320310661411</v>
      </c>
      <c r="AK905" s="26">
        <f t="shared" si="520"/>
        <v>6.3856402395122039E-2</v>
      </c>
      <c r="AL905" s="26">
        <f t="shared" si="521"/>
        <v>2.038820063423874E-3</v>
      </c>
      <c r="AM905" s="27">
        <f t="shared" si="522"/>
        <v>8.4934729501957365E-3</v>
      </c>
    </row>
    <row r="906" spans="1:39" ht="15" customHeight="1" x14ac:dyDescent="0.2">
      <c r="A906" s="24">
        <v>895</v>
      </c>
      <c r="B906" s="29">
        <f t="shared" si="523"/>
        <v>5.8729255062501897</v>
      </c>
      <c r="C906" s="29">
        <f t="shared" si="524"/>
        <v>-5.792870679111811</v>
      </c>
      <c r="D906" s="29">
        <f t="shared" si="525"/>
        <v>-3.4882618026999617</v>
      </c>
      <c r="E906" s="29">
        <f t="shared" si="526"/>
        <v>-4.6095983049696043</v>
      </c>
      <c r="F906" s="29">
        <f t="shared" si="527"/>
        <v>4.3023063692673871</v>
      </c>
      <c r="G906" s="29">
        <f t="shared" si="528"/>
        <v>-2.3782766124262524</v>
      </c>
      <c r="H906" s="29">
        <f t="shared" si="529"/>
        <v>6.6953143072946171</v>
      </c>
      <c r="I906" s="29">
        <f t="shared" si="530"/>
        <v>6.8542968314265664</v>
      </c>
      <c r="J906" s="29">
        <f t="shared" si="531"/>
        <v>-3.3386547120604453</v>
      </c>
      <c r="K906" s="26">
        <f t="shared" si="494"/>
        <v>-3.4882618026999617</v>
      </c>
      <c r="L906" s="26">
        <f t="shared" si="495"/>
        <v>2.964806962176857E-2</v>
      </c>
      <c r="M906" s="26">
        <f t="shared" si="496"/>
        <v>-2.3782766124262524</v>
      </c>
      <c r="N906" s="26">
        <f t="shared" si="497"/>
        <v>8.484428371423762E-2</v>
      </c>
      <c r="O906" s="26">
        <f t="shared" si="498"/>
        <v>-2.5586036623109956</v>
      </c>
      <c r="P906" s="26">
        <f t="shared" si="499"/>
        <v>7.1850605713564997E-2</v>
      </c>
      <c r="Q906" s="26">
        <f t="shared" si="500"/>
        <v>2.5812547707030893E-3</v>
      </c>
      <c r="R906" s="26">
        <f t="shared" si="501"/>
        <v>-9.2811324818117722</v>
      </c>
      <c r="S906" s="26">
        <f t="shared" si="502"/>
        <v>9.3156876390170843E-5</v>
      </c>
      <c r="T906" s="26">
        <f t="shared" si="503"/>
        <v>1.9240297568411346</v>
      </c>
      <c r="U906" s="26">
        <f t="shared" si="504"/>
        <v>0.87258713041473057</v>
      </c>
      <c r="V906" s="26">
        <f t="shared" si="505"/>
        <v>2.6429402056521605</v>
      </c>
      <c r="W906" s="26">
        <f t="shared" si="506"/>
        <v>0.93357452837606447</v>
      </c>
      <c r="X906" s="26">
        <f t="shared" si="507"/>
        <v>2.2061716402311318E-3</v>
      </c>
      <c r="Y906" s="26">
        <f t="shared" si="508"/>
        <v>2.3846637035502281</v>
      </c>
      <c r="Z906" s="26">
        <f t="shared" si="509"/>
        <v>0.91565033341977475</v>
      </c>
      <c r="AA906" s="26">
        <f t="shared" si="510"/>
        <v>-6.9878749173958568</v>
      </c>
      <c r="AB906" s="26">
        <f t="shared" si="511"/>
        <v>9.2215475852280631E-4</v>
      </c>
      <c r="AC906" s="26">
        <f t="shared" si="512"/>
        <v>2.798232788203487</v>
      </c>
      <c r="AD906" s="26">
        <f t="shared" si="513"/>
        <v>0.94258025256634836</v>
      </c>
      <c r="AE906" s="26">
        <f t="shared" si="514"/>
        <v>1.6485136976721719E-3</v>
      </c>
      <c r="AF906" s="26">
        <f t="shared" si="515"/>
        <v>-3.4082069755615829</v>
      </c>
      <c r="AG906" s="26">
        <f t="shared" si="516"/>
        <v>3.203995863886052E-2</v>
      </c>
      <c r="AH906" s="26">
        <f t="shared" si="517"/>
        <v>-2.6855685481284697</v>
      </c>
      <c r="AI906" s="26">
        <f t="shared" si="518"/>
        <v>6.3830312912864492E-2</v>
      </c>
      <c r="AJ906" s="26">
        <f t="shared" si="519"/>
        <v>-2.6866252070329413</v>
      </c>
      <c r="AK906" s="26">
        <f t="shared" si="520"/>
        <v>6.3767200292451989E-2</v>
      </c>
      <c r="AL906" s="26">
        <f t="shared" si="521"/>
        <v>2.0331279165688447E-3</v>
      </c>
      <c r="AM906" s="27">
        <f t="shared" si="522"/>
        <v>8.4690680251752384E-3</v>
      </c>
    </row>
    <row r="907" spans="1:39" ht="15" customHeight="1" x14ac:dyDescent="0.2">
      <c r="A907" s="24">
        <v>896</v>
      </c>
      <c r="B907" s="29">
        <f t="shared" si="523"/>
        <v>5.8737420450219098</v>
      </c>
      <c r="C907" s="29">
        <f t="shared" si="524"/>
        <v>-5.7936586046949641</v>
      </c>
      <c r="D907" s="29">
        <f t="shared" si="525"/>
        <v>-3.4883656390741518</v>
      </c>
      <c r="E907" s="29">
        <f t="shared" si="526"/>
        <v>-4.6111379561396504</v>
      </c>
      <c r="F907" s="29">
        <f t="shared" si="527"/>
        <v>4.3038861798094512</v>
      </c>
      <c r="G907" s="29">
        <f t="shared" si="528"/>
        <v>-2.3792272889505521</v>
      </c>
      <c r="H907" s="29">
        <f t="shared" si="529"/>
        <v>6.6978962333898178</v>
      </c>
      <c r="I907" s="29">
        <f t="shared" si="530"/>
        <v>6.8572445651248293</v>
      </c>
      <c r="J907" s="29">
        <f t="shared" si="531"/>
        <v>-3.3400262900351723</v>
      </c>
      <c r="K907" s="26">
        <f t="shared" si="494"/>
        <v>-3.4883656390741518</v>
      </c>
      <c r="L907" s="26">
        <f t="shared" si="495"/>
        <v>2.9645082492617266E-2</v>
      </c>
      <c r="M907" s="26">
        <f t="shared" si="496"/>
        <v>-2.3792272889505521</v>
      </c>
      <c r="N907" s="26">
        <f t="shared" si="497"/>
        <v>8.4770496868000922E-2</v>
      </c>
      <c r="O907" s="26">
        <f t="shared" si="498"/>
        <v>-2.5601745747383098</v>
      </c>
      <c r="P907" s="26">
        <f t="shared" si="499"/>
        <v>7.1745914989495604E-2</v>
      </c>
      <c r="Q907" s="26">
        <f t="shared" si="500"/>
        <v>2.5737381588399649E-3</v>
      </c>
      <c r="R907" s="26">
        <f t="shared" si="501"/>
        <v>-9.2820242437691149</v>
      </c>
      <c r="S907" s="26">
        <f t="shared" si="502"/>
        <v>9.3073847390289579E-5</v>
      </c>
      <c r="T907" s="26">
        <f t="shared" si="503"/>
        <v>1.9246588908588991</v>
      </c>
      <c r="U907" s="26">
        <f t="shared" si="504"/>
        <v>0.87265706040449331</v>
      </c>
      <c r="V907" s="26">
        <f t="shared" si="505"/>
        <v>2.6446199936132122</v>
      </c>
      <c r="W907" s="26">
        <f t="shared" si="506"/>
        <v>0.93367862144564229</v>
      </c>
      <c r="X907" s="26">
        <f t="shared" si="507"/>
        <v>2.1992626266752096E-3</v>
      </c>
      <c r="Y907" s="26">
        <f t="shared" si="508"/>
        <v>2.385376405947758</v>
      </c>
      <c r="Z907" s="26">
        <f t="shared" si="509"/>
        <v>0.9157053625432604</v>
      </c>
      <c r="AA907" s="26">
        <f t="shared" si="510"/>
        <v>-6.990365245090203</v>
      </c>
      <c r="AB907" s="26">
        <f t="shared" si="511"/>
        <v>9.1986325790329067E-4</v>
      </c>
      <c r="AC907" s="26">
        <f t="shared" si="512"/>
        <v>2.7995809359641046</v>
      </c>
      <c r="AD907" s="26">
        <f t="shared" si="513"/>
        <v>0.94265317446927843</v>
      </c>
      <c r="AE907" s="26">
        <f t="shared" si="514"/>
        <v>1.6443291992255095E-3</v>
      </c>
      <c r="AF907" s="26">
        <f t="shared" si="515"/>
        <v>-3.4082821987472061</v>
      </c>
      <c r="AG907" s="26">
        <f t="shared" si="516"/>
        <v>3.2037625794259485E-2</v>
      </c>
      <c r="AH907" s="26">
        <f t="shared" si="517"/>
        <v>-2.6864790652807513</v>
      </c>
      <c r="AI907" s="26">
        <f t="shared" si="518"/>
        <v>6.3775925649324577E-2</v>
      </c>
      <c r="AJ907" s="26">
        <f t="shared" si="519"/>
        <v>-2.6881144773564132</v>
      </c>
      <c r="AK907" s="26">
        <f t="shared" si="520"/>
        <v>6.3678347189075918E-2</v>
      </c>
      <c r="AL907" s="26">
        <f t="shared" si="521"/>
        <v>2.0274659503662466E-3</v>
      </c>
      <c r="AM907" s="27">
        <f t="shared" si="522"/>
        <v>8.4447959351069309E-3</v>
      </c>
    </row>
    <row r="908" spans="1:39" ht="15" customHeight="1" x14ac:dyDescent="0.2">
      <c r="A908" s="24">
        <v>897</v>
      </c>
      <c r="B908" s="29">
        <f t="shared" si="523"/>
        <v>5.874556174975325</v>
      </c>
      <c r="C908" s="29">
        <f t="shared" si="524"/>
        <v>-5.7944446612305978</v>
      </c>
      <c r="D908" s="29">
        <f t="shared" si="525"/>
        <v>-3.4884695744994678</v>
      </c>
      <c r="E908" s="29">
        <f t="shared" si="526"/>
        <v>-4.6126729345121804</v>
      </c>
      <c r="F908" s="29">
        <f t="shared" si="527"/>
        <v>4.3054611482407266</v>
      </c>
      <c r="G908" s="29">
        <f t="shared" si="528"/>
        <v>-2.3801748430257277</v>
      </c>
      <c r="H908" s="29">
        <f t="shared" si="529"/>
        <v>6.7004720740761536</v>
      </c>
      <c r="I908" s="29">
        <f t="shared" si="530"/>
        <v>6.8601840657592943</v>
      </c>
      <c r="J908" s="29">
        <f t="shared" si="531"/>
        <v>-3.3413943032198961</v>
      </c>
      <c r="K908" s="26">
        <f t="shared" ref="K908:K971" si="532">0*B908+0*C908+D908</f>
        <v>-3.4884695744994678</v>
      </c>
      <c r="L908" s="26">
        <f t="shared" ref="L908:L971" si="533">1/(1+EXP(-K908))</f>
        <v>2.9642092806183015E-2</v>
      </c>
      <c r="M908" s="26">
        <f t="shared" ref="M908:M971" si="534">0*E908+0*F908+G908</f>
        <v>-2.3801748430257277</v>
      </c>
      <c r="N908" s="26">
        <f t="shared" ref="N908:N971" si="535">1/(1+EXP(-M908))</f>
        <v>8.4697010315973861E-2</v>
      </c>
      <c r="O908" s="26">
        <f t="shared" ref="O908:O971" si="536">L908*H908+N908*I908+J908</f>
        <v>-2.5617412075677986</v>
      </c>
      <c r="P908" s="26">
        <f t="shared" ref="P908:P971" si="537">1/(1+EXP(-O908))</f>
        <v>7.1641649663774884E-2</v>
      </c>
      <c r="Q908" s="26">
        <f t="shared" ref="Q908:Q971" si="538">0.5*(0-P908)^2</f>
        <v>2.5662629832735278E-3</v>
      </c>
      <c r="R908" s="26">
        <f t="shared" ref="R908:R971" si="539">0*B908+1*C908+D908</f>
        <v>-9.2829142357300647</v>
      </c>
      <c r="S908" s="26">
        <f t="shared" ref="S908:S971" si="540">1/(1+EXP(-R908))</f>
        <v>9.2991056964121155E-5</v>
      </c>
      <c r="T908" s="26">
        <f t="shared" ref="T908:T971" si="541">0*E908+1*F908+G908</f>
        <v>1.9252863052149989</v>
      </c>
      <c r="U908" s="26">
        <f t="shared" ref="U908:U971" si="542">1/(1+EXP(-T908))</f>
        <v>0.87272676660071835</v>
      </c>
      <c r="V908" s="26">
        <f t="shared" ref="V908:V971" si="543">S908*H908+U908*I908+J908</f>
        <v>2.6462950387563091</v>
      </c>
      <c r="W908" s="26">
        <f t="shared" ref="W908:W971" si="544">1/(1+EXP(-V908))</f>
        <v>0.93378226970274147</v>
      </c>
      <c r="X908" s="26">
        <f t="shared" ref="X908:X971" si="545">0.5*(1-W908)^2</f>
        <v>2.1923939028602349E-3</v>
      </c>
      <c r="Y908" s="26">
        <f t="shared" ref="Y908:Y971" si="546">1*B908+0*C908+D908</f>
        <v>2.3860866004758572</v>
      </c>
      <c r="Z908" s="26">
        <f t="shared" ref="Z908:Z971" si="547">1/(1+EXP(-Y908))</f>
        <v>0.91576016560339957</v>
      </c>
      <c r="AA908" s="26">
        <f t="shared" ref="AA908:AA971" si="548">1*E908+0*F908+G908</f>
        <v>-6.9928477775379081</v>
      </c>
      <c r="AB908" s="26">
        <f t="shared" ref="AB908:AB971" si="549">1/(1+EXP(-AA908))</f>
        <v>9.1758459250611832E-4</v>
      </c>
      <c r="AC908" s="26">
        <f t="shared" ref="AC908:AC971" si="550">Z908*H908+AB908*I908+J908</f>
        <v>2.8009259121575334</v>
      </c>
      <c r="AD908" s="26">
        <f t="shared" ref="AD908:AD971" si="551">1/(1+EXP(-AC908))</f>
        <v>0.94272583814527844</v>
      </c>
      <c r="AE908" s="26">
        <f t="shared" ref="AE908:AE971" si="552">0.5*(1-AD908)^2</f>
        <v>1.6401648080804211E-3</v>
      </c>
      <c r="AF908" s="26">
        <f t="shared" ref="AF908:AF971" si="553">1*B908+1*C908+D908</f>
        <v>-3.4083580607547406</v>
      </c>
      <c r="AG908" s="26">
        <f t="shared" ref="AG908:AG971" si="554">1/(1+EXP(-AF908))</f>
        <v>3.2035273304648622E-2</v>
      </c>
      <c r="AH908" s="26">
        <f t="shared" ref="AH908:AH971" si="555">1*E908+1*F908+G908</f>
        <v>-2.6873866292971815</v>
      </c>
      <c r="AI908" s="26">
        <f t="shared" ref="AI908:AI971" si="556">1/(1+EXP(-AH908))</f>
        <v>6.3721757760411751E-2</v>
      </c>
      <c r="AJ908" s="26">
        <f t="shared" ref="AJ908:AJ971" si="557">AG908*H908+AI908*I908+J908</f>
        <v>-2.6895998618265504</v>
      </c>
      <c r="AK908" s="26">
        <f t="shared" ref="AK908:AK971" si="558">1/(1+EXP(-AJ908))</f>
        <v>6.3589840871646083E-2</v>
      </c>
      <c r="AL908" s="26">
        <f t="shared" ref="AL908:AL971" si="559">0.5*(0-AK908)^2</f>
        <v>2.0218339310406354E-3</v>
      </c>
      <c r="AM908" s="27">
        <f t="shared" ref="AM908:AM971" si="560">Q908+X908+AE908+AL908</f>
        <v>8.4206556252548193E-3</v>
      </c>
    </row>
    <row r="909" spans="1:39" ht="15" customHeight="1" x14ac:dyDescent="0.2">
      <c r="A909" s="24">
        <v>898</v>
      </c>
      <c r="B909" s="29">
        <f t="shared" ref="B909:B972" si="561">B908-$C$6*(((((P908)-0)*(P908)*(1-(P908)))*H908*(L908)*(1-(L908))*0)+((((W908)-1)*(W908)*(1-(W908)))*H908*(S908)*(1-(S908))*0)+((((AD908)-1)*(AD908)*(1-(AD908)))*H908*(Z908)*(1-(Z908))*1)+((((AK908)-0)*(AK908)*(1-(AK908)))*H908*(AG908)*(1-(AG908))*1))</f>
        <v>5.8753679094830655</v>
      </c>
      <c r="C909" s="29">
        <f t="shared" ref="C909:C972" si="562">C908-$C$6*(((((P908)-0)*(P908)*(1-(P908)))*H908*(L908)*(1-(L908))*0)+((((W908)-1)*(W908)*(1-(W908)))*H908*(S908)*(1-(S908))*1)+((((AD908)-1)*(AD908)*(1-(AD908)))*H908*(Z908)*(1-(Z908))*0)+((((AK908)-0)*(AK908)*(1-(AK908)))*H908*(AG908)*(1-(AG908))*1))</f>
        <v>-5.7952288570435417</v>
      </c>
      <c r="D909" s="29">
        <f t="shared" ref="D909:D972" si="563">D908-$C$6*(((((P908)-0)*(P908)*(1-(P908)))*H908*(L908)*(1-(L908)))+((((W908)-1)*(W908)*(1-(W908)))*H908*(S908)*(1-(S908)))+((((AD908)-1)*(AD908)*(1-(AD908)))*H908*(Z908)*(1-(Z908)))+((((AK908)-0)*(AK908)*(1-(AK908)))*H908*(AG908)*(1-(AG908))))</f>
        <v>-3.4885736068809319</v>
      </c>
      <c r="E909" s="29">
        <f t="shared" ref="E909:E972" si="564">E908-$C$6*(((((P908)-0)*(P908)*(1-(P908)))*I908*(N908)*(1-(N908))*0)+((((W908)-1)*(W908)*(1-(W908)))*I908*(U908)*(1-(U908))*0)+((((AD908)-1)*(AD908)*(1-(AD908)))*I908*(AB908)*(1-(AB908))*1)+((((AK908)-0)*(AK908)*(1-(AK908)))*I908*(AI908)*(1-(AI908))*1))</f>
        <v>-4.6142032659700556</v>
      </c>
      <c r="F909" s="29">
        <f t="shared" ref="F909:F972" si="565">F908-$C$6*(((((P908)-0)*(P908)*(1-(P908)))*I908*(N908)*(1-(N908))*0)+((((W908)-1)*(W908)*(1-(W908)))*I908*(U908)*(1-(U908))*1)+((((AD908)-1)*(AD908)*(1-(AD908)))*I908*(AB908)*(1-(AB908))*0)+((((AK908)-0)*(AK908)*(1-(AK908)))*I908*(AI908)*(1-(AI908))*1))</f>
        <v>4.3070313018515156</v>
      </c>
      <c r="G909" s="29">
        <f t="shared" ref="G909:G972" si="566">G908-$C$6*(((((P908)-0)*(P908)*(1-(P908)))*I908*(N908)*(1-(N908)))+((((W908)-1)*(W908)*(1-(W908)))*I908*(U908)*(1-(U908)))+((((AD908)-1)*(AD908)*(1-(AD908)))*I908*(AB908)*(1-(AB908)))+((((AK908)-0)*(AK908)*(1-(AK908)))*I908*(AI908)*(1-(AI908))))</f>
        <v>-2.3811192929785885</v>
      </c>
      <c r="H909" s="29">
        <f t="shared" ref="H909:H972" si="567">H908-$C$6*((((P908)-0)*(P908)*(1-(P908))*L908)+(((W908)-1)*(W908)*(1-(W908))*S908)+(((AD908)-1)*(AD908)*(1-(AD908))*Z908)+(((AK908)-0)*(AK908)*(1-(AK908))*AG908))</f>
        <v>6.7030418567954158</v>
      </c>
      <c r="I909" s="29">
        <f t="shared" ref="I909:I972" si="568">I908-$C$6*((((P908)-0)*(P908)*(1-(P908))*N908)+(((W908)-1)*(W908)*(1-(W908))*U908)+(((AD908)-1)*(AD908)*(1-(AD908))*AB908)+(((AK908)-0)*(AK908)*(1-(AK908))*AI908))</f>
        <v>6.8631153774595468</v>
      </c>
      <c r="J909" s="29">
        <f t="shared" ref="J909:J972" si="569">J908-$C$6*((((P908)-0)*(P908)*(1-(P908)))+(((W908)-1)*(W908)*(1-(W908)))+(((AD908)-1)*(AD908)*(1-(AD908)))+(((AK908)-0)*(AK908)*(1-(AK908))))</f>
        <v>-3.3427587696292727</v>
      </c>
      <c r="K909" s="26">
        <f t="shared" si="532"/>
        <v>-3.4885736068809319</v>
      </c>
      <c r="L909" s="26">
        <f t="shared" si="533"/>
        <v>2.9639100623527693E-2</v>
      </c>
      <c r="M909" s="26">
        <f t="shared" si="534"/>
        <v>-2.3811192929785885</v>
      </c>
      <c r="N909" s="26">
        <f t="shared" si="535"/>
        <v>8.4623822031517734E-2</v>
      </c>
      <c r="O909" s="26">
        <f t="shared" si="536"/>
        <v>-2.5633035832680862</v>
      </c>
      <c r="P909" s="26">
        <f t="shared" si="537"/>
        <v>7.1537806943620288E-2</v>
      </c>
      <c r="Q909" s="26">
        <f t="shared" si="538"/>
        <v>2.5588289111513436E-3</v>
      </c>
      <c r="R909" s="26">
        <f t="shared" si="539"/>
        <v>-9.2838024639244736</v>
      </c>
      <c r="S909" s="26">
        <f t="shared" si="540"/>
        <v>9.2908504027837613E-5</v>
      </c>
      <c r="T909" s="26">
        <f t="shared" si="541"/>
        <v>1.9259120088729271</v>
      </c>
      <c r="U909" s="26">
        <f t="shared" si="542"/>
        <v>0.8727962502757578</v>
      </c>
      <c r="V909" s="26">
        <f t="shared" si="543"/>
        <v>2.6479653666186622</v>
      </c>
      <c r="W909" s="26">
        <f t="shared" si="544"/>
        <v>0.9338854761862545</v>
      </c>
      <c r="X909" s="26">
        <f t="shared" si="545"/>
        <v>2.1855651295591603E-3</v>
      </c>
      <c r="Y909" s="26">
        <f t="shared" si="546"/>
        <v>2.3867943026021337</v>
      </c>
      <c r="Z909" s="26">
        <f t="shared" si="547"/>
        <v>0.91581474415038699</v>
      </c>
      <c r="AA909" s="26">
        <f t="shared" si="548"/>
        <v>-6.9953225589486436</v>
      </c>
      <c r="AB909" s="26">
        <f t="shared" si="549"/>
        <v>9.1531865474570701E-4</v>
      </c>
      <c r="AC909" s="26">
        <f t="shared" si="550"/>
        <v>2.8022677310158168</v>
      </c>
      <c r="AD909" s="26">
        <f t="shared" si="551"/>
        <v>0.94279824506284338</v>
      </c>
      <c r="AE909" s="26">
        <f t="shared" si="552"/>
        <v>1.6360203839452612E-3</v>
      </c>
      <c r="AF909" s="26">
        <f t="shared" si="553"/>
        <v>-3.4084345544414081</v>
      </c>
      <c r="AG909" s="26">
        <f t="shared" si="554"/>
        <v>3.2032901395711147E-2</v>
      </c>
      <c r="AH909" s="26">
        <f t="shared" si="555"/>
        <v>-2.6882912570971285</v>
      </c>
      <c r="AI909" s="26">
        <f t="shared" si="556"/>
        <v>6.3667807790141792E-2</v>
      </c>
      <c r="AJ909" s="26">
        <f t="shared" si="557"/>
        <v>-2.69108138008556</v>
      </c>
      <c r="AK909" s="26">
        <f t="shared" si="558"/>
        <v>6.3501679146133805E-2</v>
      </c>
      <c r="AL909" s="26">
        <f t="shared" si="559"/>
        <v>2.0162316271892626E-3</v>
      </c>
      <c r="AM909" s="27">
        <f t="shared" si="560"/>
        <v>8.3966460518450272E-3</v>
      </c>
    </row>
    <row r="910" spans="1:39" ht="15" customHeight="1" x14ac:dyDescent="0.2">
      <c r="A910" s="24">
        <v>899</v>
      </c>
      <c r="B910" s="29">
        <f t="shared" si="561"/>
        <v>5.8761772618106987</v>
      </c>
      <c r="C910" s="29">
        <f t="shared" si="562"/>
        <v>-5.7960112004049185</v>
      </c>
      <c r="D910" s="29">
        <f t="shared" si="563"/>
        <v>-3.488677734149197</v>
      </c>
      <c r="E910" s="29">
        <f t="shared" si="564"/>
        <v>-4.6157289761904075</v>
      </c>
      <c r="F910" s="29">
        <f t="shared" si="565"/>
        <v>4.3085966677103258</v>
      </c>
      <c r="G910" s="29">
        <f t="shared" si="566"/>
        <v>-2.3820606569831058</v>
      </c>
      <c r="H910" s="29">
        <f t="shared" si="567"/>
        <v>6.7056056088096696</v>
      </c>
      <c r="I910" s="29">
        <f t="shared" si="568"/>
        <v>6.8660385440095224</v>
      </c>
      <c r="J910" s="29">
        <f t="shared" si="569"/>
        <v>-3.3441197071436601</v>
      </c>
      <c r="K910" s="26">
        <f t="shared" si="532"/>
        <v>-3.488677734149197</v>
      </c>
      <c r="L910" s="26">
        <f t="shared" si="533"/>
        <v>2.9636106004953127E-2</v>
      </c>
      <c r="M910" s="26">
        <f t="shared" si="534"/>
        <v>-2.3820606569831058</v>
      </c>
      <c r="N910" s="26">
        <f t="shared" si="535"/>
        <v>8.4550930006845354E-2</v>
      </c>
      <c r="O910" s="26">
        <f t="shared" si="536"/>
        <v>-2.5648617241347171</v>
      </c>
      <c r="P910" s="26">
        <f t="shared" si="537"/>
        <v>7.1434384061407522E-2</v>
      </c>
      <c r="Q910" s="26">
        <f t="shared" si="538"/>
        <v>2.5514356131163367E-3</v>
      </c>
      <c r="R910" s="26">
        <f t="shared" si="539"/>
        <v>-9.284688934554115</v>
      </c>
      <c r="S910" s="26">
        <f t="shared" si="540"/>
        <v>9.2826187503980016E-5</v>
      </c>
      <c r="T910" s="26">
        <f t="shared" si="541"/>
        <v>1.92653601072722</v>
      </c>
      <c r="U910" s="26">
        <f t="shared" si="542"/>
        <v>0.87286551269157875</v>
      </c>
      <c r="V910" s="26">
        <f t="shared" si="543"/>
        <v>2.649631002536923</v>
      </c>
      <c r="W910" s="26">
        <f t="shared" si="544"/>
        <v>0.93398824390677326</v>
      </c>
      <c r="X910" s="26">
        <f t="shared" si="545"/>
        <v>2.1787759712558288E-3</v>
      </c>
      <c r="Y910" s="26">
        <f t="shared" si="546"/>
        <v>2.3874995276615016</v>
      </c>
      <c r="Z910" s="26">
        <f t="shared" si="547"/>
        <v>0.91586909971987007</v>
      </c>
      <c r="AA910" s="26">
        <f t="shared" si="548"/>
        <v>-6.9977896331735128</v>
      </c>
      <c r="AB910" s="26">
        <f t="shared" si="549"/>
        <v>9.1306533822425612E-4</v>
      </c>
      <c r="AC910" s="26">
        <f t="shared" si="550"/>
        <v>2.80360640667881</v>
      </c>
      <c r="AD910" s="26">
        <f t="shared" si="551"/>
        <v>0.94287039667911354</v>
      </c>
      <c r="AE910" s="26">
        <f t="shared" si="552"/>
        <v>1.6318957878009204E-3</v>
      </c>
      <c r="AF910" s="26">
        <f t="shared" si="553"/>
        <v>-3.4085116727434168</v>
      </c>
      <c r="AG910" s="26">
        <f t="shared" si="554"/>
        <v>3.2030510290652382E-2</v>
      </c>
      <c r="AH910" s="26">
        <f t="shared" si="555"/>
        <v>-2.6891929654631874</v>
      </c>
      <c r="AI910" s="26">
        <f t="shared" si="556"/>
        <v>6.3614074295780448E-2</v>
      </c>
      <c r="AJ910" s="26">
        <f t="shared" si="557"/>
        <v>-2.6925590516293116</v>
      </c>
      <c r="AK910" s="26">
        <f t="shared" si="558"/>
        <v>6.3413859837615674E-2</v>
      </c>
      <c r="AL910" s="26">
        <f t="shared" si="559"/>
        <v>2.010658809752383E-3</v>
      </c>
      <c r="AM910" s="27">
        <f t="shared" si="560"/>
        <v>8.372766181925468E-3</v>
      </c>
    </row>
    <row r="911" spans="1:39" ht="15" customHeight="1" x14ac:dyDescent="0.2">
      <c r="A911" s="24">
        <v>900</v>
      </c>
      <c r="B911" s="29">
        <f t="shared" si="561"/>
        <v>5.8769842451178365</v>
      </c>
      <c r="C911" s="29">
        <f t="shared" si="562"/>
        <v>-5.7967916995325899</v>
      </c>
      <c r="D911" s="29">
        <f t="shared" si="563"/>
        <v>-3.4887819542602165</v>
      </c>
      <c r="E911" s="29">
        <f t="shared" si="564"/>
        <v>-4.6172500906467544</v>
      </c>
      <c r="F911" s="29">
        <f t="shared" si="565"/>
        <v>4.3101572726662125</v>
      </c>
      <c r="G911" s="29">
        <f t="shared" si="566"/>
        <v>-2.3829989530620548</v>
      </c>
      <c r="H911" s="29">
        <f t="shared" si="567"/>
        <v>6.7081633572027766</v>
      </c>
      <c r="I911" s="29">
        <f t="shared" si="568"/>
        <v>6.8689536088510454</v>
      </c>
      <c r="J911" s="29">
        <f t="shared" si="569"/>
        <v>-3.3454771335104363</v>
      </c>
      <c r="K911" s="26">
        <f t="shared" si="532"/>
        <v>-3.4887819542602165</v>
      </c>
      <c r="L911" s="26">
        <f t="shared" si="533"/>
        <v>2.9633109010010907E-2</v>
      </c>
      <c r="M911" s="26">
        <f t="shared" si="534"/>
        <v>-2.3829989530620548</v>
      </c>
      <c r="N911" s="26">
        <f t="shared" si="535"/>
        <v>8.4478332252799007E-2</v>
      </c>
      <c r="O911" s="26">
        <f t="shared" si="536"/>
        <v>-2.5664156522919042</v>
      </c>
      <c r="P911" s="26">
        <f t="shared" si="537"/>
        <v>7.1331378274383656E-2</v>
      </c>
      <c r="Q911" s="26">
        <f t="shared" si="538"/>
        <v>2.5440827632616063E-3</v>
      </c>
      <c r="R911" s="26">
        <f t="shared" si="539"/>
        <v>-9.285573653792806</v>
      </c>
      <c r="S911" s="26">
        <f t="shared" si="540"/>
        <v>9.2744106321415829E-5</v>
      </c>
      <c r="T911" s="26">
        <f t="shared" si="541"/>
        <v>1.9271583196041577</v>
      </c>
      <c r="U911" s="26">
        <f t="shared" si="542"/>
        <v>0.87293455509987461</v>
      </c>
      <c r="V911" s="26">
        <f t="shared" si="543"/>
        <v>2.6512919716492505</v>
      </c>
      <c r="W911" s="26">
        <f t="shared" si="544"/>
        <v>0.93409057584692146</v>
      </c>
      <c r="X911" s="26">
        <f t="shared" si="545"/>
        <v>2.1720260960952065E-3</v>
      </c>
      <c r="Y911" s="26">
        <f t="shared" si="546"/>
        <v>2.3882022908576199</v>
      </c>
      <c r="Z911" s="26">
        <f t="shared" si="547"/>
        <v>0.91592323383312235</v>
      </c>
      <c r="AA911" s="26">
        <f t="shared" si="548"/>
        <v>-7.0002490437088092</v>
      </c>
      <c r="AB911" s="26">
        <f t="shared" si="549"/>
        <v>9.1082453771556702E-4</v>
      </c>
      <c r="AC911" s="26">
        <f t="shared" si="550"/>
        <v>2.8049419531949571</v>
      </c>
      <c r="AD911" s="26">
        <f t="shared" si="551"/>
        <v>0.94294229443998534</v>
      </c>
      <c r="AE911" s="26">
        <f t="shared" si="552"/>
        <v>1.627790881886664E-3</v>
      </c>
      <c r="AF911" s="26">
        <f t="shared" si="553"/>
        <v>-3.40858940867497</v>
      </c>
      <c r="AG911" s="26">
        <f t="shared" si="554"/>
        <v>3.2028100210230045E-2</v>
      </c>
      <c r="AH911" s="26">
        <f t="shared" si="555"/>
        <v>-2.6900917710425967</v>
      </c>
      <c r="AI911" s="26">
        <f t="shared" si="556"/>
        <v>6.3560555847691394E-2</v>
      </c>
      <c r="AJ911" s="26">
        <f t="shared" si="557"/>
        <v>-2.6940328958087743</v>
      </c>
      <c r="AK911" s="26">
        <f t="shared" si="558"/>
        <v>6.3326380790062128E-2</v>
      </c>
      <c r="AL911" s="26">
        <f t="shared" si="559"/>
        <v>2.0051152519839749E-3</v>
      </c>
      <c r="AM911" s="27">
        <f t="shared" si="560"/>
        <v>8.3490149932274518E-3</v>
      </c>
    </row>
    <row r="912" spans="1:39" ht="15" customHeight="1" x14ac:dyDescent="0.2">
      <c r="A912" s="24">
        <v>901</v>
      </c>
      <c r="B912" s="29">
        <f t="shared" si="561"/>
        <v>5.8777888724592273</v>
      </c>
      <c r="C912" s="29">
        <f t="shared" si="562"/>
        <v>-5.7975703625916069</v>
      </c>
      <c r="D912" s="29">
        <f t="shared" si="563"/>
        <v>-3.4888862651949175</v>
      </c>
      <c r="E912" s="29">
        <f t="shared" si="564"/>
        <v>-4.6187666346110943</v>
      </c>
      <c r="F912" s="29">
        <f t="shared" si="565"/>
        <v>4.311713143351092</v>
      </c>
      <c r="G912" s="29">
        <f t="shared" si="566"/>
        <v>-2.3839341990886336</v>
      </c>
      <c r="H912" s="29">
        <f t="shared" si="567"/>
        <v>6.7107151288819029</v>
      </c>
      <c r="I912" s="29">
        <f t="shared" si="568"/>
        <v>6.8718606150873214</v>
      </c>
      <c r="J912" s="29">
        <f t="shared" si="569"/>
        <v>-3.3468310663453007</v>
      </c>
      <c r="K912" s="26">
        <f t="shared" si="532"/>
        <v>-3.4888862651949175</v>
      </c>
      <c r="L912" s="26">
        <f t="shared" si="533"/>
        <v>2.9630109697512088E-2</v>
      </c>
      <c r="M912" s="26">
        <f t="shared" si="534"/>
        <v>-2.3839341990886336</v>
      </c>
      <c r="N912" s="26">
        <f t="shared" si="535"/>
        <v>8.44060267986316E-2</v>
      </c>
      <c r="O912" s="26">
        <f t="shared" si="536"/>
        <v>-2.5679653896942547</v>
      </c>
      <c r="P912" s="26">
        <f t="shared" si="537"/>
        <v>7.122878686438408E-2</v>
      </c>
      <c r="Q912" s="26">
        <f t="shared" si="538"/>
        <v>2.536770039085927E-3</v>
      </c>
      <c r="R912" s="26">
        <f t="shared" si="539"/>
        <v>-9.2864566277865244</v>
      </c>
      <c r="S912" s="26">
        <f t="shared" si="540"/>
        <v>9.2662259415296917E-5</v>
      </c>
      <c r="T912" s="26">
        <f t="shared" si="541"/>
        <v>1.9277789442624584</v>
      </c>
      <c r="U912" s="26">
        <f t="shared" si="542"/>
        <v>0.87300337874217415</v>
      </c>
      <c r="V912" s="26">
        <f t="shared" si="543"/>
        <v>2.652948298897341</v>
      </c>
      <c r="W912" s="26">
        <f t="shared" si="544"/>
        <v>0.93419247496168223</v>
      </c>
      <c r="X912" s="26">
        <f t="shared" si="545"/>
        <v>2.1653151758344101E-3</v>
      </c>
      <c r="Y912" s="26">
        <f t="shared" si="546"/>
        <v>2.3889026072643098</v>
      </c>
      <c r="Z912" s="26">
        <f t="shared" si="547"/>
        <v>0.91597714799720997</v>
      </c>
      <c r="AA912" s="26">
        <f t="shared" si="548"/>
        <v>-7.0027008336997278</v>
      </c>
      <c r="AB912" s="26">
        <f t="shared" si="549"/>
        <v>9.0859614914912319E-4</v>
      </c>
      <c r="AC912" s="26">
        <f t="shared" si="550"/>
        <v>2.8062743845220322</v>
      </c>
      <c r="AD912" s="26">
        <f t="shared" si="551"/>
        <v>0.94301393978021775</v>
      </c>
      <c r="AE912" s="26">
        <f t="shared" si="552"/>
        <v>1.6237055296863248E-3</v>
      </c>
      <c r="AF912" s="26">
        <f t="shared" si="553"/>
        <v>-3.408667755327297</v>
      </c>
      <c r="AG912" s="26">
        <f t="shared" si="554"/>
        <v>3.202567137278392E-2</v>
      </c>
      <c r="AH912" s="26">
        <f t="shared" si="555"/>
        <v>-2.6909876903486358</v>
      </c>
      <c r="AI912" s="26">
        <f t="shared" si="556"/>
        <v>6.3507251029186182E-2</v>
      </c>
      <c r="AJ912" s="26">
        <f t="shared" si="557"/>
        <v>-2.6955029318314314</v>
      </c>
      <c r="AK912" s="26">
        <f t="shared" si="558"/>
        <v>6.323923986612931E-2</v>
      </c>
      <c r="AL912" s="26">
        <f t="shared" si="559"/>
        <v>1.9996007294229194E-3</v>
      </c>
      <c r="AM912" s="27">
        <f t="shared" si="560"/>
        <v>8.3253914740295809E-3</v>
      </c>
    </row>
    <row r="913" spans="1:39" ht="15" customHeight="1" x14ac:dyDescent="0.2">
      <c r="A913" s="24">
        <v>902</v>
      </c>
      <c r="B913" s="29">
        <f t="shared" si="561"/>
        <v>5.8785911567858387</v>
      </c>
      <c r="C913" s="29">
        <f t="shared" si="562"/>
        <v>-5.7983471976946479</v>
      </c>
      <c r="D913" s="29">
        <f t="shared" si="563"/>
        <v>-3.4889906649588784</v>
      </c>
      <c r="E913" s="29">
        <f t="shared" si="564"/>
        <v>-4.620278633155972</v>
      </c>
      <c r="F913" s="29">
        <f t="shared" si="565"/>
        <v>4.3132643061820231</v>
      </c>
      <c r="G913" s="29">
        <f t="shared" si="566"/>
        <v>-2.3848664127880639</v>
      </c>
      <c r="H913" s="29">
        <f t="shared" si="567"/>
        <v>6.7132609505790111</v>
      </c>
      <c r="I913" s="29">
        <f t="shared" si="568"/>
        <v>6.8747596054863891</v>
      </c>
      <c r="J913" s="29">
        <f t="shared" si="569"/>
        <v>-3.348181523133559</v>
      </c>
      <c r="K913" s="26">
        <f t="shared" si="532"/>
        <v>-3.4889906649588784</v>
      </c>
      <c r="L913" s="26">
        <f t="shared" si="533"/>
        <v>2.9627108125536775E-2</v>
      </c>
      <c r="M913" s="26">
        <f t="shared" si="534"/>
        <v>-2.3848664127880639</v>
      </c>
      <c r="N913" s="26">
        <f t="shared" si="535"/>
        <v>8.4334011691790667E-2</v>
      </c>
      <c r="O913" s="26">
        <f t="shared" si="536"/>
        <v>-2.5695109581284714</v>
      </c>
      <c r="P913" s="26">
        <f t="shared" si="537"/>
        <v>7.1126607137553796E-2</v>
      </c>
      <c r="Q913" s="26">
        <f t="shared" si="538"/>
        <v>2.5294971214499594E-3</v>
      </c>
      <c r="R913" s="26">
        <f t="shared" si="539"/>
        <v>-9.2873378626535263</v>
      </c>
      <c r="S913" s="26">
        <f t="shared" si="540"/>
        <v>9.2580645727018024E-5</v>
      </c>
      <c r="T913" s="26">
        <f t="shared" si="541"/>
        <v>1.9283978933939592</v>
      </c>
      <c r="U913" s="26">
        <f t="shared" si="542"/>
        <v>0.87307198484994819</v>
      </c>
      <c r="V913" s="26">
        <f t="shared" si="543"/>
        <v>2.6546000090284281</v>
      </c>
      <c r="W913" s="26">
        <f t="shared" si="544"/>
        <v>0.93429394417872058</v>
      </c>
      <c r="X913" s="26">
        <f t="shared" si="545"/>
        <v>2.1586428857945433E-3</v>
      </c>
      <c r="Y913" s="26">
        <f t="shared" si="546"/>
        <v>2.3896004918269602</v>
      </c>
      <c r="Z913" s="26">
        <f t="shared" si="547"/>
        <v>0.91603084370516019</v>
      </c>
      <c r="AA913" s="26">
        <f t="shared" si="548"/>
        <v>-7.0051450459440359</v>
      </c>
      <c r="AB913" s="26">
        <f t="shared" si="549"/>
        <v>9.0638006959442292E-4</v>
      </c>
      <c r="AC913" s="26">
        <f t="shared" si="550"/>
        <v>2.8076037145279038</v>
      </c>
      <c r="AD913" s="26">
        <f t="shared" si="551"/>
        <v>0.94308533412354256</v>
      </c>
      <c r="AE913" s="26">
        <f t="shared" si="552"/>
        <v>1.6196395959143944E-3</v>
      </c>
      <c r="AF913" s="26">
        <f t="shared" si="553"/>
        <v>-3.4087467058676877</v>
      </c>
      <c r="AG913" s="26">
        <f t="shared" si="554"/>
        <v>3.2023223994265396E-2</v>
      </c>
      <c r="AH913" s="26">
        <f t="shared" si="555"/>
        <v>-2.6918807397620128</v>
      </c>
      <c r="AI913" s="26">
        <f t="shared" si="556"/>
        <v>6.3454158436376015E-2</v>
      </c>
      <c r="AJ913" s="26">
        <f t="shared" si="557"/>
        <v>-2.6969691787626813</v>
      </c>
      <c r="AK913" s="26">
        <f t="shared" si="558"/>
        <v>6.3152434946953398E-2</v>
      </c>
      <c r="AL913" s="26">
        <f t="shared" si="559"/>
        <v>1.9941150198645903E-3</v>
      </c>
      <c r="AM913" s="27">
        <f t="shared" si="560"/>
        <v>8.3018946230234876E-3</v>
      </c>
    </row>
    <row r="914" spans="1:39" ht="15" customHeight="1" x14ac:dyDescent="0.2">
      <c r="A914" s="24">
        <v>903</v>
      </c>
      <c r="B914" s="29">
        <f t="shared" si="561"/>
        <v>5.8793911109459209</v>
      </c>
      <c r="C914" s="29">
        <f t="shared" si="562"/>
        <v>-5.7991222129024544</v>
      </c>
      <c r="D914" s="29">
        <f t="shared" si="563"/>
        <v>-3.489095151582013</v>
      </c>
      <c r="E914" s="29">
        <f t="shared" si="564"/>
        <v>-4.6217861111565135</v>
      </c>
      <c r="F914" s="29">
        <f t="shared" si="565"/>
        <v>4.3148107873634585</v>
      </c>
      <c r="G914" s="29">
        <f t="shared" si="566"/>
        <v>-2.3857956117391681</v>
      </c>
      <c r="H914" s="29">
        <f t="shared" si="567"/>
        <v>6.7158008488523349</v>
      </c>
      <c r="I914" s="29">
        <f t="shared" si="568"/>
        <v>6.8776506224845253</v>
      </c>
      <c r="J914" s="29">
        <f t="shared" si="569"/>
        <v>-3.3495285212313948</v>
      </c>
      <c r="K914" s="26">
        <f t="shared" si="532"/>
        <v>-3.489095151582013</v>
      </c>
      <c r="L914" s="26">
        <f t="shared" si="533"/>
        <v>2.9624104351443487E-2</v>
      </c>
      <c r="M914" s="26">
        <f t="shared" si="534"/>
        <v>-2.3857956117391681</v>
      </c>
      <c r="N914" s="26">
        <f t="shared" si="535"/>
        <v>8.4262284997705841E-2</v>
      </c>
      <c r="O914" s="26">
        <f t="shared" si="536"/>
        <v>-2.5710523792150406</v>
      </c>
      <c r="P914" s="26">
        <f t="shared" si="537"/>
        <v>7.1024836424071744E-2</v>
      </c>
      <c r="Q914" s="26">
        <f t="shared" si="538"/>
        <v>2.5222636945330741E-3</v>
      </c>
      <c r="R914" s="26">
        <f t="shared" si="539"/>
        <v>-9.288217364484467</v>
      </c>
      <c r="S914" s="26">
        <f t="shared" si="540"/>
        <v>9.2499264204174973E-5</v>
      </c>
      <c r="T914" s="26">
        <f t="shared" si="541"/>
        <v>1.9290151756242904</v>
      </c>
      <c r="U914" s="26">
        <f t="shared" si="542"/>
        <v>0.87314037464471606</v>
      </c>
      <c r="V914" s="26">
        <f t="shared" si="543"/>
        <v>2.6562471265972696</v>
      </c>
      <c r="W914" s="26">
        <f t="shared" si="544"/>
        <v>0.93439498639870189</v>
      </c>
      <c r="X914" s="26">
        <f t="shared" si="545"/>
        <v>2.1520089048132551E-3</v>
      </c>
      <c r="Y914" s="26">
        <f t="shared" si="546"/>
        <v>2.3902959593639079</v>
      </c>
      <c r="Z914" s="26">
        <f t="shared" si="547"/>
        <v>0.91608432243612459</v>
      </c>
      <c r="AA914" s="26">
        <f t="shared" si="548"/>
        <v>-7.0075817228956812</v>
      </c>
      <c r="AB914" s="26">
        <f t="shared" si="549"/>
        <v>9.0417619724557374E-4</v>
      </c>
      <c r="AC914" s="26">
        <f t="shared" si="550"/>
        <v>2.808929956991268</v>
      </c>
      <c r="AD914" s="26">
        <f t="shared" si="551"/>
        <v>0.94315647888276732</v>
      </c>
      <c r="AE914" s="26">
        <f t="shared" si="552"/>
        <v>1.6155929465026385E-3</v>
      </c>
      <c r="AF914" s="26">
        <f t="shared" si="553"/>
        <v>-3.4088262535385465</v>
      </c>
      <c r="AG914" s="26">
        <f t="shared" si="554"/>
        <v>3.202075828826647E-2</v>
      </c>
      <c r="AH914" s="26">
        <f t="shared" si="555"/>
        <v>-2.6927709355322231</v>
      </c>
      <c r="AI914" s="26">
        <f t="shared" si="556"/>
        <v>6.3401276678026156E-2</v>
      </c>
      <c r="AJ914" s="26">
        <f t="shared" si="557"/>
        <v>-2.6984316555272194</v>
      </c>
      <c r="AK914" s="26">
        <f t="shared" si="558"/>
        <v>6.3065963931947855E-2</v>
      </c>
      <c r="AL914" s="26">
        <f t="shared" si="559"/>
        <v>1.9886579033328738E-3</v>
      </c>
      <c r="AM914" s="27">
        <f t="shared" si="560"/>
        <v>8.2785234491818422E-3</v>
      </c>
    </row>
    <row r="915" spans="1:39" ht="15" customHeight="1" x14ac:dyDescent="0.2">
      <c r="A915" s="24">
        <v>904</v>
      </c>
      <c r="B915" s="29">
        <f t="shared" si="561"/>
        <v>5.8801887476860601</v>
      </c>
      <c r="C915" s="29">
        <f t="shared" si="562"/>
        <v>-5.799895416224266</v>
      </c>
      <c r="D915" s="29">
        <f t="shared" si="563"/>
        <v>-3.4891997231182579</v>
      </c>
      <c r="E915" s="29">
        <f t="shared" si="564"/>
        <v>-4.6232890932924438</v>
      </c>
      <c r="F915" s="29">
        <f t="shared" si="565"/>
        <v>4.3163526128894718</v>
      </c>
      <c r="G915" s="29">
        <f t="shared" si="566"/>
        <v>-2.3867218133759271</v>
      </c>
      <c r="H915" s="29">
        <f t="shared" si="567"/>
        <v>6.7183348500878441</v>
      </c>
      <c r="I915" s="29">
        <f t="shared" si="568"/>
        <v>6.8805337081896116</v>
      </c>
      <c r="J915" s="29">
        <f t="shared" si="569"/>
        <v>-3.3508720778671242</v>
      </c>
      <c r="K915" s="26">
        <f t="shared" si="532"/>
        <v>-3.4891997231182579</v>
      </c>
      <c r="L915" s="26">
        <f t="shared" si="533"/>
        <v>2.9621098431878472E-2</v>
      </c>
      <c r="M915" s="26">
        <f t="shared" si="534"/>
        <v>-2.3867218133759271</v>
      </c>
      <c r="N915" s="26">
        <f t="shared" si="535"/>
        <v>8.4190844799578904E-2</v>
      </c>
      <c r="O915" s="26">
        <f t="shared" si="536"/>
        <v>-2.5725896744098899</v>
      </c>
      <c r="P915" s="26">
        <f t="shared" si="537"/>
        <v>7.0923472077879718E-2</v>
      </c>
      <c r="Q915" s="26">
        <f t="shared" si="538"/>
        <v>2.515069445790892E-3</v>
      </c>
      <c r="R915" s="26">
        <f t="shared" si="539"/>
        <v>-9.2890951393425247</v>
      </c>
      <c r="S915" s="26">
        <f t="shared" si="540"/>
        <v>9.2418113800522942E-5</v>
      </c>
      <c r="T915" s="26">
        <f t="shared" si="541"/>
        <v>1.9296307995135447</v>
      </c>
      <c r="U915" s="26">
        <f t="shared" si="542"/>
        <v>0.87320854933815073</v>
      </c>
      <c r="V915" s="26">
        <f t="shared" si="543"/>
        <v>2.6578896759680983</v>
      </c>
      <c r="W915" s="26">
        <f t="shared" si="544"/>
        <v>0.93449560449560587</v>
      </c>
      <c r="X915" s="26">
        <f t="shared" si="545"/>
        <v>2.1454129151980451E-3</v>
      </c>
      <c r="Y915" s="26">
        <f t="shared" si="546"/>
        <v>2.3909890245678023</v>
      </c>
      <c r="Z915" s="26">
        <f t="shared" si="547"/>
        <v>0.91613758565554126</v>
      </c>
      <c r="AA915" s="26">
        <f t="shared" si="548"/>
        <v>-7.0100109066683709</v>
      </c>
      <c r="AB915" s="26">
        <f t="shared" si="549"/>
        <v>9.0198443140612305E-4</v>
      </c>
      <c r="AC915" s="26">
        <f t="shared" si="550"/>
        <v>2.8102531256023884</v>
      </c>
      <c r="AD915" s="26">
        <f t="shared" si="551"/>
        <v>0.94322737545988256</v>
      </c>
      <c r="AE915" s="26">
        <f t="shared" si="552"/>
        <v>1.6115654485865728E-3</v>
      </c>
      <c r="AF915" s="26">
        <f t="shared" si="553"/>
        <v>-3.4089063916564637</v>
      </c>
      <c r="AG915" s="26">
        <f t="shared" si="554"/>
        <v>3.2018274466048234E-2</v>
      </c>
      <c r="AH915" s="26">
        <f t="shared" si="555"/>
        <v>-2.6936582937788991</v>
      </c>
      <c r="AI915" s="26">
        <f t="shared" si="556"/>
        <v>6.334860437541176E-2</v>
      </c>
      <c r="AJ915" s="26">
        <f t="shared" si="557"/>
        <v>-2.6998903809104062</v>
      </c>
      <c r="AK915" s="26">
        <f t="shared" si="558"/>
        <v>6.2979824738603168E-2</v>
      </c>
      <c r="AL915" s="26">
        <f t="shared" si="559"/>
        <v>1.9832291620525857E-3</v>
      </c>
      <c r="AM915" s="27">
        <f t="shared" si="560"/>
        <v>8.2552769716280963E-3</v>
      </c>
    </row>
    <row r="916" spans="1:39" ht="15" customHeight="1" x14ac:dyDescent="0.2">
      <c r="A916" s="24">
        <v>905</v>
      </c>
      <c r="B916" s="29">
        <f t="shared" si="561"/>
        <v>5.8809840796522206</v>
      </c>
      <c r="C916" s="29">
        <f t="shared" si="562"/>
        <v>-5.8006668156182446</v>
      </c>
      <c r="D916" s="29">
        <f t="shared" si="563"/>
        <v>-3.4893043776452628</v>
      </c>
      <c r="E916" s="29">
        <f t="shared" si="564"/>
        <v>-4.6247876040500735</v>
      </c>
      <c r="F916" s="29">
        <f t="shared" si="565"/>
        <v>4.3178898085459485</v>
      </c>
      <c r="G916" s="29">
        <f t="shared" si="566"/>
        <v>-2.3876450349890179</v>
      </c>
      <c r="H916" s="29">
        <f t="shared" si="567"/>
        <v>6.720862980500689</v>
      </c>
      <c r="I916" s="29">
        <f t="shared" si="568"/>
        <v>6.8834089043844537</v>
      </c>
      <c r="J916" s="29">
        <f t="shared" si="569"/>
        <v>-3.3522122101424352</v>
      </c>
      <c r="K916" s="26">
        <f t="shared" si="532"/>
        <v>-3.4893043776452628</v>
      </c>
      <c r="L916" s="26">
        <f t="shared" si="533"/>
        <v>2.9618090422784887E-2</v>
      </c>
      <c r="M916" s="26">
        <f t="shared" si="534"/>
        <v>-2.3876450349890179</v>
      </c>
      <c r="N916" s="26">
        <f t="shared" si="535"/>
        <v>8.4119689198177083E-2</v>
      </c>
      <c r="O916" s="26">
        <f t="shared" si="536"/>
        <v>-2.5741228650060335</v>
      </c>
      <c r="P916" s="26">
        <f t="shared" si="537"/>
        <v>7.0822511476414343E-2</v>
      </c>
      <c r="Q916" s="26">
        <f t="shared" si="538"/>
        <v>2.5079140659134205E-3</v>
      </c>
      <c r="R916" s="26">
        <f t="shared" si="539"/>
        <v>-9.2899711932635078</v>
      </c>
      <c r="S916" s="26">
        <f t="shared" si="540"/>
        <v>9.2337193475936654E-5</v>
      </c>
      <c r="T916" s="26">
        <f t="shared" si="541"/>
        <v>1.9302447735569306</v>
      </c>
      <c r="U916" s="26">
        <f t="shared" si="542"/>
        <v>0.87327651013218088</v>
      </c>
      <c r="V916" s="26">
        <f t="shared" si="543"/>
        <v>2.6595276813165554</v>
      </c>
      <c r="W916" s="26">
        <f t="shared" si="544"/>
        <v>0.93459580131703579</v>
      </c>
      <c r="X916" s="26">
        <f t="shared" si="545"/>
        <v>2.1388546026803287E-3</v>
      </c>
      <c r="Y916" s="26">
        <f t="shared" si="546"/>
        <v>2.3916797020069578</v>
      </c>
      <c r="Z916" s="26">
        <f t="shared" si="547"/>
        <v>0.91619063481529395</v>
      </c>
      <c r="AA916" s="26">
        <f t="shared" si="548"/>
        <v>-7.0124326390390914</v>
      </c>
      <c r="AB916" s="26">
        <f t="shared" si="549"/>
        <v>8.9980467247414173E-4</v>
      </c>
      <c r="AC916" s="26">
        <f t="shared" si="550"/>
        <v>2.8115732339638151</v>
      </c>
      <c r="AD916" s="26">
        <f t="shared" si="551"/>
        <v>0.94329802524616402</v>
      </c>
      <c r="AE916" s="26">
        <f t="shared" si="552"/>
        <v>1.6075569704923265E-3</v>
      </c>
      <c r="AF916" s="26">
        <f t="shared" si="553"/>
        <v>-3.4089871136112868</v>
      </c>
      <c r="AG916" s="26">
        <f t="shared" si="554"/>
        <v>3.2015772736569297E-2</v>
      </c>
      <c r="AH916" s="26">
        <f t="shared" si="555"/>
        <v>-2.6945428304931429</v>
      </c>
      <c r="AI916" s="26">
        <f t="shared" si="556"/>
        <v>6.3296140162175871E-2</v>
      </c>
      <c r="AJ916" s="26">
        <f t="shared" si="557"/>
        <v>-2.7013453735596156</v>
      </c>
      <c r="AK916" s="26">
        <f t="shared" si="558"/>
        <v>6.2894015302289427E-2</v>
      </c>
      <c r="AL916" s="26">
        <f t="shared" si="559"/>
        <v>1.9778285804223084E-3</v>
      </c>
      <c r="AM916" s="27">
        <f t="shared" si="560"/>
        <v>8.2321542195083839E-3</v>
      </c>
    </row>
    <row r="917" spans="1:39" ht="15" customHeight="1" x14ac:dyDescent="0.2">
      <c r="A917" s="24">
        <v>906</v>
      </c>
      <c r="B917" s="29">
        <f t="shared" si="561"/>
        <v>5.881777119390768</v>
      </c>
      <c r="C917" s="29">
        <f t="shared" si="562"/>
        <v>-5.8014364189918997</v>
      </c>
      <c r="D917" s="29">
        <f t="shared" si="563"/>
        <v>-3.4894091132640894</v>
      </c>
      <c r="E917" s="29">
        <f t="shared" si="564"/>
        <v>-4.626281667724264</v>
      </c>
      <c r="F917" s="29">
        <f t="shared" si="565"/>
        <v>4.3194223999127557</v>
      </c>
      <c r="G917" s="29">
        <f t="shared" si="566"/>
        <v>-2.3885652937273312</v>
      </c>
      <c r="H917" s="29">
        <f t="shared" si="567"/>
        <v>6.7233852661366305</v>
      </c>
      <c r="I917" s="29">
        <f t="shared" si="568"/>
        <v>6.8862762525300649</v>
      </c>
      <c r="J917" s="29">
        <f t="shared" si="569"/>
        <v>-3.3535489350336145</v>
      </c>
      <c r="K917" s="26">
        <f t="shared" si="532"/>
        <v>-3.4894091132640894</v>
      </c>
      <c r="L917" s="26">
        <f t="shared" si="533"/>
        <v>2.9615080379411757E-2</v>
      </c>
      <c r="M917" s="26">
        <f t="shared" si="534"/>
        <v>-2.3885652937273312</v>
      </c>
      <c r="N917" s="26">
        <f t="shared" si="535"/>
        <v>8.4048816311629082E-2</v>
      </c>
      <c r="O917" s="26">
        <f t="shared" si="536"/>
        <v>-2.5756519721351925</v>
      </c>
      <c r="P917" s="26">
        <f t="shared" si="537"/>
        <v>7.0721952020343024E-2</v>
      </c>
      <c r="Q917" s="26">
        <f t="shared" si="538"/>
        <v>2.5007972487838502E-3</v>
      </c>
      <c r="R917" s="26">
        <f t="shared" si="539"/>
        <v>-9.2908455322559895</v>
      </c>
      <c r="S917" s="26">
        <f t="shared" si="540"/>
        <v>9.2256502196368101E-5</v>
      </c>
      <c r="T917" s="26">
        <f t="shared" si="541"/>
        <v>1.9308571061854245</v>
      </c>
      <c r="U917" s="26">
        <f t="shared" si="542"/>
        <v>0.87334425821909412</v>
      </c>
      <c r="V917" s="26">
        <f t="shared" si="543"/>
        <v>2.6611611666315906</v>
      </c>
      <c r="W917" s="26">
        <f t="shared" si="544"/>
        <v>0.9346955796845231</v>
      </c>
      <c r="X917" s="26">
        <f t="shared" si="545"/>
        <v>2.1323336563702357E-3</v>
      </c>
      <c r="Y917" s="26">
        <f t="shared" si="546"/>
        <v>2.3923680061266785</v>
      </c>
      <c r="Z917" s="26">
        <f t="shared" si="547"/>
        <v>0.91624347135386996</v>
      </c>
      <c r="AA917" s="26">
        <f t="shared" si="548"/>
        <v>-7.0148469614515951</v>
      </c>
      <c r="AB917" s="26">
        <f t="shared" si="549"/>
        <v>8.9763682192753433E-4</v>
      </c>
      <c r="AC917" s="26">
        <f t="shared" si="550"/>
        <v>2.8128902955911106</v>
      </c>
      <c r="AD917" s="26">
        <f t="shared" si="551"/>
        <v>0.9433684296222753</v>
      </c>
      <c r="AE917" s="26">
        <f t="shared" si="552"/>
        <v>1.603567381723593E-3</v>
      </c>
      <c r="AF917" s="26">
        <f t="shared" si="553"/>
        <v>-3.4090684128652211</v>
      </c>
      <c r="AG917" s="26">
        <f t="shared" si="554"/>
        <v>3.2013253306513445E-2</v>
      </c>
      <c r="AH917" s="26">
        <f t="shared" si="555"/>
        <v>-2.6954245615388395</v>
      </c>
      <c r="AI917" s="26">
        <f t="shared" si="556"/>
        <v>6.3243882684189401E-2</v>
      </c>
      <c r="AJ917" s="26">
        <f t="shared" si="557"/>
        <v>-2.7027966519855715</v>
      </c>
      <c r="AK917" s="26">
        <f t="shared" si="558"/>
        <v>6.2808533576061323E-2</v>
      </c>
      <c r="AL917" s="26">
        <f t="shared" si="559"/>
        <v>1.9724559449876113E-3</v>
      </c>
      <c r="AM917" s="27">
        <f t="shared" si="560"/>
        <v>8.2091542318652906E-3</v>
      </c>
    </row>
    <row r="918" spans="1:39" ht="15" customHeight="1" x14ac:dyDescent="0.2">
      <c r="A918" s="24">
        <v>907</v>
      </c>
      <c r="B918" s="29">
        <f t="shared" si="561"/>
        <v>5.8825678793494856</v>
      </c>
      <c r="C918" s="29">
        <f t="shared" si="562"/>
        <v>-5.802204234202506</v>
      </c>
      <c r="D918" s="29">
        <f t="shared" si="563"/>
        <v>-3.4895139280989103</v>
      </c>
      <c r="E918" s="29">
        <f t="shared" si="564"/>
        <v>-4.6277713084203649</v>
      </c>
      <c r="F918" s="29">
        <f t="shared" si="565"/>
        <v>4.3209504123658817</v>
      </c>
      <c r="G918" s="29">
        <f t="shared" si="566"/>
        <v>-2.3894826065994694</v>
      </c>
      <c r="H918" s="29">
        <f t="shared" si="567"/>
        <v>6.7259017328734618</v>
      </c>
      <c r="I918" s="29">
        <f t="shared" si="568"/>
        <v>6.8891357937689062</v>
      </c>
      <c r="J918" s="29">
        <f t="shared" si="569"/>
        <v>-3.3548822693927551</v>
      </c>
      <c r="K918" s="26">
        <f t="shared" si="532"/>
        <v>-3.4895139280989103</v>
      </c>
      <c r="L918" s="26">
        <f t="shared" si="533"/>
        <v>2.9612068356322917E-2</v>
      </c>
      <c r="M918" s="26">
        <f t="shared" si="534"/>
        <v>-2.3894826065994694</v>
      </c>
      <c r="N918" s="26">
        <f t="shared" si="535"/>
        <v>8.3978224275224E-2</v>
      </c>
      <c r="O918" s="26">
        <f t="shared" si="536"/>
        <v>-2.5771770167693968</v>
      </c>
      <c r="P918" s="26">
        <f t="shared" si="537"/>
        <v>7.0621791133303441E-2</v>
      </c>
      <c r="Q918" s="26">
        <f t="shared" si="538"/>
        <v>2.4937186914379683E-3</v>
      </c>
      <c r="R918" s="26">
        <f t="shared" si="539"/>
        <v>-9.2917181623014162</v>
      </c>
      <c r="S918" s="26">
        <f t="shared" si="540"/>
        <v>9.2176038933807126E-5</v>
      </c>
      <c r="T918" s="26">
        <f t="shared" si="541"/>
        <v>1.9314678057664123</v>
      </c>
      <c r="U918" s="26">
        <f t="shared" si="542"/>
        <v>0.87341179478163722</v>
      </c>
      <c r="V918" s="26">
        <f t="shared" si="543"/>
        <v>2.6627901557173583</v>
      </c>
      <c r="W918" s="26">
        <f t="shared" si="544"/>
        <v>0.93479494239382921</v>
      </c>
      <c r="X918" s="26">
        <f t="shared" si="545"/>
        <v>2.1258497687120259E-3</v>
      </c>
      <c r="Y918" s="26">
        <f t="shared" si="546"/>
        <v>2.3930539512505753</v>
      </c>
      <c r="Z918" s="26">
        <f t="shared" si="547"/>
        <v>0.91629609669651468</v>
      </c>
      <c r="AA918" s="26">
        <f t="shared" si="548"/>
        <v>-7.0172539150198343</v>
      </c>
      <c r="AB918" s="26">
        <f t="shared" si="549"/>
        <v>8.9548078230959269E-4</v>
      </c>
      <c r="AC918" s="26">
        <f t="shared" si="550"/>
        <v>2.8142043239135628</v>
      </c>
      <c r="AD918" s="26">
        <f t="shared" si="551"/>
        <v>0.94343858995836949</v>
      </c>
      <c r="AE918" s="26">
        <f t="shared" si="552"/>
        <v>1.5995965529487304E-3</v>
      </c>
      <c r="AF918" s="26">
        <f t="shared" si="553"/>
        <v>-3.4091502829519307</v>
      </c>
      <c r="AG918" s="26">
        <f t="shared" si="554"/>
        <v>3.2010716380317224E-2</v>
      </c>
      <c r="AH918" s="26">
        <f t="shared" si="555"/>
        <v>-2.6963035026539526</v>
      </c>
      <c r="AI918" s="26">
        <f t="shared" si="556"/>
        <v>6.3191830599413135E-2</v>
      </c>
      <c r="AJ918" s="26">
        <f t="shared" si="557"/>
        <v>-2.7042442345636601</v>
      </c>
      <c r="AK918" s="26">
        <f t="shared" si="558"/>
        <v>6.272337753046614E-2</v>
      </c>
      <c r="AL918" s="26">
        <f t="shared" si="559"/>
        <v>1.9671110444146925E-3</v>
      </c>
      <c r="AM918" s="27">
        <f t="shared" si="560"/>
        <v>8.1862760575134169E-3</v>
      </c>
    </row>
    <row r="919" spans="1:39" ht="15" customHeight="1" x14ac:dyDescent="0.2">
      <c r="A919" s="24">
        <v>908</v>
      </c>
      <c r="B919" s="29">
        <f t="shared" si="561"/>
        <v>5.883356371878576</v>
      </c>
      <c r="C919" s="29">
        <f t="shared" si="562"/>
        <v>-5.8029702690575204</v>
      </c>
      <c r="D919" s="29">
        <f t="shared" si="563"/>
        <v>-3.4896188202967138</v>
      </c>
      <c r="E919" s="29">
        <f t="shared" si="564"/>
        <v>-4.629256550056132</v>
      </c>
      <c r="F919" s="29">
        <f t="shared" si="565"/>
        <v>4.3224738710795476</v>
      </c>
      <c r="G919" s="29">
        <f t="shared" si="566"/>
        <v>-2.3903969904752258</v>
      </c>
      <c r="H919" s="29">
        <f t="shared" si="567"/>
        <v>6.7284124064224091</v>
      </c>
      <c r="I919" s="29">
        <f t="shared" si="568"/>
        <v>6.8919875689280845</v>
      </c>
      <c r="J919" s="29">
        <f t="shared" si="569"/>
        <v>-3.3562122299489556</v>
      </c>
      <c r="K919" s="26">
        <f t="shared" si="532"/>
        <v>-3.4896188202967138</v>
      </c>
      <c r="L919" s="26">
        <f t="shared" si="533"/>
        <v>2.9609054407405778E-2</v>
      </c>
      <c r="M919" s="26">
        <f t="shared" si="534"/>
        <v>-2.3903969904752258</v>
      </c>
      <c r="N919" s="26">
        <f t="shared" si="535"/>
        <v>8.3907911241213134E-2</v>
      </c>
      <c r="O919" s="26">
        <f t="shared" si="536"/>
        <v>-2.5786980197225686</v>
      </c>
      <c r="P919" s="26">
        <f t="shared" si="537"/>
        <v>7.0522026261646387E-2</v>
      </c>
      <c r="Q919" s="26">
        <f t="shared" si="538"/>
        <v>2.4866780940241712E-3</v>
      </c>
      <c r="R919" s="26">
        <f t="shared" si="539"/>
        <v>-9.2925890893542338</v>
      </c>
      <c r="S919" s="26">
        <f t="shared" si="540"/>
        <v>9.2095802666240472E-5</v>
      </c>
      <c r="T919" s="26">
        <f t="shared" si="541"/>
        <v>1.9320768806043218</v>
      </c>
      <c r="U919" s="26">
        <f t="shared" si="542"/>
        <v>0.87347912099311542</v>
      </c>
      <c r="V919" s="26">
        <f t="shared" si="543"/>
        <v>2.6644146721950652</v>
      </c>
      <c r="W919" s="26">
        <f t="shared" si="544"/>
        <v>0.93489389221524177</v>
      </c>
      <c r="X919" s="26">
        <f t="shared" si="545"/>
        <v>2.1194026354402779E-3</v>
      </c>
      <c r="Y919" s="26">
        <f t="shared" si="546"/>
        <v>2.3937375515818622</v>
      </c>
      <c r="Z919" s="26">
        <f t="shared" si="547"/>
        <v>0.91634851225538549</v>
      </c>
      <c r="AA919" s="26">
        <f t="shared" si="548"/>
        <v>-7.0196535405313583</v>
      </c>
      <c r="AB919" s="26">
        <f t="shared" si="549"/>
        <v>8.9333645721477244E-4</v>
      </c>
      <c r="AC919" s="26">
        <f t="shared" si="550"/>
        <v>2.815515332274892</v>
      </c>
      <c r="AD919" s="26">
        <f t="shared" si="551"/>
        <v>0.94350850761418892</v>
      </c>
      <c r="AE919" s="26">
        <f t="shared" si="552"/>
        <v>1.5956443559880756E-3</v>
      </c>
      <c r="AF919" s="26">
        <f t="shared" si="553"/>
        <v>-3.4092327174756583</v>
      </c>
      <c r="AG919" s="26">
        <f t="shared" si="554"/>
        <v>3.2008162160196932E-2</v>
      </c>
      <c r="AH919" s="26">
        <f t="shared" si="555"/>
        <v>-2.6971796694518102</v>
      </c>
      <c r="AI919" s="26">
        <f t="shared" si="556"/>
        <v>6.3139982577761239E-2</v>
      </c>
      <c r="AJ919" s="26">
        <f t="shared" si="557"/>
        <v>-2.7056881395352401</v>
      </c>
      <c r="AK919" s="26">
        <f t="shared" si="558"/>
        <v>6.2638545153353473E-2</v>
      </c>
      <c r="AL919" s="26">
        <f t="shared" si="559"/>
        <v>1.961793669464351E-3</v>
      </c>
      <c r="AM919" s="27">
        <f t="shared" si="560"/>
        <v>8.1635187549168771E-3</v>
      </c>
    </row>
    <row r="920" spans="1:39" ht="15" customHeight="1" x14ac:dyDescent="0.2">
      <c r="A920" s="24">
        <v>909</v>
      </c>
      <c r="B920" s="29">
        <f t="shared" si="561"/>
        <v>5.8841426092316489</v>
      </c>
      <c r="C920" s="29">
        <f t="shared" si="562"/>
        <v>-5.8037345313149897</v>
      </c>
      <c r="D920" s="29">
        <f t="shared" si="563"/>
        <v>-3.489723788027014</v>
      </c>
      <c r="E920" s="29">
        <f t="shared" si="564"/>
        <v>-4.6307374163636172</v>
      </c>
      <c r="F920" s="29">
        <f t="shared" si="565"/>
        <v>4.3239928010282931</v>
      </c>
      <c r="G920" s="29">
        <f t="shared" si="566"/>
        <v>-2.3913084620870428</v>
      </c>
      <c r="H920" s="29">
        <f t="shared" si="567"/>
        <v>6.7309173123295194</v>
      </c>
      <c r="I920" s="29">
        <f t="shared" si="568"/>
        <v>6.8948316185225149</v>
      </c>
      <c r="J920" s="29">
        <f t="shared" si="569"/>
        <v>-3.3575388333094995</v>
      </c>
      <c r="K920" s="26">
        <f t="shared" si="532"/>
        <v>-3.489723788027014</v>
      </c>
      <c r="L920" s="26">
        <f t="shared" si="533"/>
        <v>2.960603858587996E-2</v>
      </c>
      <c r="M920" s="26">
        <f t="shared" si="534"/>
        <v>-2.3913084620870428</v>
      </c>
      <c r="N920" s="26">
        <f t="shared" si="535"/>
        <v>8.3837875378614549E-2</v>
      </c>
      <c r="O920" s="26">
        <f t="shared" si="536"/>
        <v>-2.5802150016520824</v>
      </c>
      <c r="P920" s="26">
        <f t="shared" si="537"/>
        <v>7.0422654874182464E-2</v>
      </c>
      <c r="Q920" s="26">
        <f t="shared" si="538"/>
        <v>2.4796751597641075E-3</v>
      </c>
      <c r="R920" s="26">
        <f t="shared" si="539"/>
        <v>-9.2934583193420046</v>
      </c>
      <c r="S920" s="26">
        <f t="shared" si="540"/>
        <v>9.2015792377612071E-5</v>
      </c>
      <c r="T920" s="26">
        <f t="shared" si="541"/>
        <v>1.9326843389412502</v>
      </c>
      <c r="U920" s="26">
        <f t="shared" si="542"/>
        <v>0.87354623801749065</v>
      </c>
      <c r="V920" s="26">
        <f t="shared" si="543"/>
        <v>2.6660347395048118</v>
      </c>
      <c r="W920" s="26">
        <f t="shared" si="544"/>
        <v>0.93499243189386694</v>
      </c>
      <c r="X920" s="26">
        <f t="shared" si="545"/>
        <v>2.1129919555367641E-3</v>
      </c>
      <c r="Y920" s="26">
        <f t="shared" si="546"/>
        <v>2.3944188212046349</v>
      </c>
      <c r="Z920" s="26">
        <f t="shared" si="547"/>
        <v>0.91640071942970214</v>
      </c>
      <c r="AA920" s="26">
        <f t="shared" si="548"/>
        <v>-7.0220458784506601</v>
      </c>
      <c r="AB920" s="26">
        <f t="shared" si="549"/>
        <v>8.9120375127469981E-4</v>
      </c>
      <c r="AC920" s="26">
        <f t="shared" si="550"/>
        <v>2.816823333933943</v>
      </c>
      <c r="AD920" s="26">
        <f t="shared" si="551"/>
        <v>0.94357818393916471</v>
      </c>
      <c r="AE920" s="26">
        <f t="shared" si="552"/>
        <v>1.5917106638013657E-3</v>
      </c>
      <c r="AF920" s="26">
        <f t="shared" si="553"/>
        <v>-3.4093157101103548</v>
      </c>
      <c r="AG920" s="26">
        <f t="shared" si="554"/>
        <v>3.2005590846175463E-2</v>
      </c>
      <c r="AH920" s="26">
        <f t="shared" si="555"/>
        <v>-2.698053077422367</v>
      </c>
      <c r="AI920" s="26">
        <f t="shared" si="556"/>
        <v>6.3088337300967037E-2</v>
      </c>
      <c r="AJ920" s="26">
        <f t="shared" si="557"/>
        <v>-2.7071283850089207</v>
      </c>
      <c r="AK920" s="26">
        <f t="shared" si="558"/>
        <v>6.2554034449688461E-2</v>
      </c>
      <c r="AL920" s="26">
        <f t="shared" si="559"/>
        <v>1.9565036129664056E-3</v>
      </c>
      <c r="AM920" s="27">
        <f t="shared" si="560"/>
        <v>8.1408813920686423E-3</v>
      </c>
    </row>
    <row r="921" spans="1:39" ht="15" customHeight="1" x14ac:dyDescent="0.2">
      <c r="A921" s="24">
        <v>910</v>
      </c>
      <c r="B921" s="29">
        <f t="shared" si="561"/>
        <v>5.8849266035666981</v>
      </c>
      <c r="C921" s="29">
        <f t="shared" si="562"/>
        <v>-5.8044970286839588</v>
      </c>
      <c r="D921" s="29">
        <f t="shared" si="563"/>
        <v>-3.4898288294815631</v>
      </c>
      <c r="E921" s="29">
        <f t="shared" si="564"/>
        <v>-4.6322139308910373</v>
      </c>
      <c r="F921" s="29">
        <f t="shared" si="565"/>
        <v>4.3255072269890347</v>
      </c>
      <c r="G921" s="29">
        <f t="shared" si="566"/>
        <v>-2.3922170380314549</v>
      </c>
      <c r="H921" s="29">
        <f t="shared" si="567"/>
        <v>6.7334164759770365</v>
      </c>
      <c r="I921" s="29">
        <f t="shared" si="568"/>
        <v>6.8976679827580423</v>
      </c>
      <c r="J921" s="29">
        <f t="shared" si="569"/>
        <v>-3.3588620959610238</v>
      </c>
      <c r="K921" s="26">
        <f t="shared" si="532"/>
        <v>-3.4898288294815631</v>
      </c>
      <c r="L921" s="26">
        <f t="shared" si="533"/>
        <v>2.9603020944305839E-2</v>
      </c>
      <c r="M921" s="26">
        <f t="shared" si="534"/>
        <v>-2.3922170380314549</v>
      </c>
      <c r="N921" s="26">
        <f t="shared" si="535"/>
        <v>8.3768114873020119E-2</v>
      </c>
      <c r="O921" s="26">
        <f t="shared" si="536"/>
        <v>-2.581727983060313</v>
      </c>
      <c r="P921" s="26">
        <f t="shared" si="537"/>
        <v>7.0323674461931579E-2</v>
      </c>
      <c r="Q921" s="26">
        <f t="shared" si="538"/>
        <v>2.4727095949138638E-3</v>
      </c>
      <c r="R921" s="26">
        <f t="shared" si="539"/>
        <v>-9.2943258581655215</v>
      </c>
      <c r="S921" s="26">
        <f t="shared" si="540"/>
        <v>9.1936007057783769E-5</v>
      </c>
      <c r="T921" s="26">
        <f t="shared" si="541"/>
        <v>1.9332901889575798</v>
      </c>
      <c r="U921" s="26">
        <f t="shared" si="542"/>
        <v>0.87361314700947856</v>
      </c>
      <c r="V921" s="26">
        <f t="shared" si="543"/>
        <v>2.6676503809074092</v>
      </c>
      <c r="W921" s="26">
        <f t="shared" si="544"/>
        <v>0.93509056414991854</v>
      </c>
      <c r="X921" s="26">
        <f t="shared" si="545"/>
        <v>2.1066174311879203E-3</v>
      </c>
      <c r="Y921" s="26">
        <f t="shared" si="546"/>
        <v>2.3950977740851349</v>
      </c>
      <c r="Z921" s="26">
        <f t="shared" si="547"/>
        <v>0.91645271960589569</v>
      </c>
      <c r="AA921" s="26">
        <f t="shared" si="548"/>
        <v>-7.0244309689224922</v>
      </c>
      <c r="AB921" s="26">
        <f t="shared" si="549"/>
        <v>8.8908257014439266E-4</v>
      </c>
      <c r="AC921" s="26">
        <f t="shared" si="550"/>
        <v>2.8181283420653904</v>
      </c>
      <c r="AD921" s="26">
        <f t="shared" si="551"/>
        <v>0.94364762027251425</v>
      </c>
      <c r="AE921" s="26">
        <f t="shared" si="552"/>
        <v>1.5877953504753733E-3</v>
      </c>
      <c r="AF921" s="26">
        <f t="shared" si="553"/>
        <v>-3.4093992545988239</v>
      </c>
      <c r="AG921" s="26">
        <f t="shared" si="554"/>
        <v>3.200300263610853E-2</v>
      </c>
      <c r="AH921" s="26">
        <f t="shared" si="555"/>
        <v>-2.6989237419334575</v>
      </c>
      <c r="AI921" s="26">
        <f t="shared" si="556"/>
        <v>6.3036893462450325E-2</v>
      </c>
      <c r="AJ921" s="26">
        <f t="shared" si="557"/>
        <v>-2.7085649889618408</v>
      </c>
      <c r="AK921" s="26">
        <f t="shared" si="558"/>
        <v>6.2469843441366475E-2</v>
      </c>
      <c r="AL921" s="26">
        <f t="shared" si="559"/>
        <v>1.9512406697944191E-3</v>
      </c>
      <c r="AM921" s="27">
        <f t="shared" si="560"/>
        <v>8.1183630463715767E-3</v>
      </c>
    </row>
    <row r="922" spans="1:39" ht="15" customHeight="1" x14ac:dyDescent="0.2">
      <c r="A922" s="24">
        <v>911</v>
      </c>
      <c r="B922" s="29">
        <f t="shared" si="561"/>
        <v>5.8857083669470684</v>
      </c>
      <c r="C922" s="29">
        <f t="shared" si="562"/>
        <v>-5.8052577688248714</v>
      </c>
      <c r="D922" s="29">
        <f t="shared" si="563"/>
        <v>-3.4899339428740697</v>
      </c>
      <c r="E922" s="29">
        <f t="shared" si="564"/>
        <v>-4.6336861170046184</v>
      </c>
      <c r="F922" s="29">
        <f t="shared" si="565"/>
        <v>4.3270171735430996</v>
      </c>
      <c r="G922" s="29">
        <f t="shared" si="566"/>
        <v>-2.3931227347705093</v>
      </c>
      <c r="H922" s="29">
        <f t="shared" si="567"/>
        <v>6.7359099225847618</v>
      </c>
      <c r="I922" s="29">
        <f t="shared" si="568"/>
        <v>6.9004967015345242</v>
      </c>
      <c r="J922" s="29">
        <f t="shared" si="569"/>
        <v>-3.3601820342706734</v>
      </c>
      <c r="K922" s="26">
        <f t="shared" si="532"/>
        <v>-3.4899339428740697</v>
      </c>
      <c r="L922" s="26">
        <f t="shared" si="533"/>
        <v>2.9600001534592909E-2</v>
      </c>
      <c r="M922" s="26">
        <f t="shared" si="534"/>
        <v>-2.3931227347705093</v>
      </c>
      <c r="N922" s="26">
        <f t="shared" si="535"/>
        <v>8.3698627926405672E-2</v>
      </c>
      <c r="O922" s="26">
        <f t="shared" si="536"/>
        <v>-2.5832369842961569</v>
      </c>
      <c r="P922" s="26">
        <f t="shared" si="537"/>
        <v>7.0225082537876557E-2</v>
      </c>
      <c r="Q922" s="26">
        <f t="shared" si="538"/>
        <v>2.4657811087257873E-3</v>
      </c>
      <c r="R922" s="26">
        <f t="shared" si="539"/>
        <v>-9.2951917116989407</v>
      </c>
      <c r="S922" s="26">
        <f t="shared" si="540"/>
        <v>9.1856445702494588E-5</v>
      </c>
      <c r="T922" s="26">
        <f t="shared" si="541"/>
        <v>1.9338944387725903</v>
      </c>
      <c r="U922" s="26">
        <f t="shared" si="542"/>
        <v>0.87367984911464369</v>
      </c>
      <c r="V922" s="26">
        <f t="shared" si="543"/>
        <v>2.6692616194861669</v>
      </c>
      <c r="W922" s="26">
        <f t="shared" si="544"/>
        <v>0.9351882916790023</v>
      </c>
      <c r="X922" s="26">
        <f t="shared" si="545"/>
        <v>2.1002787677430411E-3</v>
      </c>
      <c r="Y922" s="26">
        <f t="shared" si="546"/>
        <v>2.3957744240729988</v>
      </c>
      <c r="Z922" s="26">
        <f t="shared" si="547"/>
        <v>0.91650451415775513</v>
      </c>
      <c r="AA922" s="26">
        <f t="shared" si="548"/>
        <v>-7.0268088517751277</v>
      </c>
      <c r="AB922" s="26">
        <f t="shared" si="549"/>
        <v>8.8697282048870766E-4</v>
      </c>
      <c r="AC922" s="26">
        <f t="shared" si="550"/>
        <v>2.8194303697604086</v>
      </c>
      <c r="AD922" s="26">
        <f t="shared" si="551"/>
        <v>0.94371681794333762</v>
      </c>
      <c r="AE922" s="26">
        <f t="shared" si="552"/>
        <v>1.5838982912117013E-3</v>
      </c>
      <c r="AF922" s="26">
        <f t="shared" si="553"/>
        <v>-3.4094833447518726</v>
      </c>
      <c r="AG922" s="26">
        <f t="shared" si="554"/>
        <v>3.2000397725710839E-2</v>
      </c>
      <c r="AH922" s="26">
        <f t="shared" si="555"/>
        <v>-2.6997916782320281</v>
      </c>
      <c r="AI922" s="26">
        <f t="shared" si="556"/>
        <v>6.2985649767186624E-2</v>
      </c>
      <c r="AJ922" s="26">
        <f t="shared" si="557"/>
        <v>-2.7099979692409191</v>
      </c>
      <c r="AK922" s="26">
        <f t="shared" si="558"/>
        <v>6.2385970167031089E-2</v>
      </c>
      <c r="AL922" s="26">
        <f t="shared" si="559"/>
        <v>1.9460046368408466E-3</v>
      </c>
      <c r="AM922" s="27">
        <f t="shared" si="560"/>
        <v>8.0959628045213766E-3</v>
      </c>
    </row>
    <row r="923" spans="1:39" ht="15" customHeight="1" x14ac:dyDescent="0.2">
      <c r="A923" s="24">
        <v>912</v>
      </c>
      <c r="B923" s="29">
        <f t="shared" si="561"/>
        <v>5.8864879113424058</v>
      </c>
      <c r="C923" s="29">
        <f t="shared" si="562"/>
        <v>-5.806016759349971</v>
      </c>
      <c r="D923" s="29">
        <f t="shared" si="563"/>
        <v>-3.490039126439918</v>
      </c>
      <c r="E923" s="29">
        <f t="shared" si="564"/>
        <v>-4.6351539978904217</v>
      </c>
      <c r="F923" s="29">
        <f t="shared" si="565"/>
        <v>4.328522665078232</v>
      </c>
      <c r="G923" s="29">
        <f t="shared" si="566"/>
        <v>-2.3940255686331722</v>
      </c>
      <c r="H923" s="29">
        <f t="shared" si="567"/>
        <v>6.7383976772114016</v>
      </c>
      <c r="I923" s="29">
        <f t="shared" si="568"/>
        <v>6.9033178144488767</v>
      </c>
      <c r="J923" s="29">
        <f t="shared" si="569"/>
        <v>-3.3614986644872409</v>
      </c>
      <c r="K923" s="26">
        <f t="shared" si="532"/>
        <v>-3.490039126439918</v>
      </c>
      <c r="L923" s="26">
        <f t="shared" si="533"/>
        <v>2.9596980408008136E-2</v>
      </c>
      <c r="M923" s="26">
        <f t="shared" si="534"/>
        <v>-2.3940255686331722</v>
      </c>
      <c r="N923" s="26">
        <f t="shared" si="535"/>
        <v>8.36294127569433E-2</v>
      </c>
      <c r="O923" s="26">
        <f t="shared" si="536"/>
        <v>-2.584742025556543</v>
      </c>
      <c r="P923" s="26">
        <f t="shared" si="537"/>
        <v>7.0126876636719251E-2</v>
      </c>
      <c r="Q923" s="26">
        <f t="shared" si="538"/>
        <v>2.45888941341082E-3</v>
      </c>
      <c r="R923" s="26">
        <f t="shared" si="539"/>
        <v>-9.2960558857898885</v>
      </c>
      <c r="S923" s="26">
        <f t="shared" si="540"/>
        <v>9.1777107313322724E-5</v>
      </c>
      <c r="T923" s="26">
        <f t="shared" si="541"/>
        <v>1.9344970964450598</v>
      </c>
      <c r="U923" s="26">
        <f t="shared" si="542"/>
        <v>0.87374634546949392</v>
      </c>
      <c r="V923" s="26">
        <f t="shared" si="543"/>
        <v>2.6708684781486611</v>
      </c>
      <c r="W923" s="26">
        <f t="shared" si="544"/>
        <v>0.93528561715239611</v>
      </c>
      <c r="X923" s="26">
        <f t="shared" si="545"/>
        <v>2.0939756736731243E-3</v>
      </c>
      <c r="Y923" s="26">
        <f t="shared" si="546"/>
        <v>2.3964487849024878</v>
      </c>
      <c r="Z923" s="26">
        <f t="shared" si="547"/>
        <v>0.91655610444657298</v>
      </c>
      <c r="AA923" s="26">
        <f t="shared" si="548"/>
        <v>-7.0291795665235934</v>
      </c>
      <c r="AB923" s="26">
        <f t="shared" si="549"/>
        <v>8.8487440996898997E-4</v>
      </c>
      <c r="AC923" s="26">
        <f t="shared" si="550"/>
        <v>2.8207294300273662</v>
      </c>
      <c r="AD923" s="26">
        <f t="shared" si="551"/>
        <v>0.94378577827071419</v>
      </c>
      <c r="AE923" s="26">
        <f t="shared" si="552"/>
        <v>1.5800193623146544E-3</v>
      </c>
      <c r="AF923" s="26">
        <f t="shared" si="553"/>
        <v>-3.4095679744474832</v>
      </c>
      <c r="AG923" s="26">
        <f t="shared" si="554"/>
        <v>3.1997776308581569E-2</v>
      </c>
      <c r="AH923" s="26">
        <f t="shared" si="555"/>
        <v>-2.7006569014453619</v>
      </c>
      <c r="AI923" s="26">
        <f t="shared" si="556"/>
        <v>6.2934604931577959E-2</v>
      </c>
      <c r="AJ923" s="26">
        <f t="shared" si="557"/>
        <v>-2.7114273435641003</v>
      </c>
      <c r="AK923" s="26">
        <f t="shared" si="558"/>
        <v>6.2302412681893696E-2</v>
      </c>
      <c r="AL923" s="26">
        <f t="shared" si="559"/>
        <v>1.9407953129924943E-3</v>
      </c>
      <c r="AM923" s="27">
        <f t="shared" si="560"/>
        <v>8.0736797623910915E-3</v>
      </c>
    </row>
    <row r="924" spans="1:39" ht="15" customHeight="1" x14ac:dyDescent="0.2">
      <c r="A924" s="24">
        <v>913</v>
      </c>
      <c r="B924" s="29">
        <f t="shared" si="561"/>
        <v>5.8872652486296007</v>
      </c>
      <c r="C924" s="29">
        <f t="shared" si="562"/>
        <v>-5.8067740078236909</v>
      </c>
      <c r="D924" s="29">
        <f t="shared" si="563"/>
        <v>-3.4901443784358954</v>
      </c>
      <c r="E924" s="29">
        <f t="shared" si="564"/>
        <v>-4.6366175965561416</v>
      </c>
      <c r="F924" s="29">
        <f t="shared" si="565"/>
        <v>4.3300237257905776</v>
      </c>
      <c r="G924" s="29">
        <f t="shared" si="566"/>
        <v>-2.3949255558167133</v>
      </c>
      <c r="H924" s="29">
        <f t="shared" si="567"/>
        <v>6.7408797647559009</v>
      </c>
      <c r="I924" s="29">
        <f t="shared" si="568"/>
        <v>6.9061313607980823</v>
      </c>
      <c r="J924" s="29">
        <f t="shared" si="569"/>
        <v>-3.3628120027422934</v>
      </c>
      <c r="K924" s="26">
        <f t="shared" si="532"/>
        <v>-3.4901443784358954</v>
      </c>
      <c r="L924" s="26">
        <f t="shared" si="533"/>
        <v>2.9593957615184061E-2</v>
      </c>
      <c r="M924" s="26">
        <f t="shared" si="534"/>
        <v>-2.3949255558167133</v>
      </c>
      <c r="N924" s="26">
        <f t="shared" si="535"/>
        <v>8.3560467598816607E-2</v>
      </c>
      <c r="O924" s="26">
        <f t="shared" si="536"/>
        <v>-2.5862431268879158</v>
      </c>
      <c r="P924" s="26">
        <f t="shared" si="537"/>
        <v>7.0029054314640807E-2</v>
      </c>
      <c r="Q924" s="26">
        <f t="shared" si="538"/>
        <v>2.4520342241014562E-3</v>
      </c>
      <c r="R924" s="26">
        <f t="shared" si="539"/>
        <v>-9.2969183862595859</v>
      </c>
      <c r="S924" s="26">
        <f t="shared" si="540"/>
        <v>9.1697990897646027E-5</v>
      </c>
      <c r="T924" s="26">
        <f t="shared" si="541"/>
        <v>1.9350981699738643</v>
      </c>
      <c r="U924" s="26">
        <f t="shared" si="542"/>
        <v>0.87381263720157487</v>
      </c>
      <c r="V924" s="26">
        <f t="shared" si="543"/>
        <v>2.6724709796284909</v>
      </c>
      <c r="W924" s="26">
        <f t="shared" si="544"/>
        <v>0.93538254321732794</v>
      </c>
      <c r="X924" s="26">
        <f t="shared" si="545"/>
        <v>2.0877078605302454E-3</v>
      </c>
      <c r="Y924" s="26">
        <f t="shared" si="546"/>
        <v>2.3971208701937052</v>
      </c>
      <c r="Z924" s="26">
        <f t="shared" si="547"/>
        <v>0.91660749182128654</v>
      </c>
      <c r="AA924" s="26">
        <f t="shared" si="548"/>
        <v>-7.0315431523728549</v>
      </c>
      <c r="AB924" s="26">
        <f t="shared" si="549"/>
        <v>8.8278724722993921E-4</v>
      </c>
      <c r="AC924" s="26">
        <f t="shared" si="550"/>
        <v>2.8220255357924842</v>
      </c>
      <c r="AD924" s="26">
        <f t="shared" si="551"/>
        <v>0.94385450256379599</v>
      </c>
      <c r="AE924" s="26">
        <f t="shared" si="552"/>
        <v>1.5761584411793953E-3</v>
      </c>
      <c r="AF924" s="26">
        <f t="shared" si="553"/>
        <v>-3.4096531376299857</v>
      </c>
      <c r="AG924" s="26">
        <f t="shared" si="554"/>
        <v>3.1995138576229855E-2</v>
      </c>
      <c r="AH924" s="26">
        <f t="shared" si="555"/>
        <v>-2.7015194265822773</v>
      </c>
      <c r="AI924" s="26">
        <f t="shared" si="556"/>
        <v>6.2883757683325825E-2</v>
      </c>
      <c r="AJ924" s="26">
        <f t="shared" si="557"/>
        <v>-2.712853129521581</v>
      </c>
      <c r="AK924" s="26">
        <f t="shared" si="558"/>
        <v>6.2219169057555895E-2</v>
      </c>
      <c r="AL924" s="26">
        <f t="shared" si="559"/>
        <v>1.9356124991063604E-3</v>
      </c>
      <c r="AM924" s="27">
        <f t="shared" si="560"/>
        <v>8.0515130249174584E-3</v>
      </c>
    </row>
    <row r="925" spans="1:39" ht="15" customHeight="1" x14ac:dyDescent="0.2">
      <c r="A925" s="24">
        <v>914</v>
      </c>
      <c r="B925" s="29">
        <f t="shared" si="561"/>
        <v>5.8880403905937184</v>
      </c>
      <c r="C925" s="29">
        <f t="shared" si="562"/>
        <v>-5.8075295217630485</v>
      </c>
      <c r="D925" s="29">
        <f t="shared" si="563"/>
        <v>-3.4902496971399199</v>
      </c>
      <c r="E925" s="29">
        <f t="shared" si="564"/>
        <v>-4.6380769358328831</v>
      </c>
      <c r="F925" s="29">
        <f t="shared" si="565"/>
        <v>4.3315203796866371</v>
      </c>
      <c r="G925" s="29">
        <f t="shared" si="566"/>
        <v>-2.3958227123880764</v>
      </c>
      <c r="H925" s="29">
        <f t="shared" si="567"/>
        <v>6.7433562099587627</v>
      </c>
      <c r="I925" s="29">
        <f t="shared" si="568"/>
        <v>6.908937379582162</v>
      </c>
      <c r="J925" s="29">
        <f t="shared" si="569"/>
        <v>-3.3641220650512862</v>
      </c>
      <c r="K925" s="26">
        <f t="shared" si="532"/>
        <v>-3.4902496971399199</v>
      </c>
      <c r="L925" s="26">
        <f t="shared" si="533"/>
        <v>2.9590933206126917E-2</v>
      </c>
      <c r="M925" s="26">
        <f t="shared" si="534"/>
        <v>-2.3958227123880764</v>
      </c>
      <c r="N925" s="26">
        <f t="shared" si="535"/>
        <v>8.3491790702038368E-2</v>
      </c>
      <c r="O925" s="26">
        <f t="shared" si="536"/>
        <v>-2.5877403081877119</v>
      </c>
      <c r="P925" s="26">
        <f t="shared" si="537"/>
        <v>6.9931613149064153E-2</v>
      </c>
      <c r="Q925" s="26">
        <f t="shared" si="538"/>
        <v>2.4452152588151812E-3</v>
      </c>
      <c r="R925" s="26">
        <f t="shared" si="539"/>
        <v>-9.2977792189029689</v>
      </c>
      <c r="S925" s="26">
        <f t="shared" si="540"/>
        <v>9.1619095468603148E-5</v>
      </c>
      <c r="T925" s="26">
        <f t="shared" si="541"/>
        <v>1.9356976672985606</v>
      </c>
      <c r="U925" s="26">
        <f t="shared" si="542"/>
        <v>0.87387872542956002</v>
      </c>
      <c r="V925" s="26">
        <f t="shared" si="543"/>
        <v>2.674069146486997</v>
      </c>
      <c r="W925" s="26">
        <f t="shared" si="544"/>
        <v>0.93547907249724771</v>
      </c>
      <c r="X925" s="26">
        <f t="shared" si="545"/>
        <v>2.0814750429077084E-3</v>
      </c>
      <c r="Y925" s="26">
        <f t="shared" si="546"/>
        <v>2.3977906934537985</v>
      </c>
      <c r="Z925" s="26">
        <f t="shared" si="547"/>
        <v>0.91665867761862085</v>
      </c>
      <c r="AA925" s="26">
        <f t="shared" si="548"/>
        <v>-7.0338996482209595</v>
      </c>
      <c r="AB925" s="26">
        <f t="shared" si="549"/>
        <v>8.8071124188668251E-4</v>
      </c>
      <c r="AC925" s="26">
        <f t="shared" si="550"/>
        <v>2.8233186999005175</v>
      </c>
      <c r="AD925" s="26">
        <f t="shared" si="551"/>
        <v>0.943922992121903</v>
      </c>
      <c r="AE925" s="26">
        <f t="shared" si="552"/>
        <v>1.5723154062800763E-3</v>
      </c>
      <c r="AF925" s="26">
        <f t="shared" si="553"/>
        <v>-3.40973882830925</v>
      </c>
      <c r="AG925" s="26">
        <f t="shared" si="554"/>
        <v>3.1992484718099685E-2</v>
      </c>
      <c r="AH925" s="26">
        <f t="shared" si="555"/>
        <v>-2.7023792685343224</v>
      </c>
      <c r="AI925" s="26">
        <f t="shared" si="556"/>
        <v>6.2833106761305366E-2</v>
      </c>
      <c r="AJ925" s="26">
        <f t="shared" si="557"/>
        <v>-2.7142753445770182</v>
      </c>
      <c r="AK925" s="26">
        <f t="shared" si="558"/>
        <v>6.2136237381834283E-2</v>
      </c>
      <c r="AL925" s="26">
        <f t="shared" si="559"/>
        <v>1.93045599798583E-3</v>
      </c>
      <c r="AM925" s="27">
        <f t="shared" si="560"/>
        <v>8.0294617059887968E-3</v>
      </c>
    </row>
    <row r="926" spans="1:39" ht="15" customHeight="1" x14ac:dyDescent="0.2">
      <c r="A926" s="24">
        <v>915</v>
      </c>
      <c r="B926" s="29">
        <f t="shared" si="561"/>
        <v>5.8888133489289141</v>
      </c>
      <c r="C926" s="29">
        <f t="shared" si="562"/>
        <v>-5.8082833086380292</v>
      </c>
      <c r="D926" s="29">
        <f t="shared" si="563"/>
        <v>-3.4903550808507733</v>
      </c>
      <c r="E926" s="29">
        <f t="shared" si="564"/>
        <v>-4.6395320383769203</v>
      </c>
      <c r="F926" s="29">
        <f t="shared" si="565"/>
        <v>4.3330126505852018</v>
      </c>
      <c r="G926" s="29">
        <f t="shared" si="566"/>
        <v>-2.3967170542852303</v>
      </c>
      <c r="H926" s="29">
        <f t="shared" si="567"/>
        <v>6.7458270374033553</v>
      </c>
      <c r="I926" s="29">
        <f t="shared" si="568"/>
        <v>6.9117359095071098</v>
      </c>
      <c r="J926" s="29">
        <f t="shared" si="569"/>
        <v>-3.3654288673146633</v>
      </c>
      <c r="K926" s="26">
        <f t="shared" si="532"/>
        <v>-3.4903550808507733</v>
      </c>
      <c r="L926" s="26">
        <f t="shared" si="533"/>
        <v>2.9587907230224534E-2</v>
      </c>
      <c r="M926" s="26">
        <f t="shared" si="534"/>
        <v>-2.3967170542852303</v>
      </c>
      <c r="N926" s="26">
        <f t="shared" si="535"/>
        <v>8.3423380332270675E-2</v>
      </c>
      <c r="O926" s="26">
        <f t="shared" si="536"/>
        <v>-2.5892335892058078</v>
      </c>
      <c r="P926" s="26">
        <f t="shared" si="537"/>
        <v>6.9834550738420556E-2</v>
      </c>
      <c r="Q926" s="26">
        <f t="shared" si="538"/>
        <v>2.4384322384185175E-3</v>
      </c>
      <c r="R926" s="26">
        <f t="shared" si="539"/>
        <v>-9.2986383894888025</v>
      </c>
      <c r="S926" s="26">
        <f t="shared" si="540"/>
        <v>9.1540420045055644E-5</v>
      </c>
      <c r="T926" s="26">
        <f t="shared" si="541"/>
        <v>1.9362955962999715</v>
      </c>
      <c r="U926" s="26">
        <f t="shared" si="542"/>
        <v>0.87394461126334289</v>
      </c>
      <c r="V926" s="26">
        <f t="shared" si="543"/>
        <v>2.6756630011149705</v>
      </c>
      <c r="W926" s="26">
        <f t="shared" si="544"/>
        <v>0.935575207592097</v>
      </c>
      <c r="X926" s="26">
        <f t="shared" si="545"/>
        <v>2.0752769384006979E-3</v>
      </c>
      <c r="Y926" s="26">
        <f t="shared" si="546"/>
        <v>2.3984582680781408</v>
      </c>
      <c r="Z926" s="26">
        <f t="shared" si="547"/>
        <v>0.91670966316322533</v>
      </c>
      <c r="AA926" s="26">
        <f t="shared" si="548"/>
        <v>-7.0362490926621506</v>
      </c>
      <c r="AB926" s="26">
        <f t="shared" si="549"/>
        <v>8.7864630451204076E-4</v>
      </c>
      <c r="AC926" s="26">
        <f t="shared" si="550"/>
        <v>2.8246089351153962</v>
      </c>
      <c r="AD926" s="26">
        <f t="shared" si="551"/>
        <v>0.94399124823461367</v>
      </c>
      <c r="AE926" s="26">
        <f t="shared" si="552"/>
        <v>1.5684901371583334E-3</v>
      </c>
      <c r="AF926" s="26">
        <f t="shared" si="553"/>
        <v>-3.4098250405598884</v>
      </c>
      <c r="AG926" s="26">
        <f t="shared" si="554"/>
        <v>3.19898149215945E-2</v>
      </c>
      <c r="AH926" s="26">
        <f t="shared" si="555"/>
        <v>-2.7032364420769488</v>
      </c>
      <c r="AI926" s="26">
        <f t="shared" si="556"/>
        <v>6.2782650915441607E-2</v>
      </c>
      <c r="AJ926" s="26">
        <f t="shared" si="557"/>
        <v>-2.7156940060687349</v>
      </c>
      <c r="AK926" s="26">
        <f t="shared" si="558"/>
        <v>6.205361575858695E-2</v>
      </c>
      <c r="AL926" s="26">
        <f t="shared" si="559"/>
        <v>1.9253256143571752E-3</v>
      </c>
      <c r="AM926" s="27">
        <f t="shared" si="560"/>
        <v>8.0075249283347236E-3</v>
      </c>
    </row>
    <row r="927" spans="1:39" ht="15" customHeight="1" x14ac:dyDescent="0.2">
      <c r="A927" s="24">
        <v>916</v>
      </c>
      <c r="B927" s="29">
        <f t="shared" si="561"/>
        <v>5.8895841352393452</v>
      </c>
      <c r="C927" s="29">
        <f t="shared" si="562"/>
        <v>-5.8090353758719715</v>
      </c>
      <c r="D927" s="29">
        <f t="shared" si="563"/>
        <v>-3.4904605278878376</v>
      </c>
      <c r="E927" s="29">
        <f t="shared" si="564"/>
        <v>-4.6409829266714322</v>
      </c>
      <c r="F927" s="29">
        <f t="shared" si="565"/>
        <v>4.3345005621192616</v>
      </c>
      <c r="G927" s="29">
        <f t="shared" si="566"/>
        <v>-2.3976085973185031</v>
      </c>
      <c r="H927" s="29">
        <f t="shared" si="567"/>
        <v>6.7482922715172071</v>
      </c>
      <c r="I927" s="29">
        <f t="shared" si="568"/>
        <v>6.9145269889877916</v>
      </c>
      <c r="J927" s="29">
        <f t="shared" si="569"/>
        <v>-3.3667324253189452</v>
      </c>
      <c r="K927" s="26">
        <f t="shared" si="532"/>
        <v>-3.4904605278878376</v>
      </c>
      <c r="L927" s="26">
        <f t="shared" si="533"/>
        <v>2.9584879736254191E-2</v>
      </c>
      <c r="M927" s="26">
        <f t="shared" si="534"/>
        <v>-2.3976085973185031</v>
      </c>
      <c r="N927" s="26">
        <f t="shared" si="535"/>
        <v>8.3355234770647546E-2</v>
      </c>
      <c r="O927" s="26">
        <f t="shared" si="536"/>
        <v>-2.5907229895459589</v>
      </c>
      <c r="P927" s="26">
        <f t="shared" si="537"/>
        <v>6.9737864701918575E-2</v>
      </c>
      <c r="Q927" s="26">
        <f t="shared" si="538"/>
        <v>2.4316848865915505E-3</v>
      </c>
      <c r="R927" s="26">
        <f t="shared" si="539"/>
        <v>-9.2994959037598086</v>
      </c>
      <c r="S927" s="26">
        <f t="shared" si="540"/>
        <v>9.1461963651548827E-5</v>
      </c>
      <c r="T927" s="26">
        <f t="shared" si="541"/>
        <v>1.9368919648007585</v>
      </c>
      <c r="U927" s="26">
        <f t="shared" si="542"/>
        <v>0.87401029580412659</v>
      </c>
      <c r="V927" s="26">
        <f t="shared" si="543"/>
        <v>2.6772525657343387</v>
      </c>
      <c r="W927" s="26">
        <f t="shared" si="544"/>
        <v>0.93567095107857501</v>
      </c>
      <c r="X927" s="26">
        <f t="shared" si="545"/>
        <v>2.069113267567545E-3</v>
      </c>
      <c r="Y927" s="26">
        <f t="shared" si="546"/>
        <v>2.3991236073515076</v>
      </c>
      <c r="Z927" s="26">
        <f t="shared" si="547"/>
        <v>0.91676044976781301</v>
      </c>
      <c r="AA927" s="26">
        <f t="shared" si="548"/>
        <v>-7.0385915239899353</v>
      </c>
      <c r="AB927" s="26">
        <f t="shared" si="549"/>
        <v>8.7659234662399929E-4</v>
      </c>
      <c r="AC927" s="26">
        <f t="shared" si="550"/>
        <v>2.8258962541208978</v>
      </c>
      <c r="AD927" s="26">
        <f t="shared" si="551"/>
        <v>0.94405927218185792</v>
      </c>
      <c r="AE927" s="26">
        <f t="shared" si="552"/>
        <v>1.5646825144117274E-3</v>
      </c>
      <c r="AF927" s="26">
        <f t="shared" si="553"/>
        <v>-3.4099117685204638</v>
      </c>
      <c r="AG927" s="26">
        <f t="shared" si="554"/>
        <v>3.1987129372101582E-2</v>
      </c>
      <c r="AH927" s="26">
        <f t="shared" si="555"/>
        <v>-2.7040909618706737</v>
      </c>
      <c r="AI927" s="26">
        <f t="shared" si="556"/>
        <v>6.2732388906586986E-2</v>
      </c>
      <c r="AJ927" s="26">
        <f t="shared" si="557"/>
        <v>-2.717109131210897</v>
      </c>
      <c r="AK927" s="26">
        <f t="shared" si="558"/>
        <v>6.1971302307542935E-2</v>
      </c>
      <c r="AL927" s="26">
        <f t="shared" si="559"/>
        <v>1.9202211548464381E-3</v>
      </c>
      <c r="AM927" s="27">
        <f t="shared" si="560"/>
        <v>7.985701823417261E-3</v>
      </c>
    </row>
    <row r="928" spans="1:39" ht="15" customHeight="1" x14ac:dyDescent="0.2">
      <c r="A928" s="24">
        <v>917</v>
      </c>
      <c r="B928" s="29">
        <f t="shared" si="561"/>
        <v>5.890352761040063</v>
      </c>
      <c r="C928" s="29">
        <f t="shared" si="562"/>
        <v>-5.8097857308419423</v>
      </c>
      <c r="D928" s="29">
        <f t="shared" si="563"/>
        <v>-3.4905660365908355</v>
      </c>
      <c r="E928" s="29">
        <f t="shared" si="564"/>
        <v>-4.6424296230282156</v>
      </c>
      <c r="F928" s="29">
        <f t="shared" si="565"/>
        <v>4.3359841377378885</v>
      </c>
      <c r="G928" s="29">
        <f t="shared" si="566"/>
        <v>-2.3984973571718999</v>
      </c>
      <c r="H928" s="29">
        <f t="shared" si="567"/>
        <v>6.7507519365732866</v>
      </c>
      <c r="I928" s="29">
        <f t="shared" si="568"/>
        <v>6.9173106561508124</v>
      </c>
      <c r="J928" s="29">
        <f t="shared" si="569"/>
        <v>-3.3680327547378042</v>
      </c>
      <c r="K928" s="26">
        <f t="shared" si="532"/>
        <v>-3.4905660365908355</v>
      </c>
      <c r="L928" s="26">
        <f t="shared" si="533"/>
        <v>2.9581850772390336E-2</v>
      </c>
      <c r="M928" s="26">
        <f t="shared" si="534"/>
        <v>-2.3984973571718999</v>
      </c>
      <c r="N928" s="26">
        <f t="shared" si="535"/>
        <v>8.328735231360003E-2</v>
      </c>
      <c r="O928" s="26">
        <f t="shared" si="536"/>
        <v>-2.5922085286672156</v>
      </c>
      <c r="P928" s="26">
        <f t="shared" si="537"/>
        <v>6.9641552679316543E-2</v>
      </c>
      <c r="Q928" s="26">
        <f t="shared" si="538"/>
        <v>2.4249729297930104E-3</v>
      </c>
      <c r="R928" s="26">
        <f t="shared" si="539"/>
        <v>-9.3003517674327778</v>
      </c>
      <c r="S928" s="26">
        <f t="shared" si="540"/>
        <v>9.1383725318274587E-5</v>
      </c>
      <c r="T928" s="26">
        <f t="shared" si="541"/>
        <v>1.9374867805659886</v>
      </c>
      <c r="U928" s="26">
        <f t="shared" si="542"/>
        <v>0.87407578014451204</v>
      </c>
      <c r="V928" s="26">
        <f t="shared" si="543"/>
        <v>2.6788378623998277</v>
      </c>
      <c r="W928" s="26">
        <f t="shared" si="544"/>
        <v>0.93576630551040019</v>
      </c>
      <c r="X928" s="26">
        <f t="shared" si="545"/>
        <v>2.0629837538916227E-3</v>
      </c>
      <c r="Y928" s="26">
        <f t="shared" si="546"/>
        <v>2.3997867244492275</v>
      </c>
      <c r="Z928" s="26">
        <f t="shared" si="547"/>
        <v>0.91681103873329406</v>
      </c>
      <c r="AA928" s="26">
        <f t="shared" si="548"/>
        <v>-7.0409269802001155</v>
      </c>
      <c r="AB928" s="26">
        <f t="shared" si="549"/>
        <v>8.7454928067337264E-4</v>
      </c>
      <c r="AC928" s="26">
        <f t="shared" si="550"/>
        <v>2.8271806695212787</v>
      </c>
      <c r="AD928" s="26">
        <f t="shared" si="551"/>
        <v>0.94412706523400725</v>
      </c>
      <c r="AE928" s="26">
        <f t="shared" si="552"/>
        <v>1.5608924196824408E-3</v>
      </c>
      <c r="AF928" s="26">
        <f t="shared" si="553"/>
        <v>-3.4099990063927148</v>
      </c>
      <c r="AG928" s="26">
        <f t="shared" si="554"/>
        <v>3.1984428253015999E-2</v>
      </c>
      <c r="AH928" s="26">
        <f t="shared" si="555"/>
        <v>-2.704942842462227</v>
      </c>
      <c r="AI928" s="26">
        <f t="shared" si="556"/>
        <v>6.268231950640088E-2</v>
      </c>
      <c r="AJ928" s="26">
        <f t="shared" si="557"/>
        <v>-2.7185207370946904</v>
      </c>
      <c r="AK928" s="26">
        <f t="shared" si="558"/>
        <v>6.1889295164133162E-2</v>
      </c>
      <c r="AL928" s="26">
        <f t="shared" si="559"/>
        <v>1.9151424279565982E-3</v>
      </c>
      <c r="AM928" s="27">
        <f t="shared" si="560"/>
        <v>7.9639915313236727E-3</v>
      </c>
    </row>
    <row r="929" spans="1:39" ht="15" customHeight="1" x14ac:dyDescent="0.2">
      <c r="A929" s="24">
        <v>918</v>
      </c>
      <c r="B929" s="29">
        <f t="shared" si="561"/>
        <v>5.8911192377579003</v>
      </c>
      <c r="C929" s="29">
        <f t="shared" si="562"/>
        <v>-5.8105343808791146</v>
      </c>
      <c r="D929" s="29">
        <f t="shared" si="563"/>
        <v>-3.4906716053195748</v>
      </c>
      <c r="E929" s="29">
        <f t="shared" si="564"/>
        <v>-4.6438721495893782</v>
      </c>
      <c r="F929" s="29">
        <f t="shared" si="565"/>
        <v>4.3374634007080992</v>
      </c>
      <c r="G929" s="29">
        <f t="shared" si="566"/>
        <v>-2.3993833494044039</v>
      </c>
      <c r="H929" s="29">
        <f t="shared" si="567"/>
        <v>6.7532060566912717</v>
      </c>
      <c r="I929" s="29">
        <f t="shared" si="568"/>
        <v>6.9200869488373424</v>
      </c>
      <c r="J929" s="29">
        <f t="shared" si="569"/>
        <v>-3.3693298711331252</v>
      </c>
      <c r="K929" s="26">
        <f t="shared" si="532"/>
        <v>-3.4906716053195748</v>
      </c>
      <c r="L929" s="26">
        <f t="shared" si="533"/>
        <v>2.95788203862122E-2</v>
      </c>
      <c r="M929" s="26">
        <f t="shared" si="534"/>
        <v>-2.3993833494044039</v>
      </c>
      <c r="N929" s="26">
        <f t="shared" si="535"/>
        <v>8.3219731272683686E-2</v>
      </c>
      <c r="O929" s="26">
        <f t="shared" si="536"/>
        <v>-2.5936902258853243</v>
      </c>
      <c r="P929" s="26">
        <f t="shared" si="537"/>
        <v>6.9545612330697865E-2</v>
      </c>
      <c r="Q929" s="26">
        <f t="shared" si="538"/>
        <v>2.4182960972258575E-3</v>
      </c>
      <c r="R929" s="26">
        <f t="shared" si="539"/>
        <v>-9.3012059861986884</v>
      </c>
      <c r="S929" s="26">
        <f t="shared" si="540"/>
        <v>9.1305704081033514E-5</v>
      </c>
      <c r="T929" s="26">
        <f t="shared" si="541"/>
        <v>1.9380800513036953</v>
      </c>
      <c r="U929" s="26">
        <f t="shared" si="542"/>
        <v>0.87414106536858593</v>
      </c>
      <c r="V929" s="26">
        <f t="shared" si="543"/>
        <v>2.6804189130006071</v>
      </c>
      <c r="W929" s="26">
        <f t="shared" si="544"/>
        <v>0.93586127341856873</v>
      </c>
      <c r="X929" s="26">
        <f t="shared" si="545"/>
        <v>2.0568881237437993E-3</v>
      </c>
      <c r="Y929" s="26">
        <f t="shared" si="546"/>
        <v>2.4004476324383255</v>
      </c>
      <c r="Z929" s="26">
        <f t="shared" si="547"/>
        <v>0.91686143134890985</v>
      </c>
      <c r="AA929" s="26">
        <f t="shared" si="548"/>
        <v>-7.0432554989937817</v>
      </c>
      <c r="AB929" s="26">
        <f t="shared" si="549"/>
        <v>8.7251702003165944E-4</v>
      </c>
      <c r="AC929" s="26">
        <f t="shared" si="550"/>
        <v>2.8284621938419212</v>
      </c>
      <c r="AD929" s="26">
        <f t="shared" si="551"/>
        <v>0.94419462865196313</v>
      </c>
      <c r="AE929" s="26">
        <f t="shared" si="552"/>
        <v>1.5571197356461471E-3</v>
      </c>
      <c r="AF929" s="26">
        <f t="shared" si="553"/>
        <v>-3.4100867484407891</v>
      </c>
      <c r="AG929" s="26">
        <f t="shared" si="554"/>
        <v>3.1981711745764238E-2</v>
      </c>
      <c r="AH929" s="26">
        <f t="shared" si="555"/>
        <v>-2.7057920982856829</v>
      </c>
      <c r="AI929" s="26">
        <f t="shared" si="556"/>
        <v>6.2632441497230573E-2</v>
      </c>
      <c r="AJ929" s="26">
        <f t="shared" si="557"/>
        <v>-2.7199288406894722</v>
      </c>
      <c r="AK929" s="26">
        <f t="shared" si="558"/>
        <v>6.180759247932429E-2</v>
      </c>
      <c r="AL929" s="26">
        <f t="shared" si="559"/>
        <v>1.9100892440451123E-3</v>
      </c>
      <c r="AM929" s="27">
        <f t="shared" si="560"/>
        <v>7.9423932006609157E-3</v>
      </c>
    </row>
    <row r="930" spans="1:39" ht="15" customHeight="1" x14ac:dyDescent="0.2">
      <c r="A930" s="24">
        <v>919</v>
      </c>
      <c r="B930" s="29">
        <f t="shared" si="561"/>
        <v>5.8918835767323463</v>
      </c>
      <c r="C930" s="29">
        <f t="shared" si="562"/>
        <v>-5.8112813332691369</v>
      </c>
      <c r="D930" s="29">
        <f t="shared" si="563"/>
        <v>-3.4907772324536945</v>
      </c>
      <c r="E930" s="29">
        <f t="shared" si="564"/>
        <v>-4.6453105283290119</v>
      </c>
      <c r="F930" s="29">
        <f t="shared" si="565"/>
        <v>4.338938374116692</v>
      </c>
      <c r="G930" s="29">
        <f t="shared" si="566"/>
        <v>-2.4002665894512614</v>
      </c>
      <c r="H930" s="29">
        <f t="shared" si="567"/>
        <v>6.7556546558388035</v>
      </c>
      <c r="I930" s="29">
        <f t="shared" si="568"/>
        <v>6.9228559046059157</v>
      </c>
      <c r="J930" s="29">
        <f t="shared" si="569"/>
        <v>-3.3706237899560572</v>
      </c>
      <c r="K930" s="26">
        <f t="shared" si="532"/>
        <v>-3.4907772324536945</v>
      </c>
      <c r="L930" s="26">
        <f t="shared" si="533"/>
        <v>2.9575788624711316E-2</v>
      </c>
      <c r="M930" s="26">
        <f t="shared" si="534"/>
        <v>-2.4002665894512614</v>
      </c>
      <c r="N930" s="26">
        <f t="shared" si="535"/>
        <v>8.3152369974408238E-2</v>
      </c>
      <c r="O930" s="26">
        <f t="shared" si="536"/>
        <v>-2.5951681003741141</v>
      </c>
      <c r="P930" s="26">
        <f t="shared" si="537"/>
        <v>6.9450041336249185E-2</v>
      </c>
      <c r="Q930" s="26">
        <f t="shared" si="538"/>
        <v>2.4116541208033604E-3</v>
      </c>
      <c r="R930" s="26">
        <f t="shared" si="539"/>
        <v>-9.302058565722831</v>
      </c>
      <c r="S930" s="26">
        <f t="shared" si="540"/>
        <v>9.1227898981196992E-5</v>
      </c>
      <c r="T930" s="26">
        <f t="shared" si="541"/>
        <v>1.9386717846654307</v>
      </c>
      <c r="U930" s="26">
        <f t="shared" si="542"/>
        <v>0.87420615255200662</v>
      </c>
      <c r="V930" s="26">
        <f t="shared" si="543"/>
        <v>2.6819957392619171</v>
      </c>
      <c r="W930" s="26">
        <f t="shared" si="544"/>
        <v>0.9359558573116098</v>
      </c>
      <c r="X930" s="26">
        <f t="shared" si="545"/>
        <v>2.0508261063454424E-3</v>
      </c>
      <c r="Y930" s="26">
        <f t="shared" si="546"/>
        <v>2.4011063442786518</v>
      </c>
      <c r="Z930" s="26">
        <f t="shared" si="547"/>
        <v>0.91691162889236444</v>
      </c>
      <c r="AA930" s="26">
        <f t="shared" si="548"/>
        <v>-7.0455771177802733</v>
      </c>
      <c r="AB930" s="26">
        <f t="shared" si="549"/>
        <v>8.7049547897908263E-4</v>
      </c>
      <c r="AC930" s="26">
        <f t="shared" si="550"/>
        <v>2.8297408395299684</v>
      </c>
      <c r="AD930" s="26">
        <f t="shared" si="551"/>
        <v>0.9442619636872468</v>
      </c>
      <c r="AE930" s="26">
        <f t="shared" si="552"/>
        <v>1.5533643460008974E-3</v>
      </c>
      <c r="AF930" s="26">
        <f t="shared" si="553"/>
        <v>-3.4101749889904851</v>
      </c>
      <c r="AG930" s="26">
        <f t="shared" si="554"/>
        <v>3.1978980029827672E-2</v>
      </c>
      <c r="AH930" s="26">
        <f t="shared" si="555"/>
        <v>-2.7066387436635813</v>
      </c>
      <c r="AI930" s="26">
        <f t="shared" si="556"/>
        <v>6.2582753671993674E-2</v>
      </c>
      <c r="AJ930" s="26">
        <f t="shared" si="557"/>
        <v>-2.7213334588439166</v>
      </c>
      <c r="AK930" s="26">
        <f t="shared" si="558"/>
        <v>6.1726192419454033E-2</v>
      </c>
      <c r="AL930" s="26">
        <f t="shared" si="559"/>
        <v>1.9050614153017322E-3</v>
      </c>
      <c r="AM930" s="27">
        <f t="shared" si="560"/>
        <v>7.9209059884514325E-3</v>
      </c>
    </row>
    <row r="931" spans="1:39" ht="15" customHeight="1" x14ac:dyDescent="0.2">
      <c r="A931" s="24">
        <v>920</v>
      </c>
      <c r="B931" s="29">
        <f t="shared" si="561"/>
        <v>5.8926457892164104</v>
      </c>
      <c r="C931" s="29">
        <f t="shared" si="562"/>
        <v>-5.8120265952525036</v>
      </c>
      <c r="D931" s="29">
        <f t="shared" si="563"/>
        <v>-3.4908829163924167</v>
      </c>
      <c r="E931" s="29">
        <f t="shared" si="564"/>
        <v>-4.6467447810548483</v>
      </c>
      <c r="F931" s="29">
        <f t="shared" si="565"/>
        <v>4.3404090808720639</v>
      </c>
      <c r="G931" s="29">
        <f t="shared" si="566"/>
        <v>-2.4011470926252496</v>
      </c>
      <c r="H931" s="29">
        <f t="shared" si="567"/>
        <v>6.758097757832731</v>
      </c>
      <c r="I931" s="29">
        <f t="shared" si="568"/>
        <v>6.9256175607351906</v>
      </c>
      <c r="J931" s="29">
        <f t="shared" si="569"/>
        <v>-3.3719145265480504</v>
      </c>
      <c r="K931" s="26">
        <f t="shared" si="532"/>
        <v>-3.4908829163924167</v>
      </c>
      <c r="L931" s="26">
        <f t="shared" si="533"/>
        <v>2.9572755534298948E-2</v>
      </c>
      <c r="M931" s="26">
        <f t="shared" si="534"/>
        <v>-2.4011470926252496</v>
      </c>
      <c r="N931" s="26">
        <f t="shared" si="535"/>
        <v>8.3085266760069887E-2</v>
      </c>
      <c r="O931" s="26">
        <f t="shared" si="536"/>
        <v>-2.5966421711668612</v>
      </c>
      <c r="P931" s="26">
        <f t="shared" si="537"/>
        <v>6.9354837396041855E-2</v>
      </c>
      <c r="Q931" s="26">
        <f t="shared" si="538"/>
        <v>2.4050467351157028E-3</v>
      </c>
      <c r="R931" s="26">
        <f t="shared" si="539"/>
        <v>-9.3029095116449199</v>
      </c>
      <c r="S931" s="26">
        <f t="shared" si="540"/>
        <v>9.1150309065670551E-5</v>
      </c>
      <c r="T931" s="26">
        <f t="shared" si="541"/>
        <v>1.9392619882468143</v>
      </c>
      <c r="U931" s="26">
        <f t="shared" si="542"/>
        <v>0.87427104276208945</v>
      </c>
      <c r="V931" s="26">
        <f t="shared" si="543"/>
        <v>2.6835683627466653</v>
      </c>
      <c r="W931" s="26">
        <f t="shared" si="544"/>
        <v>0.93605005967583621</v>
      </c>
      <c r="X931" s="26">
        <f t="shared" si="545"/>
        <v>2.0447974337320552E-3</v>
      </c>
      <c r="Y931" s="26">
        <f t="shared" si="546"/>
        <v>2.4017628728239937</v>
      </c>
      <c r="Z931" s="26">
        <f t="shared" si="547"/>
        <v>0.91696163262995467</v>
      </c>
      <c r="AA931" s="26">
        <f t="shared" si="548"/>
        <v>-7.047891873680098</v>
      </c>
      <c r="AB931" s="26">
        <f t="shared" si="549"/>
        <v>8.6848457269281785E-4</v>
      </c>
      <c r="AC931" s="26">
        <f t="shared" si="550"/>
        <v>2.8310166189549553</v>
      </c>
      <c r="AD931" s="26">
        <f t="shared" si="551"/>
        <v>0.94432907158208645</v>
      </c>
      <c r="AE931" s="26">
        <f t="shared" si="552"/>
        <v>1.5496261354562271E-3</v>
      </c>
      <c r="AF931" s="26">
        <f t="shared" si="553"/>
        <v>-3.4102637224285099</v>
      </c>
      <c r="AG931" s="26">
        <f t="shared" si="554"/>
        <v>3.1976233282765464E-2</v>
      </c>
      <c r="AH931" s="26">
        <f t="shared" si="555"/>
        <v>-2.7074827928080341</v>
      </c>
      <c r="AI931" s="26">
        <f t="shared" si="556"/>
        <v>6.2533254834062205E-2</v>
      </c>
      <c r="AJ931" s="26">
        <f t="shared" si="557"/>
        <v>-2.7227346082871469</v>
      </c>
      <c r="AK931" s="26">
        <f t="shared" si="558"/>
        <v>6.1645093166068955E-2</v>
      </c>
      <c r="AL931" s="26">
        <f t="shared" si="559"/>
        <v>1.9000587557266608E-3</v>
      </c>
      <c r="AM931" s="27">
        <f t="shared" si="560"/>
        <v>7.899529060030646E-3</v>
      </c>
    </row>
    <row r="932" spans="1:39" ht="15" customHeight="1" x14ac:dyDescent="0.2">
      <c r="A932" s="24">
        <v>921</v>
      </c>
      <c r="B932" s="29">
        <f t="shared" si="561"/>
        <v>5.8934058863774759</v>
      </c>
      <c r="C932" s="29">
        <f t="shared" si="562"/>
        <v>-5.8127701740249158</v>
      </c>
      <c r="D932" s="29">
        <f t="shared" si="563"/>
        <v>-3.4909886555543004</v>
      </c>
      <c r="E932" s="29">
        <f t="shared" si="564"/>
        <v>-4.6481749294098869</v>
      </c>
      <c r="F932" s="29">
        <f t="shared" si="565"/>
        <v>4.3418755437060019</v>
      </c>
      <c r="G932" s="29">
        <f t="shared" si="566"/>
        <v>-2.4020248741179304</v>
      </c>
      <c r="H932" s="29">
        <f t="shared" si="567"/>
        <v>6.760535386340341</v>
      </c>
      <c r="I932" s="29">
        <f t="shared" si="568"/>
        <v>6.9283719542266784</v>
      </c>
      <c r="J932" s="29">
        <f t="shared" si="569"/>
        <v>-3.3732020961418825</v>
      </c>
      <c r="K932" s="26">
        <f t="shared" si="532"/>
        <v>-3.4909886555543004</v>
      </c>
      <c r="L932" s="26">
        <f t="shared" si="533"/>
        <v>2.9569721160813349E-2</v>
      </c>
      <c r="M932" s="26">
        <f t="shared" si="534"/>
        <v>-2.4020248741179304</v>
      </c>
      <c r="N932" s="26">
        <f t="shared" si="535"/>
        <v>8.301841998558547E-2</v>
      </c>
      <c r="O932" s="26">
        <f t="shared" si="536"/>
        <v>-2.598112457157645</v>
      </c>
      <c r="P932" s="26">
        <f t="shared" si="537"/>
        <v>6.9259998229815656E-2</v>
      </c>
      <c r="Q932" s="26">
        <f t="shared" si="538"/>
        <v>2.3984736773970338E-3</v>
      </c>
      <c r="R932" s="26">
        <f t="shared" si="539"/>
        <v>-9.3037588295792162</v>
      </c>
      <c r="S932" s="26">
        <f t="shared" si="540"/>
        <v>9.1072933386856532E-5</v>
      </c>
      <c r="T932" s="26">
        <f t="shared" si="541"/>
        <v>1.9398506695880715</v>
      </c>
      <c r="U932" s="26">
        <f t="shared" si="542"/>
        <v>0.87433573705789192</v>
      </c>
      <c r="V932" s="26">
        <f t="shared" si="543"/>
        <v>2.6851368048570268</v>
      </c>
      <c r="W932" s="26">
        <f t="shared" si="544"/>
        <v>0.93614388297559437</v>
      </c>
      <c r="X932" s="26">
        <f t="shared" si="545"/>
        <v>2.0388018407172933E-3</v>
      </c>
      <c r="Y932" s="26">
        <f t="shared" si="546"/>
        <v>2.4024172308231755</v>
      </c>
      <c r="Z932" s="26">
        <f t="shared" si="547"/>
        <v>0.91701144381669719</v>
      </c>
      <c r="AA932" s="26">
        <f t="shared" si="548"/>
        <v>-7.0501998035278177</v>
      </c>
      <c r="AB932" s="26">
        <f t="shared" si="549"/>
        <v>8.6648421723540007E-4</v>
      </c>
      <c r="AC932" s="26">
        <f t="shared" si="550"/>
        <v>2.8322895444094205</v>
      </c>
      <c r="AD932" s="26">
        <f t="shared" si="551"/>
        <v>0.9443959535695029</v>
      </c>
      <c r="AE932" s="26">
        <f t="shared" si="552"/>
        <v>1.5459049897224386E-3</v>
      </c>
      <c r="AF932" s="26">
        <f t="shared" si="553"/>
        <v>-3.4103529432017403</v>
      </c>
      <c r="AG932" s="26">
        <f t="shared" si="554"/>
        <v>3.1973471680237425E-2</v>
      </c>
      <c r="AH932" s="26">
        <f t="shared" si="555"/>
        <v>-2.7083242598218153</v>
      </c>
      <c r="AI932" s="26">
        <f t="shared" si="556"/>
        <v>6.2483943797148424E-2</v>
      </c>
      <c r="AJ932" s="26">
        <f t="shared" si="557"/>
        <v>-2.7241323056298477</v>
      </c>
      <c r="AK932" s="26">
        <f t="shared" si="558"/>
        <v>6.1564292915764311E-2</v>
      </c>
      <c r="AL932" s="26">
        <f t="shared" si="559"/>
        <v>1.8950810811090139E-3</v>
      </c>
      <c r="AM932" s="27">
        <f t="shared" si="560"/>
        <v>7.8782615889457785E-3</v>
      </c>
    </row>
    <row r="933" spans="1:39" ht="15" customHeight="1" x14ac:dyDescent="0.2">
      <c r="A933" s="24">
        <v>922</v>
      </c>
      <c r="B933" s="29">
        <f t="shared" si="561"/>
        <v>5.8941638792981426</v>
      </c>
      <c r="C933" s="29">
        <f t="shared" si="562"/>
        <v>-5.8135120767376423</v>
      </c>
      <c r="D933" s="29">
        <f t="shared" si="563"/>
        <v>-3.4910944483769999</v>
      </c>
      <c r="E933" s="29">
        <f t="shared" si="564"/>
        <v>-4.649600994874012</v>
      </c>
      <c r="F933" s="29">
        <f t="shared" si="565"/>
        <v>4.3433377851754553</v>
      </c>
      <c r="G933" s="29">
        <f t="shared" si="566"/>
        <v>-2.4028999490008864</v>
      </c>
      <c r="H933" s="29">
        <f t="shared" si="567"/>
        <v>6.7629675648805767</v>
      </c>
      <c r="I933" s="29">
        <f t="shared" si="568"/>
        <v>6.9311191218074395</v>
      </c>
      <c r="J933" s="29">
        <f t="shared" si="569"/>
        <v>-3.3744865138626725</v>
      </c>
      <c r="K933" s="26">
        <f t="shared" si="532"/>
        <v>-3.4910944483769999</v>
      </c>
      <c r="L933" s="26">
        <f t="shared" si="533"/>
        <v>2.9566685549527006E-2</v>
      </c>
      <c r="M933" s="26">
        <f t="shared" si="534"/>
        <v>-2.4028999490008864</v>
      </c>
      <c r="N933" s="26">
        <f t="shared" si="535"/>
        <v>8.2951828021329291E-2</v>
      </c>
      <c r="O933" s="26">
        <f t="shared" si="536"/>
        <v>-2.5995789771026807</v>
      </c>
      <c r="P933" s="26">
        <f t="shared" si="537"/>
        <v>6.9165521576765962E-2</v>
      </c>
      <c r="Q933" s="26">
        <f t="shared" si="538"/>
        <v>2.3919346874930391E-3</v>
      </c>
      <c r="R933" s="26">
        <f t="shared" si="539"/>
        <v>-9.304606525114643</v>
      </c>
      <c r="S933" s="26">
        <f t="shared" si="540"/>
        <v>9.0995771002617577E-5</v>
      </c>
      <c r="T933" s="26">
        <f t="shared" si="541"/>
        <v>1.9404378361745689</v>
      </c>
      <c r="U933" s="26">
        <f t="shared" si="542"/>
        <v>0.87440023649029575</v>
      </c>
      <c r="V933" s="26">
        <f t="shared" si="543"/>
        <v>2.6867010868359955</v>
      </c>
      <c r="W933" s="26">
        <f t="shared" si="544"/>
        <v>0.93623732965350659</v>
      </c>
      <c r="X933" s="26">
        <f t="shared" si="545"/>
        <v>2.0328390648577952E-3</v>
      </c>
      <c r="Y933" s="26">
        <f t="shared" si="546"/>
        <v>2.4030694309211427</v>
      </c>
      <c r="Z933" s="26">
        <f t="shared" si="547"/>
        <v>0.91706106369645612</v>
      </c>
      <c r="AA933" s="26">
        <f t="shared" si="548"/>
        <v>-7.0525009438748985</v>
      </c>
      <c r="AB933" s="26">
        <f t="shared" si="549"/>
        <v>8.6449432954331033E-4</v>
      </c>
      <c r="AC933" s="26">
        <f t="shared" si="550"/>
        <v>2.8335596281095325</v>
      </c>
      <c r="AD933" s="26">
        <f t="shared" si="551"/>
        <v>0.94446261087339611</v>
      </c>
      <c r="AE933" s="26">
        <f t="shared" si="552"/>
        <v>1.5422007954999097E-3</v>
      </c>
      <c r="AF933" s="26">
        <f t="shared" si="553"/>
        <v>-3.4104426458164996</v>
      </c>
      <c r="AG933" s="26">
        <f t="shared" si="554"/>
        <v>3.1970695396026365E-2</v>
      </c>
      <c r="AH933" s="26">
        <f t="shared" si="555"/>
        <v>-2.7091631586994431</v>
      </c>
      <c r="AI933" s="26">
        <f t="shared" si="556"/>
        <v>6.2434819385191707E-2</v>
      </c>
      <c r="AJ933" s="26">
        <f t="shared" si="557"/>
        <v>-2.7255265673653732</v>
      </c>
      <c r="AK933" s="26">
        <f t="shared" si="558"/>
        <v>6.1483789880025848E-2</v>
      </c>
      <c r="AL933" s="26">
        <f t="shared" si="559"/>
        <v>1.8901282090055844E-3</v>
      </c>
      <c r="AM933" s="27">
        <f t="shared" si="560"/>
        <v>7.8571027568563288E-3</v>
      </c>
    </row>
    <row r="934" spans="1:39" ht="15" customHeight="1" x14ac:dyDescent="0.2">
      <c r="A934" s="24">
        <v>923</v>
      </c>
      <c r="B934" s="29">
        <f t="shared" si="561"/>
        <v>5.8949197789770613</v>
      </c>
      <c r="C934" s="29">
        <f t="shared" si="562"/>
        <v>-5.8142523104978787</v>
      </c>
      <c r="D934" s="29">
        <f t="shared" si="563"/>
        <v>-3.4912002933170263</v>
      </c>
      <c r="E934" s="29">
        <f t="shared" si="564"/>
        <v>-4.6510229987655851</v>
      </c>
      <c r="F934" s="29">
        <f t="shared" si="565"/>
        <v>4.3447958276642842</v>
      </c>
      <c r="G934" s="29">
        <f t="shared" si="566"/>
        <v>-2.4037723322269433</v>
      </c>
      <c r="H934" s="29">
        <f t="shared" si="567"/>
        <v>6.7653943168252448</v>
      </c>
      <c r="I934" s="29">
        <f t="shared" si="568"/>
        <v>6.9338590999327465</v>
      </c>
      <c r="J934" s="29">
        <f t="shared" si="569"/>
        <v>-3.3757677947288829</v>
      </c>
      <c r="K934" s="26">
        <f t="shared" si="532"/>
        <v>-3.4912002933170263</v>
      </c>
      <c r="L934" s="26">
        <f t="shared" si="533"/>
        <v>2.9563648745153732E-2</v>
      </c>
      <c r="M934" s="26">
        <f t="shared" si="534"/>
        <v>-2.4037723322269433</v>
      </c>
      <c r="N934" s="26">
        <f t="shared" si="535"/>
        <v>8.288548925197177E-2</v>
      </c>
      <c r="O934" s="26">
        <f t="shared" si="536"/>
        <v>-2.6010417496216398</v>
      </c>
      <c r="P934" s="26">
        <f t="shared" si="537"/>
        <v>6.9071405195333363E-2</v>
      </c>
      <c r="Q934" s="26">
        <f t="shared" si="538"/>
        <v>2.3854295078289621E-3</v>
      </c>
      <c r="R934" s="26">
        <f t="shared" si="539"/>
        <v>-9.3054526038149046</v>
      </c>
      <c r="S934" s="26">
        <f t="shared" si="540"/>
        <v>9.0918820976240101E-5</v>
      </c>
      <c r="T934" s="26">
        <f t="shared" si="541"/>
        <v>1.9410234954373409</v>
      </c>
      <c r="U934" s="26">
        <f t="shared" si="542"/>
        <v>0.87446454210208979</v>
      </c>
      <c r="V934" s="26">
        <f t="shared" si="543"/>
        <v>2.6882612297689401</v>
      </c>
      <c r="W934" s="26">
        <f t="shared" si="544"/>
        <v>0.93633040213071506</v>
      </c>
      <c r="X934" s="26">
        <f t="shared" si="545"/>
        <v>2.0269088464182267E-3</v>
      </c>
      <c r="Y934" s="26">
        <f t="shared" si="546"/>
        <v>2.403719485660035</v>
      </c>
      <c r="Z934" s="26">
        <f t="shared" si="547"/>
        <v>0.91711049350206664</v>
      </c>
      <c r="AA934" s="26">
        <f t="shared" si="548"/>
        <v>-7.054795330992528</v>
      </c>
      <c r="AB934" s="26">
        <f t="shared" si="549"/>
        <v>8.6251482741573249E-4</v>
      </c>
      <c r="AC934" s="26">
        <f t="shared" si="550"/>
        <v>2.8348268821956979</v>
      </c>
      <c r="AD934" s="26">
        <f t="shared" si="551"/>
        <v>0.9445290447086292</v>
      </c>
      <c r="AE934" s="26">
        <f t="shared" si="552"/>
        <v>1.5385134404686293E-3</v>
      </c>
      <c r="AF934" s="26">
        <f t="shared" si="553"/>
        <v>-3.4105328248378437</v>
      </c>
      <c r="AG934" s="26">
        <f t="shared" si="554"/>
        <v>3.1967904602060213E-2</v>
      </c>
      <c r="AH934" s="26">
        <f t="shared" si="555"/>
        <v>-2.7099995033282442</v>
      </c>
      <c r="AI934" s="26">
        <f t="shared" si="556"/>
        <v>6.2385880432247333E-2</v>
      </c>
      <c r="AJ934" s="26">
        <f t="shared" si="557"/>
        <v>-2.7269174098708389</v>
      </c>
      <c r="AK934" s="26">
        <f t="shared" si="558"/>
        <v>6.1403582285073421E-2</v>
      </c>
      <c r="AL934" s="26">
        <f t="shared" si="559"/>
        <v>1.8851999587198912E-3</v>
      </c>
      <c r="AM934" s="27">
        <f t="shared" si="560"/>
        <v>7.8360517534357098E-3</v>
      </c>
    </row>
    <row r="935" spans="1:39" ht="15" customHeight="1" x14ac:dyDescent="0.2">
      <c r="A935" s="24">
        <v>924</v>
      </c>
      <c r="B935" s="29">
        <f t="shared" si="561"/>
        <v>5.8956735963297566</v>
      </c>
      <c r="C935" s="29">
        <f t="shared" si="562"/>
        <v>-5.8149908823690986</v>
      </c>
      <c r="D935" s="29">
        <f t="shared" si="563"/>
        <v>-3.4913061888495109</v>
      </c>
      <c r="E935" s="29">
        <f t="shared" si="564"/>
        <v>-4.6524409622430198</v>
      </c>
      <c r="F935" s="29">
        <f t="shared" si="565"/>
        <v>4.3462496933849861</v>
      </c>
      <c r="G935" s="29">
        <f t="shared" si="566"/>
        <v>-2.4046420386313767</v>
      </c>
      <c r="H935" s="29">
        <f t="shared" si="567"/>
        <v>6.7678156654002102</v>
      </c>
      <c r="I935" s="29">
        <f t="shared" si="568"/>
        <v>6.9365919247887176</v>
      </c>
      <c r="J935" s="29">
        <f t="shared" si="569"/>
        <v>-3.3770459536533095</v>
      </c>
      <c r="K935" s="26">
        <f t="shared" si="532"/>
        <v>-3.4913061888495109</v>
      </c>
      <c r="L935" s="26">
        <f t="shared" si="533"/>
        <v>2.9560610791855652E-2</v>
      </c>
      <c r="M935" s="26">
        <f t="shared" si="534"/>
        <v>-2.4046420386313767</v>
      </c>
      <c r="N935" s="26">
        <f t="shared" si="535"/>
        <v>8.2819402076320506E-2</v>
      </c>
      <c r="O935" s="26">
        <f t="shared" si="536"/>
        <v>-2.6025007931989554</v>
      </c>
      <c r="P935" s="26">
        <f t="shared" si="537"/>
        <v>6.8977646862996081E-2</v>
      </c>
      <c r="Q935" s="26">
        <f t="shared" si="538"/>
        <v>2.3789578833780965E-3</v>
      </c>
      <c r="R935" s="26">
        <f t="shared" si="539"/>
        <v>-9.3062970712186086</v>
      </c>
      <c r="S935" s="26">
        <f t="shared" si="540"/>
        <v>9.0842082376397555E-5</v>
      </c>
      <c r="T935" s="26">
        <f t="shared" si="541"/>
        <v>1.9416076547536094</v>
      </c>
      <c r="U935" s="26">
        <f t="shared" si="542"/>
        <v>0.87452865492805065</v>
      </c>
      <c r="V935" s="26">
        <f t="shared" si="543"/>
        <v>2.6898172545851309</v>
      </c>
      <c r="W935" s="26">
        <f t="shared" si="544"/>
        <v>0.93642310280711838</v>
      </c>
      <c r="X935" s="26">
        <f t="shared" si="545"/>
        <v>2.0210109283371196E-3</v>
      </c>
      <c r="Y935" s="26">
        <f t="shared" si="546"/>
        <v>2.4043674074802457</v>
      </c>
      <c r="Z935" s="26">
        <f t="shared" si="547"/>
        <v>0.91715973445545851</v>
      </c>
      <c r="AA935" s="26">
        <f t="shared" si="548"/>
        <v>-7.0570830008743961</v>
      </c>
      <c r="AB935" s="26">
        <f t="shared" si="549"/>
        <v>8.6054562950348655E-4</v>
      </c>
      <c r="AC935" s="26">
        <f t="shared" si="550"/>
        <v>2.8360913187331653</v>
      </c>
      <c r="AD935" s="26">
        <f t="shared" si="551"/>
        <v>0.94459525628111218</v>
      </c>
      <c r="AE935" s="26">
        <f t="shared" si="552"/>
        <v>1.5348428132778195E-3</v>
      </c>
      <c r="AF935" s="26">
        <f t="shared" si="553"/>
        <v>-3.4106234748888529</v>
      </c>
      <c r="AG935" s="26">
        <f t="shared" si="554"/>
        <v>3.1965099468433927E-2</v>
      </c>
      <c r="AH935" s="26">
        <f t="shared" si="555"/>
        <v>-2.7108333074894104</v>
      </c>
      <c r="AI935" s="26">
        <f t="shared" si="556"/>
        <v>6.2337125782376435E-2</v>
      </c>
      <c r="AJ935" s="26">
        <f t="shared" si="557"/>
        <v>-2.7283048494081954</v>
      </c>
      <c r="AK935" s="26">
        <f t="shared" si="558"/>
        <v>6.1323668371707253E-2</v>
      </c>
      <c r="AL935" s="26">
        <f t="shared" si="559"/>
        <v>1.8802961512815641E-3</v>
      </c>
      <c r="AM935" s="27">
        <f t="shared" si="560"/>
        <v>7.8151077762746001E-3</v>
      </c>
    </row>
    <row r="936" spans="1:39" ht="15" customHeight="1" x14ac:dyDescent="0.2">
      <c r="A936" s="24">
        <v>925</v>
      </c>
      <c r="B936" s="29">
        <f t="shared" si="561"/>
        <v>5.896425342189441</v>
      </c>
      <c r="C936" s="29">
        <f t="shared" si="562"/>
        <v>-5.8157277993714027</v>
      </c>
      <c r="D936" s="29">
        <f t="shared" si="563"/>
        <v>-3.4914121334679735</v>
      </c>
      <c r="E936" s="29">
        <f t="shared" si="564"/>
        <v>-4.6538549063063392</v>
      </c>
      <c r="F936" s="29">
        <f t="shared" si="565"/>
        <v>4.3476994043804043</v>
      </c>
      <c r="G936" s="29">
        <f t="shared" si="566"/>
        <v>-2.4055090829331025</v>
      </c>
      <c r="H936" s="29">
        <f t="shared" si="567"/>
        <v>6.7702316336865769</v>
      </c>
      <c r="I936" s="29">
        <f t="shared" si="568"/>
        <v>6.9393176322949151</v>
      </c>
      <c r="J936" s="29">
        <f t="shared" si="569"/>
        <v>-3.3783210054440622</v>
      </c>
      <c r="K936" s="26">
        <f t="shared" si="532"/>
        <v>-3.4914121334679735</v>
      </c>
      <c r="L936" s="26">
        <f t="shared" si="533"/>
        <v>2.9557571733250163E-2</v>
      </c>
      <c r="M936" s="26">
        <f t="shared" si="534"/>
        <v>-2.4055090829331025</v>
      </c>
      <c r="N936" s="26">
        <f t="shared" si="535"/>
        <v>8.2753564907163429E-2</v>
      </c>
      <c r="O936" s="26">
        <f t="shared" si="536"/>
        <v>-2.603956126185111</v>
      </c>
      <c r="P936" s="26">
        <f t="shared" si="537"/>
        <v>6.8884244376065093E-2</v>
      </c>
      <c r="Q936" s="26">
        <f t="shared" si="538"/>
        <v>2.3725195616307276E-3</v>
      </c>
      <c r="R936" s="26">
        <f t="shared" si="539"/>
        <v>-9.3071399328393767</v>
      </c>
      <c r="S936" s="26">
        <f t="shared" si="540"/>
        <v>9.0765554277115148E-5</v>
      </c>
      <c r="T936" s="26">
        <f t="shared" si="541"/>
        <v>1.9421903214473017</v>
      </c>
      <c r="U936" s="26">
        <f t="shared" si="542"/>
        <v>0.87459257599502327</v>
      </c>
      <c r="V936" s="26">
        <f t="shared" si="543"/>
        <v>2.6913691820592498</v>
      </c>
      <c r="W936" s="26">
        <f t="shared" si="544"/>
        <v>0.93651543406160742</v>
      </c>
      <c r="X936" s="26">
        <f t="shared" si="545"/>
        <v>2.0151450561930575E-3</v>
      </c>
      <c r="Y936" s="26">
        <f t="shared" si="546"/>
        <v>2.4050132087214675</v>
      </c>
      <c r="Z936" s="26">
        <f t="shared" si="547"/>
        <v>0.91720878776777681</v>
      </c>
      <c r="AA936" s="26">
        <f t="shared" si="548"/>
        <v>-7.0593639892394418</v>
      </c>
      <c r="AB936" s="26">
        <f t="shared" si="549"/>
        <v>8.5858665529812896E-4</v>
      </c>
      <c r="AC936" s="26">
        <f t="shared" si="550"/>
        <v>2.8373529497126211</v>
      </c>
      <c r="AD936" s="26">
        <f t="shared" si="551"/>
        <v>0.94466124678788499</v>
      </c>
      <c r="AE936" s="26">
        <f t="shared" si="552"/>
        <v>1.5311888035356848E-3</v>
      </c>
      <c r="AF936" s="26">
        <f t="shared" si="553"/>
        <v>-3.4107145906499352</v>
      </c>
      <c r="AG936" s="26">
        <f t="shared" si="554"/>
        <v>3.196228016343107E-2</v>
      </c>
      <c r="AH936" s="26">
        <f t="shared" si="555"/>
        <v>-2.7116645848590375</v>
      </c>
      <c r="AI936" s="26">
        <f t="shared" si="556"/>
        <v>6.2288554289537515E-2</v>
      </c>
      <c r="AJ936" s="26">
        <f t="shared" si="557"/>
        <v>-2.7296889021253015</v>
      </c>
      <c r="AK936" s="26">
        <f t="shared" si="558"/>
        <v>6.1244046395155224E-2</v>
      </c>
      <c r="AL936" s="26">
        <f t="shared" si="559"/>
        <v>1.8754166094259628E-3</v>
      </c>
      <c r="AM936" s="27">
        <f t="shared" si="560"/>
        <v>7.7942700307854322E-3</v>
      </c>
    </row>
    <row r="937" spans="1:39" ht="15" customHeight="1" x14ac:dyDescent="0.2">
      <c r="A937" s="24">
        <v>926</v>
      </c>
      <c r="B937" s="29">
        <f t="shared" si="561"/>
        <v>5.8971750273078172</v>
      </c>
      <c r="C937" s="29">
        <f t="shared" si="562"/>
        <v>-5.8164630684818688</v>
      </c>
      <c r="D937" s="29">
        <f t="shared" si="563"/>
        <v>-3.4915181256840935</v>
      </c>
      <c r="E937" s="29">
        <f t="shared" si="564"/>
        <v>-4.6552648517987105</v>
      </c>
      <c r="F937" s="29">
        <f t="shared" si="565"/>
        <v>4.3491449825254129</v>
      </c>
      <c r="G937" s="29">
        <f t="shared" si="566"/>
        <v>-2.4063734797358545</v>
      </c>
      <c r="H937" s="29">
        <f t="shared" si="567"/>
        <v>6.7726422446218608</v>
      </c>
      <c r="I937" s="29">
        <f t="shared" si="568"/>
        <v>6.942036258106917</v>
      </c>
      <c r="J937" s="29">
        <f t="shared" si="569"/>
        <v>-3.3795929648055321</v>
      </c>
      <c r="K937" s="26">
        <f t="shared" si="532"/>
        <v>-3.4915181256840935</v>
      </c>
      <c r="L937" s="26">
        <f t="shared" si="533"/>
        <v>2.955453161241671E-2</v>
      </c>
      <c r="M937" s="26">
        <f t="shared" si="534"/>
        <v>-2.4063734797358545</v>
      </c>
      <c r="N937" s="26">
        <f t="shared" si="535"/>
        <v>8.2687976171114036E-2</v>
      </c>
      <c r="O937" s="26">
        <f t="shared" si="536"/>
        <v>-2.6054077667979119</v>
      </c>
      <c r="P937" s="26">
        <f t="shared" si="537"/>
        <v>6.8791195549482084E-2</v>
      </c>
      <c r="Q937" s="26">
        <f t="shared" si="538"/>
        <v>2.3661142925635419E-3</v>
      </c>
      <c r="R937" s="26">
        <f t="shared" si="539"/>
        <v>-9.3079811941659614</v>
      </c>
      <c r="S937" s="26">
        <f t="shared" si="540"/>
        <v>9.0689235757734148E-5</v>
      </c>
      <c r="T937" s="26">
        <f t="shared" si="541"/>
        <v>1.9427715027895585</v>
      </c>
      <c r="U937" s="26">
        <f t="shared" si="542"/>
        <v>0.87465630632200009</v>
      </c>
      <c r="V937" s="26">
        <f t="shared" si="543"/>
        <v>2.692917032812888</v>
      </c>
      <c r="W937" s="26">
        <f t="shared" si="544"/>
        <v>0.93660739825229722</v>
      </c>
      <c r="X937" s="26">
        <f t="shared" si="545"/>
        <v>2.0093109781714248E-3</v>
      </c>
      <c r="Y937" s="26">
        <f t="shared" si="546"/>
        <v>2.4056569016237237</v>
      </c>
      <c r="Z937" s="26">
        <f t="shared" si="547"/>
        <v>0.91725765463950248</v>
      </c>
      <c r="AA937" s="26">
        <f t="shared" si="548"/>
        <v>-7.0616383315345654</v>
      </c>
      <c r="AB937" s="26">
        <f t="shared" si="549"/>
        <v>8.5663782512121879E-4</v>
      </c>
      <c r="AC937" s="26">
        <f t="shared" si="550"/>
        <v>2.8386117870507892</v>
      </c>
      <c r="AD937" s="26">
        <f t="shared" si="551"/>
        <v>0.94472701741719922</v>
      </c>
      <c r="AE937" s="26">
        <f t="shared" si="552"/>
        <v>1.5275513017992991E-3</v>
      </c>
      <c r="AF937" s="26">
        <f t="shared" si="553"/>
        <v>-3.4108061668581451</v>
      </c>
      <c r="AG937" s="26">
        <f t="shared" si="554"/>
        <v>3.1959446853544946E-2</v>
      </c>
      <c r="AH937" s="26">
        <f t="shared" si="555"/>
        <v>-2.7124933490091521</v>
      </c>
      <c r="AI937" s="26">
        <f t="shared" si="556"/>
        <v>6.2240164817479668E-2</v>
      </c>
      <c r="AJ937" s="26">
        <f t="shared" si="557"/>
        <v>-2.7310695840569719</v>
      </c>
      <c r="AK937" s="26">
        <f t="shared" si="558"/>
        <v>6.1164714624922983E-2</v>
      </c>
      <c r="AL937" s="26">
        <f t="shared" si="559"/>
        <v>1.8705611575741338E-3</v>
      </c>
      <c r="AM937" s="27">
        <f t="shared" si="560"/>
        <v>7.7735377301083996E-3</v>
      </c>
    </row>
    <row r="938" spans="1:39" ht="15" customHeight="1" x14ac:dyDescent="0.2">
      <c r="A938" s="24">
        <v>927</v>
      </c>
      <c r="B938" s="29">
        <f t="shared" si="561"/>
        <v>5.8979226623558745</v>
      </c>
      <c r="C938" s="29">
        <f t="shared" si="562"/>
        <v>-5.8171966966348903</v>
      </c>
      <c r="D938" s="29">
        <f t="shared" si="563"/>
        <v>-3.4916241640274834</v>
      </c>
      <c r="E938" s="29">
        <f t="shared" si="564"/>
        <v>-4.6566708194079682</v>
      </c>
      <c r="F938" s="29">
        <f t="shared" si="565"/>
        <v>4.3505864495285804</v>
      </c>
      <c r="G938" s="29">
        <f t="shared" si="566"/>
        <v>-2.4072352435293474</v>
      </c>
      <c r="H938" s="29">
        <f t="shared" si="567"/>
        <v>6.7750475210011487</v>
      </c>
      <c r="I938" s="29">
        <f t="shared" si="568"/>
        <v>6.9447478376188547</v>
      </c>
      <c r="J938" s="29">
        <f t="shared" si="569"/>
        <v>-3.3808618463393492</v>
      </c>
      <c r="K938" s="26">
        <f t="shared" si="532"/>
        <v>-3.4916241640274834</v>
      </c>
      <c r="L938" s="26">
        <f t="shared" si="533"/>
        <v>2.9551490471903526E-2</v>
      </c>
      <c r="M938" s="26">
        <f t="shared" si="534"/>
        <v>-2.4072352435293474</v>
      </c>
      <c r="N938" s="26">
        <f t="shared" si="535"/>
        <v>8.2622634308458551E-2</v>
      </c>
      <c r="O938" s="26">
        <f t="shared" si="536"/>
        <v>-2.6068557331237492</v>
      </c>
      <c r="P938" s="26">
        <f t="shared" si="537"/>
        <v>6.869849821661958E-2</v>
      </c>
      <c r="Q938" s="26">
        <f t="shared" si="538"/>
        <v>2.3597418286094417E-3</v>
      </c>
      <c r="R938" s="26">
        <f t="shared" si="539"/>
        <v>-9.3088208606623741</v>
      </c>
      <c r="S938" s="26">
        <f t="shared" si="540"/>
        <v>9.0613125902875292E-5</v>
      </c>
      <c r="T938" s="26">
        <f t="shared" si="541"/>
        <v>1.9433512059992331</v>
      </c>
      <c r="U938" s="26">
        <f t="shared" si="542"/>
        <v>0.87471984692019911</v>
      </c>
      <c r="V938" s="26">
        <f t="shared" si="543"/>
        <v>2.6944608273160178</v>
      </c>
      <c r="W938" s="26">
        <f t="shared" si="544"/>
        <v>0.93669899771675624</v>
      </c>
      <c r="X938" s="26">
        <f t="shared" si="545"/>
        <v>2.0035084450316155E-3</v>
      </c>
      <c r="Y938" s="26">
        <f t="shared" si="546"/>
        <v>2.406298498328391</v>
      </c>
      <c r="Z938" s="26">
        <f t="shared" si="547"/>
        <v>0.91730633626056979</v>
      </c>
      <c r="AA938" s="26">
        <f t="shared" si="548"/>
        <v>-7.0639060629373152</v>
      </c>
      <c r="AB938" s="26">
        <f t="shared" si="549"/>
        <v>8.5469906011374341E-4</v>
      </c>
      <c r="AC938" s="26">
        <f t="shared" si="550"/>
        <v>2.8398678425910093</v>
      </c>
      <c r="AD938" s="26">
        <f t="shared" si="551"/>
        <v>0.94479256934859812</v>
      </c>
      <c r="AE938" s="26">
        <f t="shared" si="552"/>
        <v>1.5239301995646738E-3</v>
      </c>
      <c r="AF938" s="26">
        <f t="shared" si="553"/>
        <v>-3.4108981983064992</v>
      </c>
      <c r="AG938" s="26">
        <f t="shared" si="554"/>
        <v>3.1956599703499768E-2</v>
      </c>
      <c r="AH938" s="26">
        <f t="shared" si="555"/>
        <v>-2.7133196134087352</v>
      </c>
      <c r="AI938" s="26">
        <f t="shared" si="556"/>
        <v>6.2191956239636297E-2</v>
      </c>
      <c r="AJ938" s="26">
        <f t="shared" si="557"/>
        <v>-2.7324469111260266</v>
      </c>
      <c r="AK938" s="26">
        <f t="shared" si="558"/>
        <v>6.1085671344645119E-2</v>
      </c>
      <c r="AL938" s="26">
        <f t="shared" si="559"/>
        <v>1.8657296218129989E-3</v>
      </c>
      <c r="AM938" s="27">
        <f t="shared" si="560"/>
        <v>7.752910095018729E-3</v>
      </c>
    </row>
    <row r="939" spans="1:39" ht="15" customHeight="1" x14ac:dyDescent="0.2">
      <c r="A939" s="24">
        <v>928</v>
      </c>
      <c r="B939" s="29">
        <f t="shared" si="561"/>
        <v>5.8986682579246716</v>
      </c>
      <c r="C939" s="29">
        <f t="shared" si="562"/>
        <v>-5.8179286907225194</v>
      </c>
      <c r="D939" s="29">
        <f t="shared" si="563"/>
        <v>-3.4917302470454672</v>
      </c>
      <c r="E939" s="29">
        <f t="shared" si="564"/>
        <v>-4.6580728296681126</v>
      </c>
      <c r="F939" s="29">
        <f t="shared" si="565"/>
        <v>4.3520238269338165</v>
      </c>
      <c r="G939" s="29">
        <f t="shared" si="566"/>
        <v>-2.4080943886904236</v>
      </c>
      <c r="H939" s="29">
        <f t="shared" si="567"/>
        <v>6.7774474854782483</v>
      </c>
      <c r="I939" s="29">
        <f t="shared" si="568"/>
        <v>6.9474524059659224</v>
      </c>
      <c r="J939" s="29">
        <f t="shared" si="569"/>
        <v>-3.3821276645453278</v>
      </c>
      <c r="K939" s="26">
        <f t="shared" si="532"/>
        <v>-3.4917302470454672</v>
      </c>
      <c r="L939" s="26">
        <f t="shared" si="533"/>
        <v>2.9548448353734238E-2</v>
      </c>
      <c r="M939" s="26">
        <f t="shared" si="534"/>
        <v>-2.4080943886904236</v>
      </c>
      <c r="N939" s="26">
        <f t="shared" si="535"/>
        <v>8.2557537773005424E-2</v>
      </c>
      <c r="O939" s="26">
        <f t="shared" si="536"/>
        <v>-2.608300043118839</v>
      </c>
      <c r="P939" s="26">
        <f t="shared" si="537"/>
        <v>6.8606150229084215E-2</v>
      </c>
      <c r="Q939" s="26">
        <f t="shared" si="538"/>
        <v>2.3534019246278359E-3</v>
      </c>
      <c r="R939" s="26">
        <f t="shared" si="539"/>
        <v>-9.3096589377679866</v>
      </c>
      <c r="S939" s="26">
        <f t="shared" si="540"/>
        <v>9.0537223802405052E-5</v>
      </c>
      <c r="T939" s="26">
        <f t="shared" si="541"/>
        <v>1.9439294382433929</v>
      </c>
      <c r="U939" s="26">
        <f t="shared" si="542"/>
        <v>0.87478319879314048</v>
      </c>
      <c r="V939" s="26">
        <f t="shared" si="543"/>
        <v>2.6960005858884433</v>
      </c>
      <c r="W939" s="26">
        <f t="shared" si="544"/>
        <v>0.93679023477223089</v>
      </c>
      <c r="X939" s="26">
        <f t="shared" si="545"/>
        <v>1.9977372100748445E-3</v>
      </c>
      <c r="Y939" s="26">
        <f t="shared" si="546"/>
        <v>2.4069380108792044</v>
      </c>
      <c r="Z939" s="26">
        <f t="shared" si="547"/>
        <v>0.91735483381048299</v>
      </c>
      <c r="AA939" s="26">
        <f t="shared" si="548"/>
        <v>-7.0661672183585367</v>
      </c>
      <c r="AB939" s="26">
        <f t="shared" si="549"/>
        <v>8.5277028222570427E-4</v>
      </c>
      <c r="AC939" s="26">
        <f t="shared" si="550"/>
        <v>2.8411211281038318</v>
      </c>
      <c r="AD939" s="26">
        <f t="shared" si="551"/>
        <v>0.9448579037529985</v>
      </c>
      <c r="AE939" s="26">
        <f t="shared" si="552"/>
        <v>1.5203253892567886E-3</v>
      </c>
      <c r="AF939" s="26">
        <f t="shared" si="553"/>
        <v>-3.4109906798433149</v>
      </c>
      <c r="AG939" s="26">
        <f t="shared" si="554"/>
        <v>3.1953738876271218E-2</v>
      </c>
      <c r="AH939" s="26">
        <f t="shared" si="555"/>
        <v>-2.7141433914247197</v>
      </c>
      <c r="AI939" s="26">
        <f t="shared" si="556"/>
        <v>6.2143927439021321E-2</v>
      </c>
      <c r="AJ939" s="26">
        <f t="shared" si="557"/>
        <v>-2.7338208991443143</v>
      </c>
      <c r="AK939" s="26">
        <f t="shared" si="558"/>
        <v>6.1006914851939001E-2</v>
      </c>
      <c r="AL939" s="26">
        <f t="shared" si="559"/>
        <v>1.8609218298758677E-3</v>
      </c>
      <c r="AM939" s="27">
        <f t="shared" si="560"/>
        <v>7.732386353835336E-3</v>
      </c>
    </row>
    <row r="940" spans="1:39" ht="15" customHeight="1" x14ac:dyDescent="0.2">
      <c r="A940" s="24">
        <v>929</v>
      </c>
      <c r="B940" s="29">
        <f t="shared" si="561"/>
        <v>5.8994118245261138</v>
      </c>
      <c r="C940" s="29">
        <f t="shared" si="562"/>
        <v>-5.8186590575948021</v>
      </c>
      <c r="D940" s="29">
        <f t="shared" si="563"/>
        <v>-3.491836373302859</v>
      </c>
      <c r="E940" s="29">
        <f t="shared" si="564"/>
        <v>-4.6594709029607939</v>
      </c>
      <c r="F940" s="29">
        <f t="shared" si="565"/>
        <v>4.3534571361219951</v>
      </c>
      <c r="G940" s="29">
        <f t="shared" si="566"/>
        <v>-2.4089509294841873</v>
      </c>
      <c r="H940" s="29">
        <f t="shared" si="567"/>
        <v>6.7798421605668215</v>
      </c>
      <c r="I940" s="29">
        <f t="shared" si="568"/>
        <v>6.9501499980268564</v>
      </c>
      <c r="J940" s="29">
        <f t="shared" si="569"/>
        <v>-3.3833904338224019</v>
      </c>
      <c r="K940" s="26">
        <f t="shared" si="532"/>
        <v>-3.491836373302859</v>
      </c>
      <c r="L940" s="26">
        <f t="shared" si="533"/>
        <v>2.9545405299414448E-2</v>
      </c>
      <c r="M940" s="26">
        <f t="shared" si="534"/>
        <v>-2.4089509294841873</v>
      </c>
      <c r="N940" s="26">
        <f t="shared" si="535"/>
        <v>8.2492685031936547E-2</v>
      </c>
      <c r="O940" s="26">
        <f t="shared" si="536"/>
        <v>-2.6097407146104534</v>
      </c>
      <c r="P940" s="26">
        <f t="shared" si="537"/>
        <v>6.8514149456522247E-2</v>
      </c>
      <c r="Q940" s="26">
        <f t="shared" si="538"/>
        <v>2.3470943378753337E-3</v>
      </c>
      <c r="R940" s="26">
        <f t="shared" si="539"/>
        <v>-9.3104954308976602</v>
      </c>
      <c r="S940" s="26">
        <f t="shared" si="540"/>
        <v>9.0461528551399331E-5</v>
      </c>
      <c r="T940" s="26">
        <f t="shared" si="541"/>
        <v>1.9445062066378078</v>
      </c>
      <c r="U940" s="26">
        <f t="shared" si="542"/>
        <v>0.87484636293672458</v>
      </c>
      <c r="V940" s="26">
        <f t="shared" si="543"/>
        <v>2.697536328701259</v>
      </c>
      <c r="W940" s="26">
        <f t="shared" si="544"/>
        <v>0.93688111171587019</v>
      </c>
      <c r="X940" s="26">
        <f t="shared" si="545"/>
        <v>1.9919970291122301E-3</v>
      </c>
      <c r="Y940" s="26">
        <f t="shared" si="546"/>
        <v>2.4075754512232548</v>
      </c>
      <c r="Z940" s="26">
        <f t="shared" si="547"/>
        <v>0.91740314845843129</v>
      </c>
      <c r="AA940" s="26">
        <f t="shared" si="548"/>
        <v>-7.0684218324449812</v>
      </c>
      <c r="AB940" s="26">
        <f t="shared" si="549"/>
        <v>8.5085141420587057E-4</v>
      </c>
      <c r="AC940" s="26">
        <f t="shared" si="550"/>
        <v>2.8423716552875775</v>
      </c>
      <c r="AD940" s="26">
        <f t="shared" si="551"/>
        <v>0.94492302179276833</v>
      </c>
      <c r="AE940" s="26">
        <f t="shared" si="552"/>
        <v>1.5167367642199363E-3</v>
      </c>
      <c r="AF940" s="26">
        <f t="shared" si="553"/>
        <v>-3.4110836063715473</v>
      </c>
      <c r="AG940" s="26">
        <f t="shared" si="554"/>
        <v>3.1950864533107012E-2</v>
      </c>
      <c r="AH940" s="26">
        <f t="shared" si="555"/>
        <v>-2.7149646963229861</v>
      </c>
      <c r="AI940" s="26">
        <f t="shared" si="556"/>
        <v>6.2096077308126017E-2</v>
      </c>
      <c r="AJ940" s="26">
        <f t="shared" si="557"/>
        <v>-2.7351915638137365</v>
      </c>
      <c r="AK940" s="26">
        <f t="shared" si="558"/>
        <v>6.0928443458259728E-2</v>
      </c>
      <c r="AL940" s="26">
        <f t="shared" si="559"/>
        <v>1.8561376111231763E-3</v>
      </c>
      <c r="AM940" s="27">
        <f t="shared" si="560"/>
        <v>7.7119657423306764E-3</v>
      </c>
    </row>
    <row r="941" spans="1:39" ht="15" customHeight="1" x14ac:dyDescent="0.2">
      <c r="A941" s="24">
        <v>930</v>
      </c>
      <c r="B941" s="29">
        <f t="shared" si="561"/>
        <v>5.9001533725937181</v>
      </c>
      <c r="C941" s="29">
        <f t="shared" si="562"/>
        <v>-5.8193878040601099</v>
      </c>
      <c r="D941" s="29">
        <f t="shared" si="563"/>
        <v>-3.4919425413817473</v>
      </c>
      <c r="E941" s="29">
        <f t="shared" si="564"/>
        <v>-4.6608650595167775</v>
      </c>
      <c r="F941" s="29">
        <f t="shared" si="565"/>
        <v>4.3548863983125621</v>
      </c>
      <c r="G941" s="29">
        <f t="shared" si="566"/>
        <v>-2.4098048800651255</v>
      </c>
      <c r="H941" s="29">
        <f t="shared" si="567"/>
        <v>6.7822315686415129</v>
      </c>
      <c r="I941" s="29">
        <f t="shared" si="568"/>
        <v>6.9528406484263865</v>
      </c>
      <c r="J941" s="29">
        <f t="shared" si="569"/>
        <v>-3.3846501684695509</v>
      </c>
      <c r="K941" s="26">
        <f t="shared" si="532"/>
        <v>-3.4919425413817473</v>
      </c>
      <c r="L941" s="26">
        <f t="shared" si="533"/>
        <v>2.9542361349938179E-2</v>
      </c>
      <c r="M941" s="26">
        <f t="shared" si="534"/>
        <v>-2.4098048800651255</v>
      </c>
      <c r="N941" s="26">
        <f t="shared" si="535"/>
        <v>8.2428074565660633E-2</v>
      </c>
      <c r="O941" s="26">
        <f t="shared" si="536"/>
        <v>-2.6111777652981392</v>
      </c>
      <c r="P941" s="26">
        <f t="shared" si="537"/>
        <v>6.8422493786427341E-2</v>
      </c>
      <c r="Q941" s="26">
        <f t="shared" si="538"/>
        <v>2.3408188279768439E-3</v>
      </c>
      <c r="R941" s="26">
        <f t="shared" si="539"/>
        <v>-9.3113303454418563</v>
      </c>
      <c r="S941" s="26">
        <f t="shared" si="540"/>
        <v>9.0386039250109292E-5</v>
      </c>
      <c r="T941" s="26">
        <f t="shared" si="541"/>
        <v>1.9450815182474366</v>
      </c>
      <c r="U941" s="26">
        <f t="shared" si="542"/>
        <v>0.87490934033930545</v>
      </c>
      <c r="V941" s="26">
        <f t="shared" si="543"/>
        <v>2.6990680757782544</v>
      </c>
      <c r="W941" s="26">
        <f t="shared" si="544"/>
        <v>0.93697163082494439</v>
      </c>
      <c r="X941" s="26">
        <f t="shared" si="545"/>
        <v>1.9862876604335501E-3</v>
      </c>
      <c r="Y941" s="26">
        <f t="shared" si="546"/>
        <v>2.4082108312119708</v>
      </c>
      <c r="Z941" s="26">
        <f t="shared" si="547"/>
        <v>0.91745128136340259</v>
      </c>
      <c r="AA941" s="26">
        <f t="shared" si="548"/>
        <v>-7.0706699395819026</v>
      </c>
      <c r="AB941" s="26">
        <f t="shared" si="549"/>
        <v>8.4894237959166896E-4</v>
      </c>
      <c r="AC941" s="26">
        <f t="shared" si="550"/>
        <v>2.8436194357689217</v>
      </c>
      <c r="AD941" s="26">
        <f t="shared" si="551"/>
        <v>0.94498792462180548</v>
      </c>
      <c r="AE941" s="26">
        <f t="shared" si="552"/>
        <v>1.5131642187080781E-3</v>
      </c>
      <c r="AF941" s="26">
        <f t="shared" si="553"/>
        <v>-3.4111769728481391</v>
      </c>
      <c r="AG941" s="26">
        <f t="shared" si="554"/>
        <v>3.194797683354704E-2</v>
      </c>
      <c r="AH941" s="26">
        <f t="shared" si="555"/>
        <v>-2.715783541269341</v>
      </c>
      <c r="AI941" s="26">
        <f t="shared" si="556"/>
        <v>6.2048404748817509E-2</v>
      </c>
      <c r="AJ941" s="26">
        <f t="shared" si="557"/>
        <v>-2.7365589207272492</v>
      </c>
      <c r="AK941" s="26">
        <f t="shared" si="558"/>
        <v>6.0850255488757617E-2</v>
      </c>
      <c r="AL941" s="26">
        <f t="shared" si="559"/>
        <v>1.8513767965235382E-3</v>
      </c>
      <c r="AM941" s="27">
        <f t="shared" si="560"/>
        <v>7.6916475036420111E-3</v>
      </c>
    </row>
    <row r="942" spans="1:39" ht="15" customHeight="1" x14ac:dyDescent="0.2">
      <c r="A942" s="24">
        <v>931</v>
      </c>
      <c r="B942" s="29">
        <f t="shared" si="561"/>
        <v>5.9008929124833704</v>
      </c>
      <c r="C942" s="29">
        <f t="shared" si="562"/>
        <v>-5.8201149368854734</v>
      </c>
      <c r="D942" s="29">
        <f t="shared" si="563"/>
        <v>-3.4920487498812816</v>
      </c>
      <c r="E942" s="29">
        <f t="shared" si="564"/>
        <v>-4.6622553194173957</v>
      </c>
      <c r="F942" s="29">
        <f t="shared" si="565"/>
        <v>4.3563116345651194</v>
      </c>
      <c r="G942" s="29">
        <f t="shared" si="566"/>
        <v>-2.4106562544782131</v>
      </c>
      <c r="H942" s="29">
        <f t="shared" si="567"/>
        <v>6.7846157319390645</v>
      </c>
      <c r="I942" s="29">
        <f t="shared" si="568"/>
        <v>6.9555243915376552</v>
      </c>
      <c r="J942" s="29">
        <f t="shared" si="569"/>
        <v>-3.3859068826867125</v>
      </c>
      <c r="K942" s="26">
        <f t="shared" si="532"/>
        <v>-3.4920487498812816</v>
      </c>
      <c r="L942" s="26">
        <f t="shared" si="533"/>
        <v>2.9539316545794173E-2</v>
      </c>
      <c r="M942" s="26">
        <f t="shared" si="534"/>
        <v>-2.4106562544782131</v>
      </c>
      <c r="N942" s="26">
        <f t="shared" si="535"/>
        <v>8.2363704867668419E-2</v>
      </c>
      <c r="O942" s="26">
        <f t="shared" si="536"/>
        <v>-2.612611212754913</v>
      </c>
      <c r="P942" s="26">
        <f t="shared" si="537"/>
        <v>6.8331181123951493E-2</v>
      </c>
      <c r="Q942" s="26">
        <f t="shared" si="538"/>
        <v>2.3345751568971322E-3</v>
      </c>
      <c r="R942" s="26">
        <f t="shared" si="539"/>
        <v>-9.3121636867667554</v>
      </c>
      <c r="S942" s="26">
        <f t="shared" si="540"/>
        <v>9.0310755003926519E-5</v>
      </c>
      <c r="T942" s="26">
        <f t="shared" si="541"/>
        <v>1.9456553800869063</v>
      </c>
      <c r="U942" s="26">
        <f t="shared" si="542"/>
        <v>0.87497213198176638</v>
      </c>
      <c r="V942" s="26">
        <f t="shared" si="543"/>
        <v>2.7005958469973308</v>
      </c>
      <c r="W942" s="26">
        <f t="shared" si="544"/>
        <v>0.93706179435706294</v>
      </c>
      <c r="X942" s="26">
        <f t="shared" si="545"/>
        <v>1.9806088647763174E-3</v>
      </c>
      <c r="Y942" s="26">
        <f t="shared" si="546"/>
        <v>2.4088441626020889</v>
      </c>
      <c r="Z942" s="26">
        <f t="shared" si="547"/>
        <v>0.91749923367429553</v>
      </c>
      <c r="AA942" s="26">
        <f t="shared" si="548"/>
        <v>-7.0729115738956088</v>
      </c>
      <c r="AB942" s="26">
        <f t="shared" si="549"/>
        <v>8.4704310269923704E-4</v>
      </c>
      <c r="AC942" s="26">
        <f t="shared" si="550"/>
        <v>2.8448644811034569</v>
      </c>
      <c r="AD942" s="26">
        <f t="shared" si="551"/>
        <v>0.94505261338561519</v>
      </c>
      <c r="AE942" s="26">
        <f t="shared" si="552"/>
        <v>1.5096076478753374E-3</v>
      </c>
      <c r="AF942" s="26">
        <f t="shared" si="553"/>
        <v>-3.4112707742833845</v>
      </c>
      <c r="AG942" s="26">
        <f t="shared" si="554"/>
        <v>3.1945075935443185E-2</v>
      </c>
      <c r="AH942" s="26">
        <f t="shared" si="555"/>
        <v>-2.7165999393304894</v>
      </c>
      <c r="AI942" s="26">
        <f t="shared" si="556"/>
        <v>6.2000908672238265E-2</v>
      </c>
      <c r="AJ942" s="26">
        <f t="shared" si="557"/>
        <v>-2.737922985369865</v>
      </c>
      <c r="AK942" s="26">
        <f t="shared" si="558"/>
        <v>6.077234928213663E-2</v>
      </c>
      <c r="AL942" s="26">
        <f t="shared" si="559"/>
        <v>1.8466392186350063E-3</v>
      </c>
      <c r="AM942" s="27">
        <f t="shared" si="560"/>
        <v>7.6714308881837929E-3</v>
      </c>
    </row>
    <row r="943" spans="1:39" ht="15" customHeight="1" x14ac:dyDescent="0.2">
      <c r="A943" s="24">
        <v>932</v>
      </c>
      <c r="B943" s="29">
        <f t="shared" si="561"/>
        <v>5.9016304544740752</v>
      </c>
      <c r="C943" s="29">
        <f t="shared" si="562"/>
        <v>-5.8208404627969053</v>
      </c>
      <c r="D943" s="29">
        <f t="shared" si="563"/>
        <v>-3.4921549974174608</v>
      </c>
      <c r="E943" s="29">
        <f t="shared" si="564"/>
        <v>-4.6636417025959753</v>
      </c>
      <c r="F943" s="29">
        <f t="shared" si="565"/>
        <v>4.3577328657809913</v>
      </c>
      <c r="G943" s="29">
        <f t="shared" si="566"/>
        <v>-2.411505066660006</v>
      </c>
      <c r="H943" s="29">
        <f t="shared" si="567"/>
        <v>6.7869946725594197</v>
      </c>
      <c r="I943" s="29">
        <f t="shared" si="568"/>
        <v>6.9582012614846125</v>
      </c>
      <c r="J943" s="29">
        <f t="shared" si="569"/>
        <v>-3.3871605905756872</v>
      </c>
      <c r="K943" s="26">
        <f t="shared" si="532"/>
        <v>-3.4921549974174608</v>
      </c>
      <c r="L943" s="26">
        <f t="shared" si="533"/>
        <v>2.9536270926972242E-2</v>
      </c>
      <c r="M943" s="26">
        <f t="shared" si="534"/>
        <v>-2.411505066660006</v>
      </c>
      <c r="N943" s="26">
        <f t="shared" si="535"/>
        <v>8.2299574444389859E-2</v>
      </c>
      <c r="O943" s="26">
        <f t="shared" si="536"/>
        <v>-2.6140410744284548</v>
      </c>
      <c r="P943" s="26">
        <f t="shared" si="537"/>
        <v>6.8240209391717627E-2</v>
      </c>
      <c r="Q943" s="26">
        <f t="shared" si="538"/>
        <v>2.3283630889127335E-3</v>
      </c>
      <c r="R943" s="26">
        <f t="shared" si="539"/>
        <v>-9.312995460214367</v>
      </c>
      <c r="S943" s="26">
        <f t="shared" si="540"/>
        <v>9.0235674923349284E-5</v>
      </c>
      <c r="T943" s="26">
        <f t="shared" si="541"/>
        <v>1.9462277991209853</v>
      </c>
      <c r="U943" s="26">
        <f t="shared" si="542"/>
        <v>0.87503473883759297</v>
      </c>
      <c r="V943" s="26">
        <f t="shared" si="543"/>
        <v>2.7021196620918899</v>
      </c>
      <c r="W943" s="26">
        <f t="shared" si="544"/>
        <v>0.93715160455038782</v>
      </c>
      <c r="X943" s="26">
        <f t="shared" si="545"/>
        <v>1.9749604052954166E-3</v>
      </c>
      <c r="Y943" s="26">
        <f t="shared" si="546"/>
        <v>2.4094754570566144</v>
      </c>
      <c r="Z943" s="26">
        <f t="shared" si="547"/>
        <v>0.91754700653002952</v>
      </c>
      <c r="AA943" s="26">
        <f t="shared" si="548"/>
        <v>-7.0751467692559817</v>
      </c>
      <c r="AB943" s="26">
        <f t="shared" si="549"/>
        <v>8.4515350861362676E-4</v>
      </c>
      <c r="AC943" s="26">
        <f t="shared" si="550"/>
        <v>2.8461068027762493</v>
      </c>
      <c r="AD943" s="26">
        <f t="shared" si="551"/>
        <v>0.94511708922138704</v>
      </c>
      <c r="AE943" s="26">
        <f t="shared" si="552"/>
        <v>1.5060669477665952E-3</v>
      </c>
      <c r="AF943" s="26">
        <f t="shared" si="553"/>
        <v>-3.4113650057402909</v>
      </c>
      <c r="AG943" s="26">
        <f t="shared" si="554"/>
        <v>3.1942161994979117E-2</v>
      </c>
      <c r="AH943" s="26">
        <f t="shared" si="555"/>
        <v>-2.71741390347499</v>
      </c>
      <c r="AI943" s="26">
        <f t="shared" si="556"/>
        <v>6.1953587998707302E-2</v>
      </c>
      <c r="AJ943" s="26">
        <f t="shared" si="557"/>
        <v>-2.7392837731196309</v>
      </c>
      <c r="AK943" s="26">
        <f t="shared" si="558"/>
        <v>6.069472319051545E-2</v>
      </c>
      <c r="AL943" s="26">
        <f t="shared" si="559"/>
        <v>1.841924711586647E-3</v>
      </c>
      <c r="AM943" s="27">
        <f t="shared" si="560"/>
        <v>7.6513151535613916E-3</v>
      </c>
    </row>
    <row r="944" spans="1:39" ht="15" customHeight="1" x14ac:dyDescent="0.2">
      <c r="A944" s="24">
        <v>933</v>
      </c>
      <c r="B944" s="29">
        <f t="shared" si="561"/>
        <v>5.9023660087686931</v>
      </c>
      <c r="C944" s="29">
        <f t="shared" si="562"/>
        <v>-5.8215643884797252</v>
      </c>
      <c r="D944" s="29">
        <f t="shared" si="563"/>
        <v>-3.4922612826229251</v>
      </c>
      <c r="E944" s="29">
        <f t="shared" si="564"/>
        <v>-4.6650242288392558</v>
      </c>
      <c r="F944" s="29">
        <f t="shared" si="565"/>
        <v>4.3591501127047732</v>
      </c>
      <c r="G944" s="29">
        <f t="shared" si="566"/>
        <v>-2.4123513304397215</v>
      </c>
      <c r="H944" s="29">
        <f t="shared" si="567"/>
        <v>6.789368412466815</v>
      </c>
      <c r="I944" s="29">
        <f t="shared" si="568"/>
        <v>6.9608712921443798</v>
      </c>
      <c r="J944" s="29">
        <f t="shared" si="569"/>
        <v>-3.3884113061410326</v>
      </c>
      <c r="K944" s="26">
        <f t="shared" si="532"/>
        <v>-3.4922612826229251</v>
      </c>
      <c r="L944" s="26">
        <f t="shared" si="533"/>
        <v>2.9533224532969436E-2</v>
      </c>
      <c r="M944" s="26">
        <f t="shared" si="534"/>
        <v>-2.4123513304397215</v>
      </c>
      <c r="N944" s="26">
        <f t="shared" si="535"/>
        <v>8.2235681815053113E-2</v>
      </c>
      <c r="O944" s="26">
        <f t="shared" si="536"/>
        <v>-2.6154673676422773</v>
      </c>
      <c r="P944" s="26">
        <f t="shared" si="537"/>
        <v>6.8149576529635061E-2</v>
      </c>
      <c r="Q944" s="26">
        <f t="shared" si="538"/>
        <v>2.3221823905842931E-3</v>
      </c>
      <c r="R944" s="26">
        <f t="shared" si="539"/>
        <v>-9.3138256711026504</v>
      </c>
      <c r="S944" s="26">
        <f t="shared" si="540"/>
        <v>9.0160798123947849E-5</v>
      </c>
      <c r="T944" s="26">
        <f t="shared" si="541"/>
        <v>1.9467987822650517</v>
      </c>
      <c r="U944" s="26">
        <f t="shared" si="542"/>
        <v>0.87509716187294628</v>
      </c>
      <c r="V944" s="26">
        <f t="shared" si="543"/>
        <v>2.7036395406522078</v>
      </c>
      <c r="W944" s="26">
        <f t="shared" si="544"/>
        <v>0.93724106362384541</v>
      </c>
      <c r="X944" s="26">
        <f t="shared" si="545"/>
        <v>1.9693420475331101E-3</v>
      </c>
      <c r="Y944" s="26">
        <f t="shared" si="546"/>
        <v>2.410104726145768</v>
      </c>
      <c r="Z944" s="26">
        <f t="shared" si="547"/>
        <v>0.91759460105965363</v>
      </c>
      <c r="AA944" s="26">
        <f t="shared" si="548"/>
        <v>-7.0773755592789769</v>
      </c>
      <c r="AB944" s="26">
        <f t="shared" si="549"/>
        <v>8.4327352317914667E-4</v>
      </c>
      <c r="AC944" s="26">
        <f t="shared" si="550"/>
        <v>2.8473464122023908</v>
      </c>
      <c r="AD944" s="26">
        <f t="shared" si="551"/>
        <v>0.94518135325806973</v>
      </c>
      <c r="AE944" s="26">
        <f t="shared" si="552"/>
        <v>1.5025420153082709E-3</v>
      </c>
      <c r="AF944" s="26">
        <f t="shared" si="553"/>
        <v>-3.4114596623339573</v>
      </c>
      <c r="AG944" s="26">
        <f t="shared" si="554"/>
        <v>3.1939235166689603E-2</v>
      </c>
      <c r="AH944" s="26">
        <f t="shared" si="555"/>
        <v>-2.7182254465742042</v>
      </c>
      <c r="AI944" s="26">
        <f t="shared" si="556"/>
        <v>6.1906441657622213E-2</v>
      </c>
      <c r="AJ944" s="26">
        <f t="shared" si="557"/>
        <v>-2.7406412992486073</v>
      </c>
      <c r="AK944" s="26">
        <f t="shared" si="558"/>
        <v>6.0617375579289548E-2</v>
      </c>
      <c r="AL944" s="26">
        <f t="shared" si="559"/>
        <v>1.8372331110603245E-3</v>
      </c>
      <c r="AM944" s="27">
        <f t="shared" si="560"/>
        <v>7.631299564485999E-3</v>
      </c>
    </row>
    <row r="945" spans="1:39" ht="15" customHeight="1" x14ac:dyDescent="0.2">
      <c r="A945" s="24">
        <v>934</v>
      </c>
      <c r="B945" s="29">
        <f t="shared" si="561"/>
        <v>5.9030995854946751</v>
      </c>
      <c r="C945" s="29">
        <f t="shared" si="562"/>
        <v>-5.8222867205788802</v>
      </c>
      <c r="D945" s="29">
        <f t="shared" si="563"/>
        <v>-3.492367604146752</v>
      </c>
      <c r="E945" s="29">
        <f t="shared" si="564"/>
        <v>-4.6664029177887851</v>
      </c>
      <c r="F945" s="29">
        <f t="shared" si="565"/>
        <v>4.3605633959258601</v>
      </c>
      <c r="G945" s="29">
        <f t="shared" si="566"/>
        <v>-2.4131950595403033</v>
      </c>
      <c r="H945" s="29">
        <f t="shared" si="567"/>
        <v>6.7917369734908641</v>
      </c>
      <c r="I945" s="29">
        <f t="shared" si="568"/>
        <v>6.963534517149589</v>
      </c>
      <c r="J945" s="29">
        <f t="shared" si="569"/>
        <v>-3.3896590432909459</v>
      </c>
      <c r="K945" s="26">
        <f t="shared" si="532"/>
        <v>-3.492367604146752</v>
      </c>
      <c r="L945" s="26">
        <f t="shared" si="533"/>
        <v>2.9530177402796134E-2</v>
      </c>
      <c r="M945" s="26">
        <f t="shared" si="534"/>
        <v>-2.4131950595403033</v>
      </c>
      <c r="N945" s="26">
        <f t="shared" si="535"/>
        <v>8.217202551154551E-2</v>
      </c>
      <c r="O945" s="26">
        <f t="shared" si="536"/>
        <v>-2.6168901095968873</v>
      </c>
      <c r="P945" s="26">
        <f t="shared" si="537"/>
        <v>6.8059280494717239E-2</v>
      </c>
      <c r="Q945" s="26">
        <f t="shared" si="538"/>
        <v>2.3160328307292991E-3</v>
      </c>
      <c r="R945" s="26">
        <f t="shared" si="539"/>
        <v>-9.3146543247256322</v>
      </c>
      <c r="S945" s="26">
        <f t="shared" si="540"/>
        <v>9.0086123726330577E-5</v>
      </c>
      <c r="T945" s="26">
        <f t="shared" si="541"/>
        <v>1.9473683363855567</v>
      </c>
      <c r="U945" s="26">
        <f t="shared" si="542"/>
        <v>0.87515940204673359</v>
      </c>
      <c r="V945" s="26">
        <f t="shared" si="543"/>
        <v>2.7051555021267886</v>
      </c>
      <c r="W945" s="26">
        <f t="shared" si="544"/>
        <v>0.93733017377733474</v>
      </c>
      <c r="X945" s="26">
        <f t="shared" si="545"/>
        <v>1.9637535593895312E-3</v>
      </c>
      <c r="Y945" s="26">
        <f t="shared" si="546"/>
        <v>2.4107319813479231</v>
      </c>
      <c r="Z945" s="26">
        <f t="shared" si="547"/>
        <v>0.91764201838245607</v>
      </c>
      <c r="AA945" s="26">
        <f t="shared" si="548"/>
        <v>-7.0795979773290885</v>
      </c>
      <c r="AB945" s="26">
        <f t="shared" si="549"/>
        <v>8.4140307298985072E-4</v>
      </c>
      <c r="AC945" s="26">
        <f t="shared" si="550"/>
        <v>2.848583320727565</v>
      </c>
      <c r="AD945" s="26">
        <f t="shared" si="551"/>
        <v>0.94524540661644774</v>
      </c>
      <c r="AE945" s="26">
        <f t="shared" si="552"/>
        <v>1.4990327482990726E-3</v>
      </c>
      <c r="AF945" s="26">
        <f t="shared" si="553"/>
        <v>-3.4115547392309571</v>
      </c>
      <c r="AG945" s="26">
        <f t="shared" si="554"/>
        <v>3.1936295603479721E-2</v>
      </c>
      <c r="AH945" s="26">
        <f t="shared" si="555"/>
        <v>-2.7190345814032284</v>
      </c>
      <c r="AI945" s="26">
        <f t="shared" si="556"/>
        <v>6.1859468587362819E-2</v>
      </c>
      <c r="AJ945" s="26">
        <f t="shared" si="557"/>
        <v>-2.7419955789238273</v>
      </c>
      <c r="AK945" s="26">
        <f t="shared" si="558"/>
        <v>6.0540304826995385E-2</v>
      </c>
      <c r="AL945" s="26">
        <f t="shared" si="559"/>
        <v>1.8325642542727603E-3</v>
      </c>
      <c r="AM945" s="27">
        <f t="shared" si="560"/>
        <v>7.6113833926906632E-3</v>
      </c>
    </row>
    <row r="946" spans="1:39" ht="15" customHeight="1" x14ac:dyDescent="0.2">
      <c r="A946" s="24">
        <v>935</v>
      </c>
      <c r="B946" s="29">
        <f t="shared" si="561"/>
        <v>5.9038311947047806</v>
      </c>
      <c r="C946" s="29">
        <f t="shared" si="562"/>
        <v>-5.8230074656992628</v>
      </c>
      <c r="D946" s="29">
        <f t="shared" si="563"/>
        <v>-3.4924739606542521</v>
      </c>
      <c r="E946" s="29">
        <f t="shared" si="564"/>
        <v>-4.6677777889423036</v>
      </c>
      <c r="F946" s="29">
        <f t="shared" si="565"/>
        <v>4.3619727358799594</v>
      </c>
      <c r="G946" s="29">
        <f t="shared" si="566"/>
        <v>-2.4140362675794766</v>
      </c>
      <c r="H946" s="29">
        <f t="shared" si="567"/>
        <v>6.7941003773276289</v>
      </c>
      <c r="I946" s="29">
        <f t="shared" si="568"/>
        <v>6.9661909698906896</v>
      </c>
      <c r="J946" s="29">
        <f t="shared" si="569"/>
        <v>-3.3909038158381377</v>
      </c>
      <c r="K946" s="26">
        <f t="shared" si="532"/>
        <v>-3.4924739606542521</v>
      </c>
      <c r="L946" s="26">
        <f t="shared" si="533"/>
        <v>2.9527129574982089E-2</v>
      </c>
      <c r="M946" s="26">
        <f t="shared" si="534"/>
        <v>-2.4140362675794766</v>
      </c>
      <c r="N946" s="26">
        <f t="shared" si="535"/>
        <v>8.2108604078276234E-2</v>
      </c>
      <c r="O946" s="26">
        <f t="shared" si="536"/>
        <v>-2.6183093173709322</v>
      </c>
      <c r="P946" s="26">
        <f t="shared" si="537"/>
        <v>6.7969319260901717E-2</v>
      </c>
      <c r="Q946" s="26">
        <f t="shared" si="538"/>
        <v>2.3099141803951924E-3</v>
      </c>
      <c r="R946" s="26">
        <f t="shared" si="539"/>
        <v>-9.3154814263535144</v>
      </c>
      <c r="S946" s="26">
        <f t="shared" si="540"/>
        <v>9.0011650856110844E-5</v>
      </c>
      <c r="T946" s="26">
        <f t="shared" si="541"/>
        <v>1.9479364683004827</v>
      </c>
      <c r="U946" s="26">
        <f t="shared" si="542"/>
        <v>0.87522146031068104</v>
      </c>
      <c r="V946" s="26">
        <f t="shared" si="543"/>
        <v>2.7066675658237167</v>
      </c>
      <c r="W946" s="26">
        <f t="shared" si="544"/>
        <v>0.93741893719193414</v>
      </c>
      <c r="X946" s="26">
        <f t="shared" si="545"/>
        <v>1.958194711093542E-3</v>
      </c>
      <c r="Y946" s="26">
        <f t="shared" si="546"/>
        <v>2.4113572340505285</v>
      </c>
      <c r="Z946" s="26">
        <f t="shared" si="547"/>
        <v>0.91768925960806746</v>
      </c>
      <c r="AA946" s="26">
        <f t="shared" si="548"/>
        <v>-7.0818140565217806</v>
      </c>
      <c r="AB946" s="26">
        <f t="shared" si="549"/>
        <v>8.3954208538017394E-4</v>
      </c>
      <c r="AC946" s="26">
        <f t="shared" si="550"/>
        <v>2.8498175396285643</v>
      </c>
      <c r="AD946" s="26">
        <f t="shared" si="551"/>
        <v>0.9453092504092131</v>
      </c>
      <c r="AE946" s="26">
        <f t="shared" si="552"/>
        <v>1.4955390454010789E-3</v>
      </c>
      <c r="AF946" s="26">
        <f t="shared" si="553"/>
        <v>-3.4116502316487343</v>
      </c>
      <c r="AG946" s="26">
        <f t="shared" si="554"/>
        <v>3.1933343456643656E-2</v>
      </c>
      <c r="AH946" s="26">
        <f t="shared" si="555"/>
        <v>-2.7198413206418208</v>
      </c>
      <c r="AI946" s="26">
        <f t="shared" si="556"/>
        <v>6.1812667735195954E-2</v>
      </c>
      <c r="AJ946" s="26">
        <f t="shared" si="557"/>
        <v>-2.7433466272082465</v>
      </c>
      <c r="AK946" s="26">
        <f t="shared" si="558"/>
        <v>6.046350932517635E-2</v>
      </c>
      <c r="AL946" s="26">
        <f t="shared" si="559"/>
        <v>1.8279179799578437E-3</v>
      </c>
      <c r="AM946" s="27">
        <f t="shared" si="560"/>
        <v>7.5915659168476583E-3</v>
      </c>
    </row>
    <row r="947" spans="1:39" ht="15" customHeight="1" x14ac:dyDescent="0.2">
      <c r="A947" s="24">
        <v>936</v>
      </c>
      <c r="B947" s="29">
        <f t="shared" si="561"/>
        <v>5.9045608463777945</v>
      </c>
      <c r="C947" s="29">
        <f t="shared" si="562"/>
        <v>-5.823726630406024</v>
      </c>
      <c r="D947" s="29">
        <f t="shared" si="563"/>
        <v>-3.4925803508267714</v>
      </c>
      <c r="E947" s="29">
        <f t="shared" si="564"/>
        <v>-4.6691488616551089</v>
      </c>
      <c r="F947" s="29">
        <f t="shared" si="565"/>
        <v>4.3633781528505811</v>
      </c>
      <c r="G947" s="29">
        <f t="shared" si="566"/>
        <v>-2.4148749680707868</v>
      </c>
      <c r="H947" s="29">
        <f t="shared" si="567"/>
        <v>6.7964586455406826</v>
      </c>
      <c r="I947" s="29">
        <f t="shared" si="568"/>
        <v>6.9688406835182342</v>
      </c>
      <c r="J947" s="29">
        <f t="shared" si="569"/>
        <v>-3.3921456375006969</v>
      </c>
      <c r="K947" s="26">
        <f t="shared" si="532"/>
        <v>-3.4925803508267714</v>
      </c>
      <c r="L947" s="26">
        <f t="shared" si="533"/>
        <v>2.9524081087582352E-2</v>
      </c>
      <c r="M947" s="26">
        <f t="shared" si="534"/>
        <v>-2.4148749680707868</v>
      </c>
      <c r="N947" s="26">
        <f t="shared" si="535"/>
        <v>8.2045416072040855E-2</v>
      </c>
      <c r="O947" s="26">
        <f t="shared" si="536"/>
        <v>-2.6197250079223346</v>
      </c>
      <c r="P947" s="26">
        <f t="shared" si="537"/>
        <v>6.7879690818872365E-2</v>
      </c>
      <c r="Q947" s="26">
        <f t="shared" si="538"/>
        <v>2.3038262128328526E-3</v>
      </c>
      <c r="R947" s="26">
        <f t="shared" si="539"/>
        <v>-9.3163069812327954</v>
      </c>
      <c r="S947" s="26">
        <f t="shared" si="540"/>
        <v>8.9937378643873149E-5</v>
      </c>
      <c r="T947" s="26">
        <f t="shared" si="541"/>
        <v>1.9485031847797942</v>
      </c>
      <c r="U947" s="26">
        <f t="shared" si="542"/>
        <v>0.8752833376094018</v>
      </c>
      <c r="V947" s="26">
        <f t="shared" si="543"/>
        <v>2.7081757509119697</v>
      </c>
      <c r="W947" s="26">
        <f t="shared" si="544"/>
        <v>0.93750735603010371</v>
      </c>
      <c r="X947" s="26">
        <f t="shared" si="545"/>
        <v>1.9526652751741076E-3</v>
      </c>
      <c r="Y947" s="26">
        <f t="shared" si="546"/>
        <v>2.4119804955510231</v>
      </c>
      <c r="Z947" s="26">
        <f t="shared" si="547"/>
        <v>0.91773632583656839</v>
      </c>
      <c r="AA947" s="26">
        <f t="shared" si="548"/>
        <v>-7.0840238297258953</v>
      </c>
      <c r="AB947" s="26">
        <f t="shared" si="549"/>
        <v>8.3769048841570034E-4</v>
      </c>
      <c r="AC947" s="26">
        <f t="shared" si="550"/>
        <v>2.8510490801138575</v>
      </c>
      <c r="AD947" s="26">
        <f t="shared" si="551"/>
        <v>0.94537288574104095</v>
      </c>
      <c r="AE947" s="26">
        <f t="shared" si="552"/>
        <v>1.4920608061306838E-3</v>
      </c>
      <c r="AF947" s="26">
        <f t="shared" si="553"/>
        <v>-3.4117461348550009</v>
      </c>
      <c r="AG947" s="26">
        <f t="shared" si="554"/>
        <v>3.193037887588341E-2</v>
      </c>
      <c r="AH947" s="26">
        <f t="shared" si="555"/>
        <v>-2.7206456768753147</v>
      </c>
      <c r="AI947" s="26">
        <f t="shared" si="556"/>
        <v>6.1766038057181227E-2</v>
      </c>
      <c r="AJ947" s="26">
        <f t="shared" si="557"/>
        <v>-2.7446944590616895</v>
      </c>
      <c r="AK947" s="26">
        <f t="shared" si="558"/>
        <v>6.0386987478249846E-2</v>
      </c>
      <c r="AL947" s="26">
        <f t="shared" si="559"/>
        <v>1.8232941283491519E-3</v>
      </c>
      <c r="AM947" s="27">
        <f t="shared" si="560"/>
        <v>7.5718464224867965E-3</v>
      </c>
    </row>
    <row r="948" spans="1:39" ht="15" customHeight="1" x14ac:dyDescent="0.2">
      <c r="A948" s="24">
        <v>937</v>
      </c>
      <c r="B948" s="29">
        <f t="shared" si="561"/>
        <v>5.9052885504192316</v>
      </c>
      <c r="C948" s="29">
        <f t="shared" si="562"/>
        <v>-5.8244442212248853</v>
      </c>
      <c r="D948" s="29">
        <f t="shared" si="563"/>
        <v>-3.4926867733614935</v>
      </c>
      <c r="E948" s="29">
        <f t="shared" si="564"/>
        <v>-4.6705161551414065</v>
      </c>
      <c r="F948" s="29">
        <f t="shared" si="565"/>
        <v>4.3647796669705157</v>
      </c>
      <c r="G948" s="29">
        <f t="shared" si="566"/>
        <v>-2.4157111744246298</v>
      </c>
      <c r="H948" s="29">
        <f t="shared" si="567"/>
        <v>6.7988117995621593</v>
      </c>
      <c r="I948" s="29">
        <f t="shared" si="568"/>
        <v>6.9714836909451341</v>
      </c>
      <c r="J948" s="29">
        <f t="shared" si="569"/>
        <v>-3.3933845219029442</v>
      </c>
      <c r="K948" s="26">
        <f t="shared" si="532"/>
        <v>-3.4926867733614935</v>
      </c>
      <c r="L948" s="26">
        <f t="shared" si="533"/>
        <v>2.9521031978183152E-2</v>
      </c>
      <c r="M948" s="26">
        <f t="shared" si="534"/>
        <v>-2.4157111744246298</v>
      </c>
      <c r="N948" s="26">
        <f t="shared" si="535"/>
        <v>8.1982460061887572E-2</v>
      </c>
      <c r="O948" s="26">
        <f t="shared" si="536"/>
        <v>-2.6211371980894107</v>
      </c>
      <c r="P948" s="26">
        <f t="shared" si="537"/>
        <v>6.7790393175884089E-2</v>
      </c>
      <c r="Q948" s="26">
        <f t="shared" si="538"/>
        <v>2.2977687034704763E-3</v>
      </c>
      <c r="R948" s="26">
        <f t="shared" si="539"/>
        <v>-9.3171309945863783</v>
      </c>
      <c r="S948" s="26">
        <f t="shared" si="540"/>
        <v>8.9863306225140477E-5</v>
      </c>
      <c r="T948" s="26">
        <f t="shared" si="541"/>
        <v>1.9490684925458859</v>
      </c>
      <c r="U948" s="26">
        <f t="shared" si="542"/>
        <v>0.87534503488046655</v>
      </c>
      <c r="V948" s="26">
        <f t="shared" si="543"/>
        <v>2.7096800764227389</v>
      </c>
      <c r="W948" s="26">
        <f t="shared" si="544"/>
        <v>0.93759543243588572</v>
      </c>
      <c r="X948" s="26">
        <f t="shared" si="545"/>
        <v>1.9471650264320519E-3</v>
      </c>
      <c r="Y948" s="26">
        <f t="shared" si="546"/>
        <v>2.4126017770577382</v>
      </c>
      <c r="Z948" s="26">
        <f t="shared" si="547"/>
        <v>0.9177832181585911</v>
      </c>
      <c r="AA948" s="26">
        <f t="shared" si="548"/>
        <v>-7.0862273295660358</v>
      </c>
      <c r="AB948" s="26">
        <f t="shared" si="549"/>
        <v>8.3584821088406676E-4</v>
      </c>
      <c r="AC948" s="26">
        <f t="shared" si="550"/>
        <v>2.8522779533241005</v>
      </c>
      <c r="AD948" s="26">
        <f t="shared" si="551"/>
        <v>0.94543631370866077</v>
      </c>
      <c r="AE948" s="26">
        <f t="shared" si="552"/>
        <v>1.4885979308498403E-3</v>
      </c>
      <c r="AF948" s="26">
        <f t="shared" si="553"/>
        <v>-3.4118424441671471</v>
      </c>
      <c r="AG948" s="26">
        <f t="shared" si="554"/>
        <v>3.1927402009327206E-2</v>
      </c>
      <c r="AH948" s="26">
        <f t="shared" si="555"/>
        <v>-2.7214476625955206</v>
      </c>
      <c r="AI948" s="26">
        <f t="shared" si="556"/>
        <v>6.1719578518078411E-2</v>
      </c>
      <c r="AJ948" s="26">
        <f t="shared" si="557"/>
        <v>-2.7460390893417745</v>
      </c>
      <c r="AK948" s="26">
        <f t="shared" si="558"/>
        <v>6.0310737703376679E-2</v>
      </c>
      <c r="AL948" s="26">
        <f t="shared" si="559"/>
        <v>1.8186925411627507E-3</v>
      </c>
      <c r="AM948" s="27">
        <f t="shared" si="560"/>
        <v>7.5522242019151198E-3</v>
      </c>
    </row>
    <row r="949" spans="1:39" ht="15" customHeight="1" x14ac:dyDescent="0.2">
      <c r="A949" s="24">
        <v>938</v>
      </c>
      <c r="B949" s="29">
        <f t="shared" si="561"/>
        <v>5.9060143166620342</v>
      </c>
      <c r="C949" s="29">
        <f t="shared" si="562"/>
        <v>-5.8251602446424462</v>
      </c>
      <c r="D949" s="29">
        <f t="shared" si="563"/>
        <v>-3.4927932269712456</v>
      </c>
      <c r="E949" s="29">
        <f t="shared" si="564"/>
        <v>-4.6718796884756433</v>
      </c>
      <c r="F949" s="29">
        <f t="shared" si="565"/>
        <v>4.3661772982232891</v>
      </c>
      <c r="G949" s="29">
        <f t="shared" si="566"/>
        <v>-2.4165448999492658</v>
      </c>
      <c r="H949" s="29">
        <f t="shared" si="567"/>
        <v>6.8011598606937964</v>
      </c>
      <c r="I949" s="29">
        <f t="shared" si="568"/>
        <v>6.9741200248488919</v>
      </c>
      <c r="J949" s="29">
        <f t="shared" si="569"/>
        <v>-3.394620482576276</v>
      </c>
      <c r="K949" s="26">
        <f t="shared" si="532"/>
        <v>-3.4927932269712456</v>
      </c>
      <c r="L949" s="26">
        <f t="shared" si="533"/>
        <v>2.9517982283907639E-2</v>
      </c>
      <c r="M949" s="26">
        <f t="shared" si="534"/>
        <v>-2.4165448999492658</v>
      </c>
      <c r="N949" s="26">
        <f t="shared" si="535"/>
        <v>8.1919734628985358E-2</v>
      </c>
      <c r="O949" s="26">
        <f t="shared" si="536"/>
        <v>-2.6225459045919788</v>
      </c>
      <c r="P949" s="26">
        <f t="shared" si="537"/>
        <v>6.7701424355589471E-2</v>
      </c>
      <c r="Q949" s="26">
        <f t="shared" si="538"/>
        <v>2.2917414298878015E-3</v>
      </c>
      <c r="R949" s="26">
        <f t="shared" si="539"/>
        <v>-9.3179534716136914</v>
      </c>
      <c r="S949" s="26">
        <f t="shared" si="540"/>
        <v>8.978943274034073E-5</v>
      </c>
      <c r="T949" s="26">
        <f t="shared" si="541"/>
        <v>1.9496323982740233</v>
      </c>
      <c r="U949" s="26">
        <f t="shared" si="542"/>
        <v>0.87540655305447146</v>
      </c>
      <c r="V949" s="26">
        <f t="shared" si="543"/>
        <v>2.7111805612507252</v>
      </c>
      <c r="W949" s="26">
        <f t="shared" si="544"/>
        <v>0.93768316853510369</v>
      </c>
      <c r="X949" s="26">
        <f t="shared" si="545"/>
        <v>1.941693741912145E-3</v>
      </c>
      <c r="Y949" s="26">
        <f t="shared" si="546"/>
        <v>2.4132210896907886</v>
      </c>
      <c r="Z949" s="26">
        <f t="shared" si="547"/>
        <v>0.91782993765542287</v>
      </c>
      <c r="AA949" s="26">
        <f t="shared" si="548"/>
        <v>-7.0884245884249086</v>
      </c>
      <c r="AB949" s="26">
        <f t="shared" si="549"/>
        <v>8.340151822860102E-4</v>
      </c>
      <c r="AC949" s="26">
        <f t="shared" si="550"/>
        <v>2.8535041703326844</v>
      </c>
      <c r="AD949" s="26">
        <f t="shared" si="551"/>
        <v>0.94549953540092857</v>
      </c>
      <c r="AE949" s="26">
        <f t="shared" si="552"/>
        <v>1.4851503207573191E-3</v>
      </c>
      <c r="AF949" s="26">
        <f t="shared" si="553"/>
        <v>-3.4119391549516576</v>
      </c>
      <c r="AG949" s="26">
        <f t="shared" si="554"/>
        <v>3.1924413003547654E-2</v>
      </c>
      <c r="AH949" s="26">
        <f t="shared" si="555"/>
        <v>-2.7222472902016199</v>
      </c>
      <c r="AI949" s="26">
        <f t="shared" si="556"/>
        <v>6.1673288091255586E-2</v>
      </c>
      <c r="AJ949" s="26">
        <f t="shared" si="557"/>
        <v>-2.7473805328048364</v>
      </c>
      <c r="AK949" s="26">
        <f t="shared" si="558"/>
        <v>6.0234758430331561E-2</v>
      </c>
      <c r="AL949" s="26">
        <f t="shared" si="559"/>
        <v>1.8141130615801995E-3</v>
      </c>
      <c r="AM949" s="27">
        <f t="shared" si="560"/>
        <v>7.5326985541374651E-3</v>
      </c>
    </row>
    <row r="950" spans="1:39" ht="15" customHeight="1" x14ac:dyDescent="0.2">
      <c r="A950" s="24">
        <v>939</v>
      </c>
      <c r="B950" s="29">
        <f t="shared" si="561"/>
        <v>5.9067381548672619</v>
      </c>
      <c r="C950" s="29">
        <f t="shared" si="562"/>
        <v>-5.8258747071064905</v>
      </c>
      <c r="D950" s="29">
        <f t="shared" si="563"/>
        <v>-3.4928997103843065</v>
      </c>
      <c r="E950" s="29">
        <f t="shared" si="564"/>
        <v>-4.6732394805938267</v>
      </c>
      <c r="F950" s="29">
        <f t="shared" si="565"/>
        <v>4.3675710664446044</v>
      </c>
      <c r="G950" s="29">
        <f t="shared" si="566"/>
        <v>-2.4173761578518245</v>
      </c>
      <c r="H950" s="29">
        <f t="shared" si="567"/>
        <v>6.8035028501079662</v>
      </c>
      <c r="I950" s="29">
        <f t="shared" si="568"/>
        <v>6.9767497176738029</v>
      </c>
      <c r="J950" s="29">
        <f t="shared" si="569"/>
        <v>-3.3958535329600017</v>
      </c>
      <c r="K950" s="26">
        <f t="shared" si="532"/>
        <v>-3.4928997103843065</v>
      </c>
      <c r="L950" s="26">
        <f t="shared" si="533"/>
        <v>2.9514932041421665E-2</v>
      </c>
      <c r="M950" s="26">
        <f t="shared" si="534"/>
        <v>-2.4173761578518245</v>
      </c>
      <c r="N950" s="26">
        <f t="shared" si="535"/>
        <v>8.1857238366493543E-2</v>
      </c>
      <c r="O950" s="26">
        <f t="shared" si="536"/>
        <v>-2.6239511440324552</v>
      </c>
      <c r="P950" s="26">
        <f t="shared" si="537"/>
        <v>6.7612782397867791E-2</v>
      </c>
      <c r="Q950" s="26">
        <f t="shared" si="538"/>
        <v>2.2857441717907103E-3</v>
      </c>
      <c r="R950" s="26">
        <f t="shared" si="539"/>
        <v>-9.3187744174907969</v>
      </c>
      <c r="S950" s="26">
        <f t="shared" si="540"/>
        <v>8.9715757334774568E-5</v>
      </c>
      <c r="T950" s="26">
        <f t="shared" si="541"/>
        <v>1.9501949085927799</v>
      </c>
      <c r="U950" s="26">
        <f t="shared" si="542"/>
        <v>0.87546789305510553</v>
      </c>
      <c r="V950" s="26">
        <f t="shared" si="543"/>
        <v>2.7126772241554122</v>
      </c>
      <c r="W950" s="26">
        <f t="shared" si="544"/>
        <v>0.93777056643555656</v>
      </c>
      <c r="X950" s="26">
        <f t="shared" si="545"/>
        <v>1.9362512008757398E-3</v>
      </c>
      <c r="Y950" s="26">
        <f t="shared" si="546"/>
        <v>2.4138384444829555</v>
      </c>
      <c r="Z950" s="26">
        <f t="shared" si="547"/>
        <v>0.91787648539910616</v>
      </c>
      <c r="AA950" s="26">
        <f t="shared" si="548"/>
        <v>-7.0906156384456516</v>
      </c>
      <c r="AB950" s="26">
        <f t="shared" si="549"/>
        <v>8.3219133282653589E-4</v>
      </c>
      <c r="AC950" s="26">
        <f t="shared" si="550"/>
        <v>2.8547277421462476</v>
      </c>
      <c r="AD950" s="26">
        <f t="shared" si="551"/>
        <v>0.94556255189889793</v>
      </c>
      <c r="AE950" s="26">
        <f t="shared" si="552"/>
        <v>1.4817178778800907E-3</v>
      </c>
      <c r="AF950" s="26">
        <f t="shared" si="553"/>
        <v>-3.412036262623535</v>
      </c>
      <c r="AG950" s="26">
        <f t="shared" si="554"/>
        <v>3.1921412003579695E-2</v>
      </c>
      <c r="AH950" s="26">
        <f t="shared" si="555"/>
        <v>-2.7230445720010468</v>
      </c>
      <c r="AI950" s="26">
        <f t="shared" si="556"/>
        <v>6.1627165758598744E-2</v>
      </c>
      <c r="AJ950" s="26">
        <f t="shared" si="557"/>
        <v>-2.7487188041068364</v>
      </c>
      <c r="AK950" s="26">
        <f t="shared" si="558"/>
        <v>6.0159048101375387E-2</v>
      </c>
      <c r="AL950" s="26">
        <f t="shared" si="559"/>
        <v>1.8095555342317988E-3</v>
      </c>
      <c r="AM950" s="27">
        <f t="shared" si="560"/>
        <v>7.5132687847783396E-3</v>
      </c>
    </row>
    <row r="951" spans="1:39" ht="15" customHeight="1" x14ac:dyDescent="0.2">
      <c r="A951" s="24">
        <v>940</v>
      </c>
      <c r="B951" s="29">
        <f t="shared" si="561"/>
        <v>5.9074600747247707</v>
      </c>
      <c r="C951" s="29">
        <f t="shared" si="562"/>
        <v>-5.8265876150262867</v>
      </c>
      <c r="D951" s="29">
        <f t="shared" si="563"/>
        <v>-3.493006222344218</v>
      </c>
      <c r="E951" s="29">
        <f t="shared" si="564"/>
        <v>-4.6745955502948293</v>
      </c>
      <c r="F951" s="29">
        <f t="shared" si="565"/>
        <v>4.3689609913237657</v>
      </c>
      <c r="G951" s="29">
        <f t="shared" si="566"/>
        <v>-2.4182049612392955</v>
      </c>
      <c r="H951" s="29">
        <f t="shared" si="567"/>
        <v>6.8058407888486965</v>
      </c>
      <c r="I951" s="29">
        <f t="shared" si="568"/>
        <v>6.9793728016331373</v>
      </c>
      <c r="J951" s="29">
        <f t="shared" si="569"/>
        <v>-3.3970836864021674</v>
      </c>
      <c r="K951" s="26">
        <f t="shared" si="532"/>
        <v>-3.493006222344218</v>
      </c>
      <c r="L951" s="26">
        <f t="shared" si="533"/>
        <v>2.9511881286939323E-2</v>
      </c>
      <c r="M951" s="26">
        <f t="shared" si="534"/>
        <v>-2.4182049612392955</v>
      </c>
      <c r="N951" s="26">
        <f t="shared" si="535"/>
        <v>8.179496987943341E-2</v>
      </c>
      <c r="O951" s="26">
        <f t="shared" si="536"/>
        <v>-2.6253529328969361</v>
      </c>
      <c r="P951" s="26">
        <f t="shared" si="537"/>
        <v>6.7524465358656083E-2</v>
      </c>
      <c r="Q951" s="26">
        <f t="shared" si="538"/>
        <v>2.2797767109861726E-3</v>
      </c>
      <c r="R951" s="26">
        <f t="shared" si="539"/>
        <v>-9.3195938373705047</v>
      </c>
      <c r="S951" s="26">
        <f t="shared" si="540"/>
        <v>8.9642279158582907E-5</v>
      </c>
      <c r="T951" s="26">
        <f t="shared" si="541"/>
        <v>1.9507560300844702</v>
      </c>
      <c r="U951" s="26">
        <f t="shared" si="542"/>
        <v>0.8755290557992178</v>
      </c>
      <c r="V951" s="26">
        <f t="shared" si="543"/>
        <v>2.7141700837623377</v>
      </c>
      <c r="W951" s="26">
        <f t="shared" si="544"/>
        <v>0.93785762822721197</v>
      </c>
      <c r="X951" s="26">
        <f t="shared" si="545"/>
        <v>1.9308371847737012E-3</v>
      </c>
      <c r="Y951" s="26">
        <f t="shared" si="546"/>
        <v>2.4144538523805528</v>
      </c>
      <c r="Z951" s="26">
        <f t="shared" si="547"/>
        <v>0.91792286245253774</v>
      </c>
      <c r="AA951" s="26">
        <f t="shared" si="548"/>
        <v>-7.0928005115341248</v>
      </c>
      <c r="AB951" s="26">
        <f t="shared" si="549"/>
        <v>8.3037659340622321E-4</v>
      </c>
      <c r="AC951" s="26">
        <f t="shared" si="550"/>
        <v>2.8559486797051976</v>
      </c>
      <c r="AD951" s="26">
        <f t="shared" si="551"/>
        <v>0.9456253642758895</v>
      </c>
      <c r="AE951" s="26">
        <f t="shared" si="552"/>
        <v>1.4783005050648568E-3</v>
      </c>
      <c r="AF951" s="26">
        <f t="shared" si="553"/>
        <v>-3.412133762645734</v>
      </c>
      <c r="AG951" s="26">
        <f t="shared" si="554"/>
        <v>3.1918399152938294E-2</v>
      </c>
      <c r="AH951" s="26">
        <f t="shared" si="555"/>
        <v>-2.7238395202103591</v>
      </c>
      <c r="AI951" s="26">
        <f t="shared" si="556"/>
        <v>6.1581210510422452E-2</v>
      </c>
      <c r="AJ951" s="26">
        <f t="shared" si="557"/>
        <v>-2.7500539178042591</v>
      </c>
      <c r="AK951" s="26">
        <f t="shared" si="558"/>
        <v>6.008360517112922E-2</v>
      </c>
      <c r="AL951" s="26">
        <f t="shared" si="559"/>
        <v>1.8050198051800729E-3</v>
      </c>
      <c r="AM951" s="27">
        <f t="shared" si="560"/>
        <v>7.4939342060048042E-3</v>
      </c>
    </row>
    <row r="952" spans="1:39" ht="15" customHeight="1" x14ac:dyDescent="0.2">
      <c r="A952" s="24">
        <v>941</v>
      </c>
      <c r="B952" s="29">
        <f t="shared" si="561"/>
        <v>5.90818008585389</v>
      </c>
      <c r="C952" s="29">
        <f t="shared" si="562"/>
        <v>-5.8272989747728907</v>
      </c>
      <c r="D952" s="29">
        <f t="shared" si="563"/>
        <v>-3.4931127616095985</v>
      </c>
      <c r="E952" s="29">
        <f t="shared" si="564"/>
        <v>-4.6759479162416762</v>
      </c>
      <c r="F952" s="29">
        <f t="shared" si="565"/>
        <v>4.3703470924050825</v>
      </c>
      <c r="G952" s="29">
        <f t="shared" si="566"/>
        <v>-2.4190313231195084</v>
      </c>
      <c r="H952" s="29">
        <f t="shared" si="567"/>
        <v>6.8081736978326814</v>
      </c>
      <c r="I952" s="29">
        <f t="shared" si="568"/>
        <v>6.9819893087112925</v>
      </c>
      <c r="J952" s="29">
        <f t="shared" si="569"/>
        <v>-3.3983109561603739</v>
      </c>
      <c r="K952" s="26">
        <f t="shared" si="532"/>
        <v>-3.4931127616095985</v>
      </c>
      <c r="L952" s="26">
        <f t="shared" si="533"/>
        <v>2.9508830056228567E-2</v>
      </c>
      <c r="M952" s="26">
        <f t="shared" si="534"/>
        <v>-2.4190313231195084</v>
      </c>
      <c r="N952" s="26">
        <f t="shared" si="535"/>
        <v>8.1732927784561232E-2</v>
      </c>
      <c r="O952" s="26">
        <f t="shared" si="536"/>
        <v>-2.6267512875562655</v>
      </c>
      <c r="P952" s="26">
        <f t="shared" si="537"/>
        <v>6.7436471309782517E-2</v>
      </c>
      <c r="Q952" s="26">
        <f t="shared" si="538"/>
        <v>2.2738388313575603E-3</v>
      </c>
      <c r="R952" s="26">
        <f t="shared" si="539"/>
        <v>-9.3204117363824892</v>
      </c>
      <c r="S952" s="26">
        <f t="shared" si="540"/>
        <v>8.9568997366714316E-5</v>
      </c>
      <c r="T952" s="26">
        <f t="shared" si="541"/>
        <v>1.951315769285574</v>
      </c>
      <c r="U952" s="26">
        <f t="shared" si="542"/>
        <v>0.87559004219688319</v>
      </c>
      <c r="V952" s="26">
        <f t="shared" si="543"/>
        <v>2.7156591585643466</v>
      </c>
      <c r="W952" s="26">
        <f t="shared" si="544"/>
        <v>0.93794435598239745</v>
      </c>
      <c r="X952" s="26">
        <f t="shared" si="545"/>
        <v>1.9254514772197057E-3</v>
      </c>
      <c r="Y952" s="26">
        <f t="shared" si="546"/>
        <v>2.4150673242442915</v>
      </c>
      <c r="Z952" s="26">
        <f t="shared" si="547"/>
        <v>0.91796906986956828</v>
      </c>
      <c r="AA952" s="26">
        <f t="shared" si="548"/>
        <v>-7.0949792393611846</v>
      </c>
      <c r="AB952" s="26">
        <f t="shared" si="549"/>
        <v>8.2857089561265255E-4</v>
      </c>
      <c r="AC952" s="26">
        <f t="shared" si="550"/>
        <v>2.8571669938842281</v>
      </c>
      <c r="AD952" s="26">
        <f t="shared" si="551"/>
        <v>0.94568797359756196</v>
      </c>
      <c r="AE952" s="26">
        <f t="shared" si="552"/>
        <v>1.4748981059695633E-3</v>
      </c>
      <c r="AF952" s="26">
        <f t="shared" si="553"/>
        <v>-3.4122316505285992</v>
      </c>
      <c r="AG952" s="26">
        <f t="shared" si="554"/>
        <v>3.1915374593635901E-2</v>
      </c>
      <c r="AH952" s="26">
        <f t="shared" si="555"/>
        <v>-2.7246321469561021</v>
      </c>
      <c r="AI952" s="26">
        <f t="shared" si="556"/>
        <v>6.1535421345381508E-2</v>
      </c>
      <c r="AJ952" s="26">
        <f t="shared" si="557"/>
        <v>-2.7513858883550064</v>
      </c>
      <c r="AK952" s="26">
        <f t="shared" si="558"/>
        <v>6.0008428106449421E-2</v>
      </c>
      <c r="AL952" s="26">
        <f t="shared" si="559"/>
        <v>1.8005057219034545E-3</v>
      </c>
      <c r="AM952" s="27">
        <f t="shared" si="560"/>
        <v>7.4746941364502838E-3</v>
      </c>
    </row>
    <row r="953" spans="1:39" ht="15" customHeight="1" x14ac:dyDescent="0.2">
      <c r="A953" s="24">
        <v>942</v>
      </c>
      <c r="B953" s="29">
        <f t="shared" si="561"/>
        <v>5.9088981978040849</v>
      </c>
      <c r="C953" s="29">
        <f t="shared" si="562"/>
        <v>-5.8280087926794391</v>
      </c>
      <c r="D953" s="29">
        <f t="shared" si="563"/>
        <v>-3.4932193269539589</v>
      </c>
      <c r="E953" s="29">
        <f t="shared" si="564"/>
        <v>-4.6772965969628189</v>
      </c>
      <c r="F953" s="29">
        <f t="shared" si="565"/>
        <v>4.3717293890892615</v>
      </c>
      <c r="G953" s="29">
        <f t="shared" si="566"/>
        <v>-2.419855256402101</v>
      </c>
      <c r="H953" s="29">
        <f t="shared" si="567"/>
        <v>6.8105015978502843</v>
      </c>
      <c r="I953" s="29">
        <f t="shared" si="568"/>
        <v>6.9845992706659255</v>
      </c>
      <c r="J953" s="29">
        <f t="shared" si="569"/>
        <v>-3.3995353554025849</v>
      </c>
      <c r="K953" s="26">
        <f t="shared" si="532"/>
        <v>-3.4932193269539589</v>
      </c>
      <c r="L953" s="26">
        <f t="shared" si="533"/>
        <v>2.9505778384616654E-2</v>
      </c>
      <c r="M953" s="26">
        <f t="shared" si="534"/>
        <v>-2.419855256402101</v>
      </c>
      <c r="N953" s="26">
        <f t="shared" si="535"/>
        <v>8.1671110710242967E-2</v>
      </c>
      <c r="O953" s="26">
        <f t="shared" si="536"/>
        <v>-2.6281462242670974</v>
      </c>
      <c r="P953" s="26">
        <f t="shared" si="537"/>
        <v>6.7348798338801572E-2</v>
      </c>
      <c r="Q953" s="26">
        <f t="shared" si="538"/>
        <v>2.2679303188402806E-3</v>
      </c>
      <c r="R953" s="26">
        <f t="shared" si="539"/>
        <v>-9.3212281196333979</v>
      </c>
      <c r="S953" s="26">
        <f t="shared" si="540"/>
        <v>8.9495911118893273E-5</v>
      </c>
      <c r="T953" s="26">
        <f t="shared" si="541"/>
        <v>1.9518741326871605</v>
      </c>
      <c r="U953" s="26">
        <f t="shared" si="542"/>
        <v>0.87565085315146762</v>
      </c>
      <c r="V953" s="26">
        <f t="shared" si="543"/>
        <v>2.7171444669228269</v>
      </c>
      <c r="W953" s="26">
        <f t="shared" si="544"/>
        <v>0.93803075175598716</v>
      </c>
      <c r="X953" s="26">
        <f t="shared" si="545"/>
        <v>1.9200938639640443E-3</v>
      </c>
      <c r="Y953" s="26">
        <f t="shared" si="546"/>
        <v>2.415678870850126</v>
      </c>
      <c r="Z953" s="26">
        <f t="shared" si="547"/>
        <v>0.91801510869509784</v>
      </c>
      <c r="AA953" s="26">
        <f t="shared" si="548"/>
        <v>-7.0971518533649203</v>
      </c>
      <c r="AB953" s="26">
        <f t="shared" si="549"/>
        <v>8.2677417171196383E-4</v>
      </c>
      <c r="AC953" s="26">
        <f t="shared" si="550"/>
        <v>2.8583826954928258</v>
      </c>
      <c r="AD953" s="26">
        <f t="shared" si="551"/>
        <v>0.94575038092197938</v>
      </c>
      <c r="AE953" s="26">
        <f t="shared" si="552"/>
        <v>1.4715105850551693E-3</v>
      </c>
      <c r="AF953" s="26">
        <f t="shared" si="553"/>
        <v>-3.4123299218293131</v>
      </c>
      <c r="AG953" s="26">
        <f t="shared" si="554"/>
        <v>3.1912338466199723E-2</v>
      </c>
      <c r="AH953" s="26">
        <f t="shared" si="555"/>
        <v>-2.7254224642756584</v>
      </c>
      <c r="AI953" s="26">
        <f t="shared" si="556"/>
        <v>6.1489797270384013E-2</v>
      </c>
      <c r="AJ953" s="26">
        <f t="shared" si="557"/>
        <v>-2.7527147301192727</v>
      </c>
      <c r="AK953" s="26">
        <f t="shared" si="558"/>
        <v>5.9933515386304814E-2</v>
      </c>
      <c r="AL953" s="26">
        <f t="shared" si="559"/>
        <v>1.796013133280218E-3</v>
      </c>
      <c r="AM953" s="27">
        <f t="shared" si="560"/>
        <v>7.4555479011397113E-3</v>
      </c>
    </row>
    <row r="954" spans="1:39" ht="15" customHeight="1" x14ac:dyDescent="0.2">
      <c r="A954" s="24">
        <v>943</v>
      </c>
      <c r="B954" s="29">
        <f t="shared" si="561"/>
        <v>5.9096144200556155</v>
      </c>
      <c r="C954" s="29">
        <f t="shared" si="562"/>
        <v>-5.8287170750414452</v>
      </c>
      <c r="D954" s="29">
        <f t="shared" si="563"/>
        <v>-3.4933259171655213</v>
      </c>
      <c r="E954" s="29">
        <f t="shared" si="564"/>
        <v>-4.6786416108533952</v>
      </c>
      <c r="F954" s="29">
        <f t="shared" si="565"/>
        <v>4.3731079006347793</v>
      </c>
      <c r="G954" s="29">
        <f t="shared" si="566"/>
        <v>-2.4206767738994754</v>
      </c>
      <c r="H954" s="29">
        <f t="shared" si="567"/>
        <v>6.8128245095665285</v>
      </c>
      <c r="I954" s="29">
        <f t="shared" si="568"/>
        <v>6.9872027190300541</v>
      </c>
      <c r="J954" s="29">
        <f t="shared" si="569"/>
        <v>-3.4007568972079252</v>
      </c>
      <c r="K954" s="26">
        <f t="shared" si="532"/>
        <v>-3.4933259171655213</v>
      </c>
      <c r="L954" s="26">
        <f t="shared" si="533"/>
        <v>2.9502726306995554E-2</v>
      </c>
      <c r="M954" s="26">
        <f t="shared" si="534"/>
        <v>-2.4206767738994754</v>
      </c>
      <c r="N954" s="26">
        <f t="shared" si="535"/>
        <v>8.1609517296330661E-2</v>
      </c>
      <c r="O954" s="26">
        <f t="shared" si="536"/>
        <v>-2.6295377591729405</v>
      </c>
      <c r="P954" s="26">
        <f t="shared" si="537"/>
        <v>6.7261444548831331E-2</v>
      </c>
      <c r="Q954" s="26">
        <f t="shared" si="538"/>
        <v>2.2620509613977559E-3</v>
      </c>
      <c r="R954" s="26">
        <f t="shared" si="539"/>
        <v>-9.322042992206967</v>
      </c>
      <c r="S954" s="26">
        <f t="shared" si="540"/>
        <v>8.9423019579588291E-5</v>
      </c>
      <c r="T954" s="26">
        <f t="shared" si="541"/>
        <v>1.9524311267353038</v>
      </c>
      <c r="U954" s="26">
        <f t="shared" si="542"/>
        <v>0.87571148955969247</v>
      </c>
      <c r="V954" s="26">
        <f t="shared" si="543"/>
        <v>2.718626027068928</v>
      </c>
      <c r="W954" s="26">
        <f t="shared" si="544"/>
        <v>0.93811681758558774</v>
      </c>
      <c r="X954" s="26">
        <f t="shared" si="545"/>
        <v>1.9147641328677116E-3</v>
      </c>
      <c r="Y954" s="26">
        <f t="shared" si="546"/>
        <v>2.4162885028900942</v>
      </c>
      <c r="Z954" s="26">
        <f t="shared" si="547"/>
        <v>0.91806097996517266</v>
      </c>
      <c r="AA954" s="26">
        <f t="shared" si="548"/>
        <v>-7.0993183847528707</v>
      </c>
      <c r="AB954" s="26">
        <f t="shared" si="549"/>
        <v>8.249863546405347E-4</v>
      </c>
      <c r="AC954" s="26">
        <f t="shared" si="550"/>
        <v>2.8595957952757756</v>
      </c>
      <c r="AD954" s="26">
        <f t="shared" si="551"/>
        <v>0.9458125872996791</v>
      </c>
      <c r="AE954" s="26">
        <f t="shared" si="552"/>
        <v>1.4681378475774496E-3</v>
      </c>
      <c r="AF954" s="26">
        <f t="shared" si="553"/>
        <v>-3.412428572151351</v>
      </c>
      <c r="AG954" s="26">
        <f t="shared" si="554"/>
        <v>3.190929090968872E-2</v>
      </c>
      <c r="AH954" s="26">
        <f t="shared" si="555"/>
        <v>-2.7262104841180914</v>
      </c>
      <c r="AI954" s="26">
        <f t="shared" si="556"/>
        <v>6.1444337300505136E-2</v>
      </c>
      <c r="AJ954" s="26">
        <f t="shared" si="557"/>
        <v>-2.75404045736042</v>
      </c>
      <c r="AK954" s="26">
        <f t="shared" si="558"/>
        <v>5.9858865501654729E-2</v>
      </c>
      <c r="AL954" s="26">
        <f t="shared" si="559"/>
        <v>1.7915418895725953E-3</v>
      </c>
      <c r="AM954" s="27">
        <f t="shared" si="560"/>
        <v>7.436494831415512E-3</v>
      </c>
    </row>
    <row r="955" spans="1:39" ht="15" customHeight="1" x14ac:dyDescent="0.2">
      <c r="A955" s="24">
        <v>944</v>
      </c>
      <c r="B955" s="29">
        <f t="shared" si="561"/>
        <v>5.910328762020189</v>
      </c>
      <c r="C955" s="29">
        <f t="shared" si="562"/>
        <v>-5.8294238281170889</v>
      </c>
      <c r="D955" s="29">
        <f t="shared" si="563"/>
        <v>-3.4934325310470391</v>
      </c>
      <c r="E955" s="29">
        <f t="shared" si="564"/>
        <v>-4.6799829761764746</v>
      </c>
      <c r="F955" s="29">
        <f t="shared" si="565"/>
        <v>4.3744826461592385</v>
      </c>
      <c r="G955" s="29">
        <f t="shared" si="566"/>
        <v>-2.4214958883277431</v>
      </c>
      <c r="H955" s="29">
        <f t="shared" si="567"/>
        <v>6.8151424535220819</v>
      </c>
      <c r="I955" s="29">
        <f t="shared" si="568"/>
        <v>6.989799685114142</v>
      </c>
      <c r="J955" s="29">
        <f t="shared" si="569"/>
        <v>-3.4019755945674701</v>
      </c>
      <c r="K955" s="26">
        <f t="shared" si="532"/>
        <v>-3.4934325310470391</v>
      </c>
      <c r="L955" s="26">
        <f t="shared" si="533"/>
        <v>2.9499673857827303E-2</v>
      </c>
      <c r="M955" s="26">
        <f t="shared" si="534"/>
        <v>-2.4214958883277431</v>
      </c>
      <c r="N955" s="26">
        <f t="shared" si="535"/>
        <v>8.1548146194040425E-2</v>
      </c>
      <c r="O955" s="26">
        <f t="shared" si="536"/>
        <v>-2.6309259083051897</v>
      </c>
      <c r="P955" s="26">
        <f t="shared" si="537"/>
        <v>6.7174408058393281E-2</v>
      </c>
      <c r="Q955" s="26">
        <f t="shared" si="538"/>
        <v>2.256200548997766E-3</v>
      </c>
      <c r="R955" s="26">
        <f t="shared" si="539"/>
        <v>-9.3228563591641276</v>
      </c>
      <c r="S955" s="26">
        <f t="shared" si="540"/>
        <v>8.9350321917980611E-5</v>
      </c>
      <c r="T955" s="26">
        <f t="shared" si="541"/>
        <v>1.9529867578314954</v>
      </c>
      <c r="U955" s="26">
        <f t="shared" si="542"/>
        <v>0.8757719523116978</v>
      </c>
      <c r="V955" s="26">
        <f t="shared" si="543"/>
        <v>2.720103857104772</v>
      </c>
      <c r="W955" s="26">
        <f t="shared" si="544"/>
        <v>0.93820255549172238</v>
      </c>
      <c r="X955" s="26">
        <f t="shared" si="545"/>
        <v>1.9094620738768259E-3</v>
      </c>
      <c r="Y955" s="26">
        <f t="shared" si="546"/>
        <v>2.4168962309731499</v>
      </c>
      <c r="Z955" s="26">
        <f t="shared" si="547"/>
        <v>0.9181066847070789</v>
      </c>
      <c r="AA955" s="26">
        <f t="shared" si="548"/>
        <v>-7.1014788645042177</v>
      </c>
      <c r="AB955" s="26">
        <f t="shared" si="549"/>
        <v>8.2320737799677836E-4</v>
      </c>
      <c r="AC955" s="26">
        <f t="shared" si="550"/>
        <v>2.8608063039136615</v>
      </c>
      <c r="AD955" s="26">
        <f t="shared" si="551"/>
        <v>0.94587459377374061</v>
      </c>
      <c r="AE955" s="26">
        <f t="shared" si="552"/>
        <v>1.4647797995787993E-3</v>
      </c>
      <c r="AF955" s="26">
        <f t="shared" si="553"/>
        <v>-3.4125275971439391</v>
      </c>
      <c r="AG955" s="26">
        <f t="shared" si="554"/>
        <v>3.1906232061710504E-2</v>
      </c>
      <c r="AH955" s="26">
        <f t="shared" si="555"/>
        <v>-2.7269962183449792</v>
      </c>
      <c r="AI955" s="26">
        <f t="shared" si="556"/>
        <v>6.1399040458902272E-2</v>
      </c>
      <c r="AJ955" s="26">
        <f t="shared" si="557"/>
        <v>-2.7553630842458339</v>
      </c>
      <c r="AK955" s="26">
        <f t="shared" si="558"/>
        <v>5.9784476955329277E-2</v>
      </c>
      <c r="AL955" s="26">
        <f t="shared" si="559"/>
        <v>1.7870918424111486E-3</v>
      </c>
      <c r="AM955" s="27">
        <f t="shared" si="560"/>
        <v>7.41753426486454E-3</v>
      </c>
    </row>
    <row r="956" spans="1:39" ht="15" customHeight="1" x14ac:dyDescent="0.2">
      <c r="A956" s="24">
        <v>945</v>
      </c>
      <c r="B956" s="29">
        <f t="shared" si="561"/>
        <v>5.9110412330415985</v>
      </c>
      <c r="C956" s="29">
        <f t="shared" si="562"/>
        <v>-5.8301290581275058</v>
      </c>
      <c r="D956" s="29">
        <f t="shared" si="563"/>
        <v>-3.493539167415622</v>
      </c>
      <c r="E956" s="29">
        <f t="shared" si="564"/>
        <v>-4.6813207110642852</v>
      </c>
      <c r="F956" s="29">
        <f t="shared" si="565"/>
        <v>4.3758536446407108</v>
      </c>
      <c r="G956" s="29">
        <f t="shared" si="566"/>
        <v>-2.422312612307659</v>
      </c>
      <c r="H956" s="29">
        <f t="shared" si="567"/>
        <v>6.8174554501342293</v>
      </c>
      <c r="I956" s="29">
        <f t="shared" si="568"/>
        <v>6.9923902000081535</v>
      </c>
      <c r="J956" s="29">
        <f t="shared" si="569"/>
        <v>-3.403191460385028</v>
      </c>
      <c r="K956" s="26">
        <f t="shared" si="532"/>
        <v>-3.493539167415622</v>
      </c>
      <c r="L956" s="26">
        <f t="shared" si="533"/>
        <v>2.9496621071149226E-2</v>
      </c>
      <c r="M956" s="26">
        <f t="shared" si="534"/>
        <v>-2.422312612307659</v>
      </c>
      <c r="N956" s="26">
        <f t="shared" si="535"/>
        <v>8.1486996065831874E-2</v>
      </c>
      <c r="O956" s="26">
        <f t="shared" si="536"/>
        <v>-2.6323106875841518</v>
      </c>
      <c r="P956" s="26">
        <f t="shared" si="537"/>
        <v>6.7087687001253324E-2</v>
      </c>
      <c r="Q956" s="26">
        <f t="shared" si="538"/>
        <v>2.2503788735890669E-3</v>
      </c>
      <c r="R956" s="26">
        <f t="shared" si="539"/>
        <v>-9.3236682255431269</v>
      </c>
      <c r="S956" s="26">
        <f t="shared" si="540"/>
        <v>8.9277817307932235E-5</v>
      </c>
      <c r="T956" s="26">
        <f t="shared" si="541"/>
        <v>1.9535410323330518</v>
      </c>
      <c r="U956" s="26">
        <f t="shared" si="542"/>
        <v>0.87583224229110612</v>
      </c>
      <c r="V956" s="26">
        <f t="shared" si="543"/>
        <v>2.7215779750046516</v>
      </c>
      <c r="W956" s="26">
        <f t="shared" si="544"/>
        <v>0.93828796747801024</v>
      </c>
      <c r="X956" s="26">
        <f t="shared" si="545"/>
        <v>1.9041874789975607E-3</v>
      </c>
      <c r="Y956" s="26">
        <f t="shared" si="546"/>
        <v>2.4175020656259765</v>
      </c>
      <c r="Z956" s="26">
        <f t="shared" si="547"/>
        <v>0.91815222393943641</v>
      </c>
      <c r="AA956" s="26">
        <f t="shared" si="548"/>
        <v>-7.1036333233719446</v>
      </c>
      <c r="AB956" s="26">
        <f t="shared" si="549"/>
        <v>8.2143717603306633E-4</v>
      </c>
      <c r="AC956" s="26">
        <f t="shared" si="550"/>
        <v>2.8620142320233621</v>
      </c>
      <c r="AD956" s="26">
        <f t="shared" si="551"/>
        <v>0.94593640137985047</v>
      </c>
      <c r="AE956" s="26">
        <f t="shared" si="552"/>
        <v>1.4614363478803172E-3</v>
      </c>
      <c r="AF956" s="26">
        <f t="shared" si="553"/>
        <v>-3.4126269925015293</v>
      </c>
      <c r="AG956" s="26">
        <f t="shared" si="554"/>
        <v>3.1903162058437788E-2</v>
      </c>
      <c r="AH956" s="26">
        <f t="shared" si="555"/>
        <v>-2.7277796787312334</v>
      </c>
      <c r="AI956" s="26">
        <f t="shared" si="556"/>
        <v>6.135390577673127E-2</v>
      </c>
      <c r="AJ956" s="26">
        <f t="shared" si="557"/>
        <v>-2.7566826248477763</v>
      </c>
      <c r="AK956" s="26">
        <f t="shared" si="558"/>
        <v>5.9710348261910434E-2</v>
      </c>
      <c r="AL956" s="26">
        <f t="shared" si="559"/>
        <v>1.7826628447793153E-3</v>
      </c>
      <c r="AM956" s="27">
        <f t="shared" si="560"/>
        <v>7.3986655452462601E-3</v>
      </c>
    </row>
    <row r="957" spans="1:39" ht="15" customHeight="1" x14ac:dyDescent="0.2">
      <c r="A957" s="24">
        <v>946</v>
      </c>
      <c r="B957" s="29">
        <f t="shared" si="561"/>
        <v>5.9117518423963631</v>
      </c>
      <c r="C957" s="29">
        <f t="shared" si="562"/>
        <v>-5.8308327712570724</v>
      </c>
      <c r="D957" s="29">
        <f t="shared" si="563"/>
        <v>-3.4936458251025604</v>
      </c>
      <c r="E957" s="29">
        <f t="shared" si="564"/>
        <v>-4.6826548335194342</v>
      </c>
      <c r="F957" s="29">
        <f t="shared" si="565"/>
        <v>4.3772209149190635</v>
      </c>
      <c r="G957" s="29">
        <f t="shared" si="566"/>
        <v>-2.4231269583655441</v>
      </c>
      <c r="H957" s="29">
        <f t="shared" si="567"/>
        <v>6.819763519697835</v>
      </c>
      <c r="I957" s="29">
        <f t="shared" si="568"/>
        <v>6.9949742945835869</v>
      </c>
      <c r="J957" s="29">
        <f t="shared" si="569"/>
        <v>-3.4044045074779121</v>
      </c>
      <c r="K957" s="26">
        <f t="shared" si="532"/>
        <v>-3.4936458251025604</v>
      </c>
      <c r="L957" s="26">
        <f t="shared" si="533"/>
        <v>2.9493567980579151E-2</v>
      </c>
      <c r="M957" s="26">
        <f t="shared" si="534"/>
        <v>-2.4231269583655441</v>
      </c>
      <c r="N957" s="26">
        <f t="shared" si="535"/>
        <v>8.142606558528924E-2</v>
      </c>
      <c r="O957" s="26">
        <f t="shared" si="536"/>
        <v>-2.6336921128200546</v>
      </c>
      <c r="P957" s="26">
        <f t="shared" si="537"/>
        <v>6.70012795262655E-2</v>
      </c>
      <c r="Q957" s="26">
        <f t="shared" si="538"/>
        <v>2.2445857290783822E-3</v>
      </c>
      <c r="R957" s="26">
        <f t="shared" si="539"/>
        <v>-9.3244785963596328</v>
      </c>
      <c r="S957" s="26">
        <f t="shared" si="540"/>
        <v>8.9205504927955198E-5</v>
      </c>
      <c r="T957" s="26">
        <f t="shared" si="541"/>
        <v>1.9540939565535194</v>
      </c>
      <c r="U957" s="26">
        <f t="shared" si="542"/>
        <v>0.87589236037508411</v>
      </c>
      <c r="V957" s="26">
        <f t="shared" si="543"/>
        <v>2.7230483986162084</v>
      </c>
      <c r="W957" s="26">
        <f t="shared" si="544"/>
        <v>0.93837305553134631</v>
      </c>
      <c r="X957" s="26">
        <f t="shared" si="545"/>
        <v>1.8989401422712627E-3</v>
      </c>
      <c r="Y957" s="26">
        <f t="shared" si="546"/>
        <v>2.4181060172938027</v>
      </c>
      <c r="Z957" s="26">
        <f t="shared" si="547"/>
        <v>0.91819759867229112</v>
      </c>
      <c r="AA957" s="26">
        <f t="shared" si="548"/>
        <v>-7.1057817918849784</v>
      </c>
      <c r="AB957" s="26">
        <f t="shared" si="549"/>
        <v>8.1967568364776282E-4</v>
      </c>
      <c r="AC957" s="26">
        <f t="shared" si="550"/>
        <v>2.8632195901585438</v>
      </c>
      <c r="AD957" s="26">
        <f t="shared" si="551"/>
        <v>0.94599801114636839</v>
      </c>
      <c r="AE957" s="26">
        <f t="shared" si="552"/>
        <v>1.4581074000738763E-3</v>
      </c>
      <c r="AF957" s="26">
        <f t="shared" si="553"/>
        <v>-3.4127267539632697</v>
      </c>
      <c r="AG957" s="26">
        <f t="shared" si="554"/>
        <v>3.1900081034624862E-2</v>
      </c>
      <c r="AH957" s="26">
        <f t="shared" si="555"/>
        <v>-2.7285608769659149</v>
      </c>
      <c r="AI957" s="26">
        <f t="shared" si="556"/>
        <v>6.1308932293063542E-2</v>
      </c>
      <c r="AJ957" s="26">
        <f t="shared" si="557"/>
        <v>-2.7579990931442278</v>
      </c>
      <c r="AK957" s="26">
        <f t="shared" si="558"/>
        <v>5.9636477947614862E-2</v>
      </c>
      <c r="AL957" s="26">
        <f t="shared" si="559"/>
        <v>1.7782547509981768E-3</v>
      </c>
      <c r="AM957" s="27">
        <f t="shared" si="560"/>
        <v>7.3798880224216976E-3</v>
      </c>
    </row>
    <row r="958" spans="1:39" ht="15" customHeight="1" x14ac:dyDescent="0.2">
      <c r="A958" s="24">
        <v>947</v>
      </c>
      <c r="B958" s="29">
        <f t="shared" si="561"/>
        <v>5.912460599294354</v>
      </c>
      <c r="C958" s="29">
        <f t="shared" si="562"/>
        <v>-5.8315349736536888</v>
      </c>
      <c r="D958" s="29">
        <f t="shared" si="563"/>
        <v>-3.4937525029531535</v>
      </c>
      <c r="E958" s="29">
        <f t="shared" si="564"/>
        <v>-4.6839853614161084</v>
      </c>
      <c r="F958" s="29">
        <f t="shared" si="565"/>
        <v>4.3785844756972665</v>
      </c>
      <c r="G958" s="29">
        <f t="shared" si="566"/>
        <v>-2.4239389389341972</v>
      </c>
      <c r="H958" s="29">
        <f t="shared" si="567"/>
        <v>6.8220666823862999</v>
      </c>
      <c r="I958" s="29">
        <f t="shared" si="568"/>
        <v>6.9975519994954887</v>
      </c>
      <c r="J958" s="29">
        <f t="shared" si="569"/>
        <v>-3.405614748577706</v>
      </c>
      <c r="K958" s="26">
        <f t="shared" si="532"/>
        <v>-3.4937525029531535</v>
      </c>
      <c r="L958" s="26">
        <f t="shared" si="533"/>
        <v>2.9490514619320545E-2</v>
      </c>
      <c r="M958" s="26">
        <f t="shared" si="534"/>
        <v>-2.4239389389341972</v>
      </c>
      <c r="N958" s="26">
        <f t="shared" si="535"/>
        <v>8.1365353437003948E-2</v>
      </c>
      <c r="O958" s="26">
        <f t="shared" si="536"/>
        <v>-2.6350701997140491</v>
      </c>
      <c r="P958" s="26">
        <f t="shared" si="537"/>
        <v>6.6915183797216976E-2</v>
      </c>
      <c r="Q958" s="26">
        <f t="shared" si="538"/>
        <v>2.2388209113076646E-3</v>
      </c>
      <c r="R958" s="26">
        <f t="shared" si="539"/>
        <v>-9.3252874766068423</v>
      </c>
      <c r="S958" s="26">
        <f t="shared" si="540"/>
        <v>8.9133383961180994E-5</v>
      </c>
      <c r="T958" s="26">
        <f t="shared" si="541"/>
        <v>1.9546455367630693</v>
      </c>
      <c r="U958" s="26">
        <f t="shared" si="542"/>
        <v>0.87595230743440378</v>
      </c>
      <c r="V958" s="26">
        <f t="shared" si="543"/>
        <v>2.7245151456616035</v>
      </c>
      <c r="W958" s="26">
        <f t="shared" si="544"/>
        <v>0.93845782162207636</v>
      </c>
      <c r="X958" s="26">
        <f t="shared" si="545"/>
        <v>1.8937198597500859E-3</v>
      </c>
      <c r="Y958" s="26">
        <f t="shared" si="546"/>
        <v>2.4187080963412004</v>
      </c>
      <c r="Z958" s="26">
        <f t="shared" si="547"/>
        <v>0.91824280990720497</v>
      </c>
      <c r="AA958" s="26">
        <f t="shared" si="548"/>
        <v>-7.1079243003503052</v>
      </c>
      <c r="AB958" s="26">
        <f t="shared" si="549"/>
        <v>8.1792283637737513E-4</v>
      </c>
      <c r="AC958" s="26">
        <f t="shared" si="550"/>
        <v>2.8644223888101394</v>
      </c>
      <c r="AD958" s="26">
        <f t="shared" si="551"/>
        <v>0.94605942409439325</v>
      </c>
      <c r="AE958" s="26">
        <f t="shared" si="552"/>
        <v>1.4547928645142615E-3</v>
      </c>
      <c r="AF958" s="26">
        <f t="shared" si="553"/>
        <v>-3.4128268773124883</v>
      </c>
      <c r="AG958" s="26">
        <f t="shared" si="554"/>
        <v>3.1896989123623806E-2</v>
      </c>
      <c r="AH958" s="26">
        <f t="shared" si="555"/>
        <v>-2.7293398246530391</v>
      </c>
      <c r="AI958" s="26">
        <f t="shared" si="556"/>
        <v>6.1264119054804146E-2</v>
      </c>
      <c r="AJ958" s="26">
        <f t="shared" si="557"/>
        <v>-2.7593125030197196</v>
      </c>
      <c r="AK958" s="26">
        <f t="shared" si="558"/>
        <v>5.9562864550178091E-2</v>
      </c>
      <c r="AL958" s="26">
        <f t="shared" si="559"/>
        <v>1.7738674167114309E-3</v>
      </c>
      <c r="AM958" s="27">
        <f t="shared" si="560"/>
        <v>7.3612010522834427E-3</v>
      </c>
    </row>
    <row r="959" spans="1:39" ht="15" customHeight="1" x14ac:dyDescent="0.2">
      <c r="A959" s="24">
        <v>948</v>
      </c>
      <c r="B959" s="29">
        <f t="shared" si="561"/>
        <v>5.913167512879415</v>
      </c>
      <c r="C959" s="29">
        <f t="shared" si="562"/>
        <v>-5.8322356714290589</v>
      </c>
      <c r="D959" s="29">
        <f t="shared" si="563"/>
        <v>-3.4938591998265403</v>
      </c>
      <c r="E959" s="29">
        <f t="shared" si="564"/>
        <v>-4.6853123125012637</v>
      </c>
      <c r="F959" s="29">
        <f t="shared" si="565"/>
        <v>4.3799443455426896</v>
      </c>
      <c r="G959" s="29">
        <f t="shared" si="566"/>
        <v>-2.424748566353796</v>
      </c>
      <c r="H959" s="29">
        <f t="shared" si="567"/>
        <v>6.8243649582525059</v>
      </c>
      <c r="I959" s="29">
        <f t="shared" si="568"/>
        <v>7.0001233451844387</v>
      </c>
      <c r="J959" s="29">
        <f t="shared" si="569"/>
        <v>-3.4068221963310177</v>
      </c>
      <c r="K959" s="26">
        <f t="shared" si="532"/>
        <v>-3.4938591998265403</v>
      </c>
      <c r="L959" s="26">
        <f t="shared" si="533"/>
        <v>2.9487461020167548E-2</v>
      </c>
      <c r="M959" s="26">
        <f t="shared" si="534"/>
        <v>-2.424748566353796</v>
      </c>
      <c r="N959" s="26">
        <f t="shared" si="535"/>
        <v>8.1304858316458645E-2</v>
      </c>
      <c r="O959" s="26">
        <f t="shared" si="536"/>
        <v>-2.6364449638591942</v>
      </c>
      <c r="P959" s="26">
        <f t="shared" si="537"/>
        <v>6.6829397992675704E-2</v>
      </c>
      <c r="Q959" s="26">
        <f t="shared" si="538"/>
        <v>2.2330842180317235E-3</v>
      </c>
      <c r="R959" s="26">
        <f t="shared" si="539"/>
        <v>-9.3260948712555987</v>
      </c>
      <c r="S959" s="26">
        <f t="shared" si="540"/>
        <v>8.9061453595329259E-5</v>
      </c>
      <c r="T959" s="26">
        <f t="shared" si="541"/>
        <v>1.9551957791888936</v>
      </c>
      <c r="U959" s="26">
        <f t="shared" si="542"/>
        <v>0.87601208433350375</v>
      </c>
      <c r="V959" s="26">
        <f t="shared" si="543"/>
        <v>2.7259782337386684</v>
      </c>
      <c r="W959" s="26">
        <f t="shared" si="544"/>
        <v>0.93854226770417226</v>
      </c>
      <c r="X959" s="26">
        <f t="shared" si="545"/>
        <v>1.8885264294728138E-3</v>
      </c>
      <c r="Y959" s="26">
        <f t="shared" si="546"/>
        <v>2.4193083130528747</v>
      </c>
      <c r="Z959" s="26">
        <f t="shared" si="547"/>
        <v>0.91828785863734652</v>
      </c>
      <c r="AA959" s="26">
        <f t="shared" si="548"/>
        <v>-7.1100608788550597</v>
      </c>
      <c r="AB959" s="26">
        <f t="shared" si="549"/>
        <v>8.161785703888196E-4</v>
      </c>
      <c r="AC959" s="26">
        <f t="shared" si="550"/>
        <v>2.8656226384068391</v>
      </c>
      <c r="AD959" s="26">
        <f t="shared" si="551"/>
        <v>0.94612064123782669</v>
      </c>
      <c r="AE959" s="26">
        <f t="shared" si="552"/>
        <v>1.451492650311491E-3</v>
      </c>
      <c r="AF959" s="26">
        <f t="shared" si="553"/>
        <v>-3.4129273583761841</v>
      </c>
      <c r="AG959" s="26">
        <f t="shared" si="554"/>
        <v>3.1893886457400343E-2</v>
      </c>
      <c r="AH959" s="26">
        <f t="shared" si="555"/>
        <v>-2.73011653331237</v>
      </c>
      <c r="AI959" s="26">
        <f t="shared" si="556"/>
        <v>6.1219465116611159E-2</v>
      </c>
      <c r="AJ959" s="26">
        <f t="shared" si="557"/>
        <v>-2.7606228682661564</v>
      </c>
      <c r="AK959" s="26">
        <f t="shared" si="558"/>
        <v>5.9489506618740112E-2</v>
      </c>
      <c r="AL959" s="26">
        <f t="shared" si="559"/>
        <v>1.7695006988705617E-3</v>
      </c>
      <c r="AM959" s="27">
        <f t="shared" si="560"/>
        <v>7.3426039966865897E-3</v>
      </c>
    </row>
    <row r="960" spans="1:39" ht="15" customHeight="1" x14ac:dyDescent="0.2">
      <c r="A960" s="24">
        <v>949</v>
      </c>
      <c r="B960" s="29">
        <f t="shared" si="561"/>
        <v>5.9138725922299784</v>
      </c>
      <c r="C960" s="29">
        <f t="shared" si="562"/>
        <v>-5.8329348706589679</v>
      </c>
      <c r="D960" s="29">
        <f t="shared" si="563"/>
        <v>-3.493965914595532</v>
      </c>
      <c r="E960" s="29">
        <f t="shared" si="564"/>
        <v>-4.6866357043958002</v>
      </c>
      <c r="F960" s="29">
        <f t="shared" si="565"/>
        <v>4.3813005428883836</v>
      </c>
      <c r="G960" s="29">
        <f t="shared" si="566"/>
        <v>-2.425555852872789</v>
      </c>
      <c r="H960" s="29">
        <f t="shared" si="567"/>
        <v>6.8266583672297525</v>
      </c>
      <c r="I960" s="29">
        <f t="shared" si="568"/>
        <v>7.0026883618785165</v>
      </c>
      <c r="J960" s="29">
        <f t="shared" si="569"/>
        <v>-3.4080268633002286</v>
      </c>
      <c r="K960" s="26">
        <f t="shared" si="532"/>
        <v>-3.493965914595532</v>
      </c>
      <c r="L960" s="26">
        <f t="shared" si="533"/>
        <v>2.948440721550993E-2</v>
      </c>
      <c r="M960" s="26">
        <f t="shared" si="534"/>
        <v>-2.425555852872789</v>
      </c>
      <c r="N960" s="26">
        <f t="shared" si="535"/>
        <v>8.1244578929912728E-2</v>
      </c>
      <c r="O960" s="26">
        <f t="shared" si="536"/>
        <v>-2.6378164207414381</v>
      </c>
      <c r="P960" s="26">
        <f t="shared" si="537"/>
        <v>6.6743920305839199E-2</v>
      </c>
      <c r="Q960" s="26">
        <f t="shared" si="538"/>
        <v>2.2273754488961071E-3</v>
      </c>
      <c r="R960" s="26">
        <f t="shared" si="539"/>
        <v>-9.3269007852544998</v>
      </c>
      <c r="S960" s="26">
        <f t="shared" si="540"/>
        <v>8.8989713022677398E-5</v>
      </c>
      <c r="T960" s="26">
        <f t="shared" si="541"/>
        <v>1.9557446900155946</v>
      </c>
      <c r="U960" s="26">
        <f t="shared" si="542"/>
        <v>0.87607169193054846</v>
      </c>
      <c r="V960" s="26">
        <f t="shared" si="543"/>
        <v>2.7274376803220481</v>
      </c>
      <c r="W960" s="26">
        <f t="shared" si="544"/>
        <v>0.93862639571540274</v>
      </c>
      <c r="X960" s="26">
        <f t="shared" si="545"/>
        <v>1.8833596514411675E-3</v>
      </c>
      <c r="Y960" s="26">
        <f t="shared" si="546"/>
        <v>2.4199066776344464</v>
      </c>
      <c r="Z960" s="26">
        <f t="shared" si="547"/>
        <v>0.91833274584757951</v>
      </c>
      <c r="AA960" s="26">
        <f t="shared" si="548"/>
        <v>-7.1121915572685896</v>
      </c>
      <c r="AB960" s="26">
        <f t="shared" si="549"/>
        <v>8.1444282247179691E-4</v>
      </c>
      <c r="AC960" s="26">
        <f t="shared" si="550"/>
        <v>2.8668203493155633</v>
      </c>
      <c r="AD960" s="26">
        <f t="shared" si="551"/>
        <v>0.94618166358343714</v>
      </c>
      <c r="AE960" s="26">
        <f t="shared" si="552"/>
        <v>1.4482066673231681E-3</v>
      </c>
      <c r="AF960" s="26">
        <f t="shared" si="553"/>
        <v>-3.4130281930245214</v>
      </c>
      <c r="AG960" s="26">
        <f t="shared" si="554"/>
        <v>3.1890773166549674E-2</v>
      </c>
      <c r="AH960" s="26">
        <f t="shared" si="555"/>
        <v>-2.7308910143802057</v>
      </c>
      <c r="AI960" s="26">
        <f t="shared" si="556"/>
        <v>6.1174969540815895E-2</v>
      </c>
      <c r="AJ960" s="26">
        <f t="shared" si="557"/>
        <v>-2.7619302025836321</v>
      </c>
      <c r="AK960" s="26">
        <f t="shared" si="558"/>
        <v>5.9416402713732303E-2</v>
      </c>
      <c r="AL960" s="26">
        <f t="shared" si="559"/>
        <v>1.7651544557202076E-3</v>
      </c>
      <c r="AM960" s="27">
        <f t="shared" si="560"/>
        <v>7.3240962233806512E-3</v>
      </c>
    </row>
    <row r="961" spans="1:39" ht="15" customHeight="1" x14ac:dyDescent="0.2">
      <c r="A961" s="24">
        <v>950</v>
      </c>
      <c r="B961" s="29">
        <f t="shared" si="561"/>
        <v>5.9145758463596714</v>
      </c>
      <c r="C961" s="29">
        <f t="shared" si="562"/>
        <v>-5.8336325773835576</v>
      </c>
      <c r="D961" s="29">
        <f t="shared" si="563"/>
        <v>-3.4940726461464471</v>
      </c>
      <c r="E961" s="29">
        <f t="shared" si="564"/>
        <v>-4.6879555545957245</v>
      </c>
      <c r="F961" s="29">
        <f t="shared" si="565"/>
        <v>4.3826530860343427</v>
      </c>
      <c r="G961" s="29">
        <f t="shared" si="566"/>
        <v>-2.4263608106487733</v>
      </c>
      <c r="H961" s="29">
        <f t="shared" si="567"/>
        <v>6.8289469291326856</v>
      </c>
      <c r="I961" s="29">
        <f t="shared" si="568"/>
        <v>7.005247079595244</v>
      </c>
      <c r="J961" s="29">
        <f t="shared" si="569"/>
        <v>-3.4092287619642336</v>
      </c>
      <c r="K961" s="26">
        <f t="shared" si="532"/>
        <v>-3.4940726461464471</v>
      </c>
      <c r="L961" s="26">
        <f t="shared" si="533"/>
        <v>2.9481353237338057E-2</v>
      </c>
      <c r="M961" s="26">
        <f t="shared" si="534"/>
        <v>-2.4263608106487733</v>
      </c>
      <c r="N961" s="26">
        <f t="shared" si="535"/>
        <v>8.1184513994289415E-2</v>
      </c>
      <c r="O961" s="26">
        <f t="shared" si="536"/>
        <v>-2.6391845857405829</v>
      </c>
      <c r="P961" s="26">
        <f t="shared" si="537"/>
        <v>6.6658748944385698E-2</v>
      </c>
      <c r="Q961" s="26">
        <f t="shared" si="538"/>
        <v>2.2216944054153209E-3</v>
      </c>
      <c r="R961" s="26">
        <f t="shared" si="539"/>
        <v>-9.3277052235300051</v>
      </c>
      <c r="S961" s="26">
        <f t="shared" si="540"/>
        <v>8.8918161440030674E-5</v>
      </c>
      <c r="T961" s="26">
        <f t="shared" si="541"/>
        <v>1.9562922753855694</v>
      </c>
      <c r="U961" s="26">
        <f t="shared" si="542"/>
        <v>0.87613113107748863</v>
      </c>
      <c r="V961" s="26">
        <f t="shared" si="543"/>
        <v>2.7288935027643317</v>
      </c>
      <c r="W961" s="26">
        <f t="shared" si="544"/>
        <v>0.93871020757750356</v>
      </c>
      <c r="X961" s="26">
        <f t="shared" si="545"/>
        <v>1.8782193275963509E-3</v>
      </c>
      <c r="Y961" s="26">
        <f t="shared" si="546"/>
        <v>2.4205032002132243</v>
      </c>
      <c r="Z961" s="26">
        <f t="shared" si="547"/>
        <v>0.91837747251454993</v>
      </c>
      <c r="AA961" s="26">
        <f t="shared" si="548"/>
        <v>-7.1143163652444983</v>
      </c>
      <c r="AB961" s="26">
        <f t="shared" si="549"/>
        <v>8.127155300312796E-4</v>
      </c>
      <c r="AC961" s="26">
        <f t="shared" si="550"/>
        <v>2.8680155318419329</v>
      </c>
      <c r="AD961" s="26">
        <f t="shared" si="551"/>
        <v>0.94624249213092293</v>
      </c>
      <c r="AE961" s="26">
        <f t="shared" si="552"/>
        <v>1.4449348261469416E-3</v>
      </c>
      <c r="AF961" s="26">
        <f t="shared" si="553"/>
        <v>-3.4131293771703333</v>
      </c>
      <c r="AG961" s="26">
        <f t="shared" si="554"/>
        <v>3.1887649380312029E-2</v>
      </c>
      <c r="AH961" s="26">
        <f t="shared" si="555"/>
        <v>-2.7316632792101552</v>
      </c>
      <c r="AI961" s="26">
        <f t="shared" si="556"/>
        <v>6.1130631397344044E-2</v>
      </c>
      <c r="AJ961" s="26">
        <f t="shared" si="557"/>
        <v>-2.7632345195812342</v>
      </c>
      <c r="AK961" s="26">
        <f t="shared" si="558"/>
        <v>5.9343551406765754E-2</v>
      </c>
      <c r="AL961" s="26">
        <f t="shared" si="559"/>
        <v>1.7608285467837249E-3</v>
      </c>
      <c r="AM961" s="27">
        <f t="shared" si="560"/>
        <v>7.3056771059423382E-3</v>
      </c>
    </row>
    <row r="962" spans="1:39" ht="15" customHeight="1" x14ac:dyDescent="0.2">
      <c r="A962" s="24">
        <v>951</v>
      </c>
      <c r="B962" s="29">
        <f t="shared" si="561"/>
        <v>5.9152772842179147</v>
      </c>
      <c r="C962" s="29">
        <f t="shared" si="562"/>
        <v>-5.8343287976075979</v>
      </c>
      <c r="D962" s="29">
        <f t="shared" si="563"/>
        <v>-3.4941793933789471</v>
      </c>
      <c r="E962" s="29">
        <f t="shared" si="564"/>
        <v>-4.6892718804732985</v>
      </c>
      <c r="F962" s="29">
        <f t="shared" si="565"/>
        <v>4.3840019931487566</v>
      </c>
      <c r="G962" s="29">
        <f t="shared" si="566"/>
        <v>-2.4271634517493661</v>
      </c>
      <c r="H962" s="29">
        <f t="shared" si="567"/>
        <v>6.8312306636582152</v>
      </c>
      <c r="I962" s="29">
        <f t="shared" si="568"/>
        <v>7.007799528143507</v>
      </c>
      <c r="J962" s="29">
        <f t="shared" si="569"/>
        <v>-3.410427904719171</v>
      </c>
      <c r="K962" s="26">
        <f t="shared" si="532"/>
        <v>-3.4941793933789471</v>
      </c>
      <c r="L962" s="26">
        <f t="shared" si="533"/>
        <v>2.9478299117247742E-2</v>
      </c>
      <c r="M962" s="26">
        <f t="shared" si="534"/>
        <v>-2.4271634517493661</v>
      </c>
      <c r="N962" s="26">
        <f t="shared" si="535"/>
        <v>8.1124662237064188E-2</v>
      </c>
      <c r="O962" s="26">
        <f t="shared" si="536"/>
        <v>-2.6405494741312396</v>
      </c>
      <c r="P962" s="26">
        <f t="shared" si="537"/>
        <v>6.6573882130327056E-2</v>
      </c>
      <c r="Q962" s="26">
        <f t="shared" si="538"/>
        <v>2.2160408909513399E-3</v>
      </c>
      <c r="R962" s="26">
        <f t="shared" si="539"/>
        <v>-9.328508190986545</v>
      </c>
      <c r="S962" s="26">
        <f t="shared" si="540"/>
        <v>8.8846798048692054E-5</v>
      </c>
      <c r="T962" s="26">
        <f t="shared" si="541"/>
        <v>1.9568385413993905</v>
      </c>
      <c r="U962" s="26">
        <f t="shared" si="542"/>
        <v>0.87619040262011871</v>
      </c>
      <c r="V962" s="26">
        <f t="shared" si="543"/>
        <v>2.7303457182971647</v>
      </c>
      <c r="W962" s="26">
        <f t="shared" si="544"/>
        <v>0.93879370519634486</v>
      </c>
      <c r="X962" s="26">
        <f t="shared" si="545"/>
        <v>1.8731052617959709E-3</v>
      </c>
      <c r="Y962" s="26">
        <f t="shared" si="546"/>
        <v>2.4210978908389675</v>
      </c>
      <c r="Z962" s="26">
        <f t="shared" si="547"/>
        <v>0.91842203960677271</v>
      </c>
      <c r="AA962" s="26">
        <f t="shared" si="548"/>
        <v>-7.1164353322226646</v>
      </c>
      <c r="AB962" s="26">
        <f t="shared" si="549"/>
        <v>8.1099663108010226E-4</v>
      </c>
      <c r="AC962" s="26">
        <f t="shared" si="550"/>
        <v>2.8692081962307441</v>
      </c>
      <c r="AD962" s="26">
        <f t="shared" si="551"/>
        <v>0.94630312787297455</v>
      </c>
      <c r="AE962" s="26">
        <f t="shared" si="552"/>
        <v>1.4416770381130615E-3</v>
      </c>
      <c r="AF962" s="26">
        <f t="shared" si="553"/>
        <v>-3.4132309067686304</v>
      </c>
      <c r="AG962" s="26">
        <f t="shared" si="554"/>
        <v>3.1884515226588014E-2</v>
      </c>
      <c r="AH962" s="26">
        <f t="shared" si="555"/>
        <v>-2.732433339073908</v>
      </c>
      <c r="AI962" s="26">
        <f t="shared" si="556"/>
        <v>6.108644976363798E-2</v>
      </c>
      <c r="AJ962" s="26">
        <f t="shared" si="557"/>
        <v>-2.7645358327778413</v>
      </c>
      <c r="AK962" s="26">
        <f t="shared" si="558"/>
        <v>5.9270951280520921E-2</v>
      </c>
      <c r="AL962" s="26">
        <f t="shared" si="559"/>
        <v>1.7565228328489423E-3</v>
      </c>
      <c r="AM962" s="27">
        <f t="shared" si="560"/>
        <v>7.2873460237093141E-3</v>
      </c>
    </row>
    <row r="963" spans="1:39" ht="15" customHeight="1" x14ac:dyDescent="0.2">
      <c r="A963" s="24">
        <v>952</v>
      </c>
      <c r="B963" s="29">
        <f t="shared" si="561"/>
        <v>5.9159769146905195</v>
      </c>
      <c r="C963" s="29">
        <f t="shared" si="562"/>
        <v>-5.8350235373007573</v>
      </c>
      <c r="D963" s="29">
        <f t="shared" si="563"/>
        <v>-3.4942861552058777</v>
      </c>
      <c r="E963" s="29">
        <f t="shared" si="564"/>
        <v>-4.6905846992781761</v>
      </c>
      <c r="F963" s="29">
        <f t="shared" si="565"/>
        <v>4.3853472822692465</v>
      </c>
      <c r="G963" s="29">
        <f t="shared" si="566"/>
        <v>-2.4279637881530634</v>
      </c>
      <c r="H963" s="29">
        <f t="shared" si="567"/>
        <v>6.833509590386428</v>
      </c>
      <c r="I963" s="29">
        <f t="shared" si="568"/>
        <v>7.0103457371254576</v>
      </c>
      <c r="J963" s="29">
        <f t="shared" si="569"/>
        <v>-3.4116243038791469</v>
      </c>
      <c r="K963" s="26">
        <f t="shared" si="532"/>
        <v>-3.4942861552058777</v>
      </c>
      <c r="L963" s="26">
        <f t="shared" si="533"/>
        <v>2.9475244886445002E-2</v>
      </c>
      <c r="M963" s="26">
        <f t="shared" si="534"/>
        <v>-2.4279637881530634</v>
      </c>
      <c r="N963" s="26">
        <f t="shared" si="535"/>
        <v>8.1065022396154526E-2</v>
      </c>
      <c r="O963" s="26">
        <f t="shared" si="536"/>
        <v>-2.6419111010837746</v>
      </c>
      <c r="P963" s="26">
        <f t="shared" si="537"/>
        <v>6.6489318099863248E-2</v>
      </c>
      <c r="Q963" s="26">
        <f t="shared" si="538"/>
        <v>2.2104147106924012E-3</v>
      </c>
      <c r="R963" s="26">
        <f t="shared" si="539"/>
        <v>-9.3293096925066354</v>
      </c>
      <c r="S963" s="26">
        <f t="shared" si="540"/>
        <v>8.8775622054431921E-5</v>
      </c>
      <c r="T963" s="26">
        <f t="shared" si="541"/>
        <v>1.9573834941161832</v>
      </c>
      <c r="U963" s="26">
        <f t="shared" si="542"/>
        <v>0.87624950739813601</v>
      </c>
      <c r="V963" s="26">
        <f t="shared" si="543"/>
        <v>2.7317943440323602</v>
      </c>
      <c r="W963" s="26">
        <f t="shared" si="544"/>
        <v>0.93887689046209666</v>
      </c>
      <c r="X963" s="26">
        <f t="shared" si="545"/>
        <v>1.8680172597912651E-3</v>
      </c>
      <c r="Y963" s="26">
        <f t="shared" si="546"/>
        <v>2.4216907594846417</v>
      </c>
      <c r="Z963" s="26">
        <f t="shared" si="547"/>
        <v>0.91846644808471722</v>
      </c>
      <c r="AA963" s="26">
        <f t="shared" si="548"/>
        <v>-7.118548487431239</v>
      </c>
      <c r="AB963" s="26">
        <f t="shared" si="549"/>
        <v>8.0928606423166143E-4</v>
      </c>
      <c r="AC963" s="26">
        <f t="shared" si="550"/>
        <v>2.8703983526664278</v>
      </c>
      <c r="AD963" s="26">
        <f t="shared" si="551"/>
        <v>0.94636357179533692</v>
      </c>
      <c r="AE963" s="26">
        <f t="shared" si="552"/>
        <v>1.4384332152769885E-3</v>
      </c>
      <c r="AF963" s="26">
        <f t="shared" si="553"/>
        <v>-3.4133327778161155</v>
      </c>
      <c r="AG963" s="26">
        <f t="shared" si="554"/>
        <v>3.1881370831953838E-2</v>
      </c>
      <c r="AH963" s="26">
        <f t="shared" si="555"/>
        <v>-2.7332012051619929</v>
      </c>
      <c r="AI963" s="26">
        <f t="shared" si="556"/>
        <v>6.104242372457977E-2</v>
      </c>
      <c r="AJ963" s="26">
        <f t="shared" si="557"/>
        <v>-2.7658341556029105</v>
      </c>
      <c r="AK963" s="26">
        <f t="shared" si="558"/>
        <v>5.919860092863858E-2</v>
      </c>
      <c r="AL963" s="26">
        <f t="shared" si="559"/>
        <v>1.7522371759541042E-3</v>
      </c>
      <c r="AM963" s="27">
        <f t="shared" si="560"/>
        <v>7.2691023617147583E-3</v>
      </c>
    </row>
    <row r="964" spans="1:39" ht="15" customHeight="1" x14ac:dyDescent="0.2">
      <c r="A964" s="24">
        <v>953</v>
      </c>
      <c r="B964" s="29">
        <f t="shared" si="561"/>
        <v>5.9166747466002709</v>
      </c>
      <c r="C964" s="29">
        <f t="shared" si="562"/>
        <v>-5.8357168023978705</v>
      </c>
      <c r="D964" s="29">
        <f t="shared" si="563"/>
        <v>-3.4943929305531083</v>
      </c>
      <c r="E964" s="29">
        <f t="shared" si="564"/>
        <v>-4.6918940281385257</v>
      </c>
      <c r="F964" s="29">
        <f t="shared" si="565"/>
        <v>4.3866889713040873</v>
      </c>
      <c r="G964" s="29">
        <f t="shared" si="566"/>
        <v>-2.4287618317500907</v>
      </c>
      <c r="H964" s="29">
        <f t="shared" si="567"/>
        <v>6.8357837287814869</v>
      </c>
      <c r="I964" s="29">
        <f t="shared" si="568"/>
        <v>7.01288573593839</v>
      </c>
      <c r="J964" s="29">
        <f t="shared" si="569"/>
        <v>-3.4128179716769513</v>
      </c>
      <c r="K964" s="26">
        <f t="shared" si="532"/>
        <v>-3.4943929305531083</v>
      </c>
      <c r="L964" s="26">
        <f t="shared" si="533"/>
        <v>2.9472190575750821E-2</v>
      </c>
      <c r="M964" s="26">
        <f t="shared" si="534"/>
        <v>-2.4287618317500907</v>
      </c>
      <c r="N964" s="26">
        <f t="shared" si="535"/>
        <v>8.1005593219811184E-2</v>
      </c>
      <c r="O964" s="26">
        <f t="shared" si="536"/>
        <v>-2.6432694816652456</v>
      </c>
      <c r="P964" s="26">
        <f t="shared" si="537"/>
        <v>6.6405055103238783E-2</v>
      </c>
      <c r="Q964" s="26">
        <f t="shared" si="538"/>
        <v>2.2048156716320895E-3</v>
      </c>
      <c r="R964" s="26">
        <f t="shared" si="539"/>
        <v>-9.3301097329509783</v>
      </c>
      <c r="S964" s="26">
        <f t="shared" si="540"/>
        <v>8.8704632667459149E-5</v>
      </c>
      <c r="T964" s="26">
        <f t="shared" si="541"/>
        <v>1.9579271395539966</v>
      </c>
      <c r="U964" s="26">
        <f t="shared" si="542"/>
        <v>0.87630844624519644</v>
      </c>
      <c r="V964" s="26">
        <f t="shared" si="543"/>
        <v>2.7332393969629751</v>
      </c>
      <c r="W964" s="26">
        <f t="shared" si="544"/>
        <v>0.93895976524939173</v>
      </c>
      <c r="X964" s="26">
        <f t="shared" si="545"/>
        <v>1.8629551292046827E-3</v>
      </c>
      <c r="Y964" s="26">
        <f t="shared" si="546"/>
        <v>2.4222818160471626</v>
      </c>
      <c r="Z964" s="26">
        <f t="shared" si="547"/>
        <v>0.9185106989008911</v>
      </c>
      <c r="AA964" s="26">
        <f t="shared" si="548"/>
        <v>-7.1206558598886165</v>
      </c>
      <c r="AB964" s="26">
        <f t="shared" si="549"/>
        <v>8.0758376869271859E-4</v>
      </c>
      <c r="AC964" s="26">
        <f t="shared" si="550"/>
        <v>2.8715860112735121</v>
      </c>
      <c r="AD964" s="26">
        <f t="shared" si="551"/>
        <v>0.94642382487686949</v>
      </c>
      <c r="AE964" s="26">
        <f t="shared" si="552"/>
        <v>1.4352032704121743E-3</v>
      </c>
      <c r="AF964" s="26">
        <f t="shared" si="553"/>
        <v>-3.4134349863507079</v>
      </c>
      <c r="AG964" s="26">
        <f t="shared" si="554"/>
        <v>3.18782163216762E-2</v>
      </c>
      <c r="AH964" s="26">
        <f t="shared" si="555"/>
        <v>-2.7339668885845292</v>
      </c>
      <c r="AI964" s="26">
        <f t="shared" si="556"/>
        <v>6.0998552372415381E-2</v>
      </c>
      <c r="AJ964" s="26">
        <f t="shared" si="557"/>
        <v>-2.7671295013972581</v>
      </c>
      <c r="AK964" s="26">
        <f t="shared" si="558"/>
        <v>5.9126498955612096E-2</v>
      </c>
      <c r="AL964" s="26">
        <f t="shared" si="559"/>
        <v>1.7479714393739991E-3</v>
      </c>
      <c r="AM964" s="27">
        <f t="shared" si="560"/>
        <v>7.2509455106229458E-3</v>
      </c>
    </row>
    <row r="965" spans="1:39" ht="15" customHeight="1" x14ac:dyDescent="0.2">
      <c r="A965" s="24">
        <v>954</v>
      </c>
      <c r="B965" s="29">
        <f t="shared" si="561"/>
        <v>5.9173707887075091</v>
      </c>
      <c r="C965" s="29">
        <f t="shared" si="562"/>
        <v>-5.8364085987992018</v>
      </c>
      <c r="D965" s="29">
        <f t="shared" si="563"/>
        <v>-3.4944997183593771</v>
      </c>
      <c r="E965" s="29">
        <f t="shared" si="564"/>
        <v>-4.6931998840621416</v>
      </c>
      <c r="F965" s="29">
        <f t="shared" si="565"/>
        <v>4.3880270780334136</v>
      </c>
      <c r="G965" s="29">
        <f t="shared" si="566"/>
        <v>-2.4295575943432413</v>
      </c>
      <c r="H965" s="29">
        <f t="shared" si="567"/>
        <v>6.8380530981925256</v>
      </c>
      <c r="I965" s="29">
        <f t="shared" si="568"/>
        <v>7.0154195537765984</v>
      </c>
      <c r="J965" s="29">
        <f t="shared" si="569"/>
        <v>-3.4140089202647648</v>
      </c>
      <c r="K965" s="26">
        <f t="shared" si="532"/>
        <v>-3.4944997183593771</v>
      </c>
      <c r="L965" s="26">
        <f t="shared" si="533"/>
        <v>2.9469136215605766E-2</v>
      </c>
      <c r="M965" s="26">
        <f t="shared" si="534"/>
        <v>-2.4295575943432413</v>
      </c>
      <c r="N965" s="26">
        <f t="shared" si="535"/>
        <v>8.0946373466510846E-2</v>
      </c>
      <c r="O965" s="26">
        <f t="shared" si="536"/>
        <v>-2.6446246308403207</v>
      </c>
      <c r="P965" s="26">
        <f t="shared" si="537"/>
        <v>6.6321091404601185E-2</v>
      </c>
      <c r="Q965" s="26">
        <f t="shared" si="538"/>
        <v>2.1992435825487324E-3</v>
      </c>
      <c r="R965" s="26">
        <f t="shared" si="539"/>
        <v>-9.3309083171585794</v>
      </c>
      <c r="S965" s="26">
        <f t="shared" si="540"/>
        <v>8.8633829102390885E-5</v>
      </c>
      <c r="T965" s="26">
        <f t="shared" si="541"/>
        <v>1.9584694836901724</v>
      </c>
      <c r="U965" s="26">
        <f t="shared" si="542"/>
        <v>0.8763672199889726</v>
      </c>
      <c r="V965" s="26">
        <f t="shared" si="543"/>
        <v>2.7346808939644092</v>
      </c>
      <c r="W965" s="26">
        <f t="shared" si="544"/>
        <v>0.93904233141748816</v>
      </c>
      <c r="X965" s="26">
        <f t="shared" si="545"/>
        <v>1.8579186795076752E-3</v>
      </c>
      <c r="Y965" s="26">
        <f t="shared" si="546"/>
        <v>2.422871070348132</v>
      </c>
      <c r="Z965" s="26">
        <f t="shared" si="547"/>
        <v>0.91855479299992404</v>
      </c>
      <c r="AA965" s="26">
        <f t="shared" si="548"/>
        <v>-7.1227574784053829</v>
      </c>
      <c r="AB965" s="26">
        <f t="shared" si="549"/>
        <v>8.0588968425630836E-4</v>
      </c>
      <c r="AC965" s="26">
        <f t="shared" si="550"/>
        <v>2.872771182117078</v>
      </c>
      <c r="AD965" s="26">
        <f t="shared" si="551"/>
        <v>0.94648388808960815</v>
      </c>
      <c r="AE965" s="26">
        <f t="shared" si="552"/>
        <v>1.4319871170027922E-3</v>
      </c>
      <c r="AF965" s="26">
        <f t="shared" si="553"/>
        <v>-3.4135375284510698</v>
      </c>
      <c r="AG965" s="26">
        <f t="shared" si="554"/>
        <v>3.1875051819727114E-2</v>
      </c>
      <c r="AH965" s="26">
        <f t="shared" si="555"/>
        <v>-2.7347304003719692</v>
      </c>
      <c r="AI965" s="26">
        <f t="shared" si="556"/>
        <v>6.0954834806679667E-2</v>
      </c>
      <c r="AJ965" s="26">
        <f t="shared" si="557"/>
        <v>-2.7684218834138297</v>
      </c>
      <c r="AK965" s="26">
        <f t="shared" si="558"/>
        <v>5.9054643976681025E-2</v>
      </c>
      <c r="AL965" s="26">
        <f t="shared" si="559"/>
        <v>1.7437254876062742E-3</v>
      </c>
      <c r="AM965" s="27">
        <f t="shared" si="560"/>
        <v>7.232874866665474E-3</v>
      </c>
    </row>
    <row r="966" spans="1:39" ht="15" customHeight="1" x14ac:dyDescent="0.2">
      <c r="A966" s="24">
        <v>955</v>
      </c>
      <c r="B966" s="29">
        <f t="shared" si="561"/>
        <v>5.9180650497107052</v>
      </c>
      <c r="C966" s="29">
        <f t="shared" si="562"/>
        <v>-5.8370989323707096</v>
      </c>
      <c r="D966" s="29">
        <f t="shared" si="563"/>
        <v>-3.4946065175761349</v>
      </c>
      <c r="E966" s="29">
        <f t="shared" si="564"/>
        <v>-4.694502283937541</v>
      </c>
      <c r="F966" s="29">
        <f t="shared" si="565"/>
        <v>4.3893616201104164</v>
      </c>
      <c r="G966" s="29">
        <f t="shared" si="566"/>
        <v>-2.4303510876487069</v>
      </c>
      <c r="H966" s="29">
        <f t="shared" si="567"/>
        <v>6.840317717854532</v>
      </c>
      <c r="I966" s="29">
        <f t="shared" si="568"/>
        <v>7.0179472196332133</v>
      </c>
      <c r="J966" s="29">
        <f t="shared" si="569"/>
        <v>-3.4151971617148611</v>
      </c>
      <c r="K966" s="26">
        <f t="shared" si="532"/>
        <v>-3.4946065175761349</v>
      </c>
      <c r="L966" s="26">
        <f t="shared" si="533"/>
        <v>2.9466081836074659E-2</v>
      </c>
      <c r="M966" s="26">
        <f t="shared" si="534"/>
        <v>-2.4303510876487069</v>
      </c>
      <c r="N966" s="26">
        <f t="shared" si="535"/>
        <v>8.0887361904850033E-2</v>
      </c>
      <c r="O966" s="26">
        <f t="shared" si="536"/>
        <v>-2.6459765634722006</v>
      </c>
      <c r="P966" s="26">
        <f t="shared" si="537"/>
        <v>6.6237425281860357E-2</v>
      </c>
      <c r="Q966" s="26">
        <f t="shared" si="538"/>
        <v>2.1936982539850166E-3</v>
      </c>
      <c r="R966" s="26">
        <f t="shared" si="539"/>
        <v>-9.3317054499468455</v>
      </c>
      <c r="S966" s="26">
        <f t="shared" si="540"/>
        <v>8.8563210578224128E-5</v>
      </c>
      <c r="T966" s="26">
        <f t="shared" si="541"/>
        <v>1.9590105324617095</v>
      </c>
      <c r="U966" s="26">
        <f t="shared" si="542"/>
        <v>0.87642582945120884</v>
      </c>
      <c r="V966" s="26">
        <f t="shared" si="543"/>
        <v>2.7361188517954513</v>
      </c>
      <c r="W966" s="26">
        <f t="shared" si="544"/>
        <v>0.93912459081042665</v>
      </c>
      <c r="X966" s="26">
        <f t="shared" si="545"/>
        <v>1.8529077219989957E-3</v>
      </c>
      <c r="Y966" s="26">
        <f t="shared" si="546"/>
        <v>2.4234585321345703</v>
      </c>
      <c r="Z966" s="26">
        <f t="shared" si="547"/>
        <v>0.918598731318649</v>
      </c>
      <c r="AA966" s="26">
        <f t="shared" si="548"/>
        <v>-7.1248533715862479</v>
      </c>
      <c r="AB966" s="26">
        <f t="shared" si="549"/>
        <v>8.0420375129474188E-4</v>
      </c>
      <c r="AC966" s="26">
        <f t="shared" si="550"/>
        <v>2.8739538752032061</v>
      </c>
      <c r="AD966" s="26">
        <f t="shared" si="551"/>
        <v>0.94654376239882332</v>
      </c>
      <c r="AE966" s="26">
        <f t="shared" si="552"/>
        <v>1.4287846692367279E-3</v>
      </c>
      <c r="AF966" s="26">
        <f t="shared" si="553"/>
        <v>-3.4136404002361393</v>
      </c>
      <c r="AG966" s="26">
        <f t="shared" si="554"/>
        <v>3.1871877448798575E-2</v>
      </c>
      <c r="AH966" s="26">
        <f t="shared" si="555"/>
        <v>-2.7354917514758315</v>
      </c>
      <c r="AI966" s="26">
        <f t="shared" si="556"/>
        <v>6.0911270134122369E-2</v>
      </c>
      <c r="AJ966" s="26">
        <f t="shared" si="557"/>
        <v>-2.7697113148184642</v>
      </c>
      <c r="AK966" s="26">
        <f t="shared" si="558"/>
        <v>5.898303461772577E-2</v>
      </c>
      <c r="AL966" s="26">
        <f t="shared" si="559"/>
        <v>1.7394991863579183E-3</v>
      </c>
      <c r="AM966" s="27">
        <f t="shared" si="560"/>
        <v>7.2148898315786579E-3</v>
      </c>
    </row>
    <row r="967" spans="1:39" ht="15" customHeight="1" x14ac:dyDescent="0.2">
      <c r="A967" s="24">
        <v>956</v>
      </c>
      <c r="B967" s="29">
        <f t="shared" si="561"/>
        <v>5.918757538247025</v>
      </c>
      <c r="C967" s="29">
        <f t="shared" si="562"/>
        <v>-5.837787808944304</v>
      </c>
      <c r="D967" s="29">
        <f t="shared" si="563"/>
        <v>-3.4947133271673936</v>
      </c>
      <c r="E967" s="29">
        <f t="shared" si="564"/>
        <v>-4.6958012445350512</v>
      </c>
      <c r="F967" s="29">
        <f t="shared" si="565"/>
        <v>4.3906926150625214</v>
      </c>
      <c r="G967" s="29">
        <f t="shared" si="566"/>
        <v>-2.4311423232968985</v>
      </c>
      <c r="H967" s="29">
        <f t="shared" si="567"/>
        <v>6.8425776068892281</v>
      </c>
      <c r="I967" s="29">
        <f t="shared" si="568"/>
        <v>7.0204687623020199</v>
      </c>
      <c r="J967" s="29">
        <f t="shared" si="569"/>
        <v>-3.4163827080202975</v>
      </c>
      <c r="K967" s="26">
        <f t="shared" si="532"/>
        <v>-3.4947133271673936</v>
      </c>
      <c r="L967" s="26">
        <f t="shared" si="533"/>
        <v>2.9463027466851074E-2</v>
      </c>
      <c r="M967" s="26">
        <f t="shared" si="534"/>
        <v>-2.4311423232968985</v>
      </c>
      <c r="N967" s="26">
        <f t="shared" si="535"/>
        <v>8.0828557313440311E-2</v>
      </c>
      <c r="O967" s="26">
        <f t="shared" si="536"/>
        <v>-2.6473252943235139</v>
      </c>
      <c r="P967" s="26">
        <f t="shared" si="537"/>
        <v>6.6154055026550765E-2</v>
      </c>
      <c r="Q967" s="26">
        <f t="shared" si="538"/>
        <v>2.1881794982279534E-3</v>
      </c>
      <c r="R967" s="26">
        <f t="shared" si="539"/>
        <v>-9.3325011361116985</v>
      </c>
      <c r="S967" s="26">
        <f t="shared" si="540"/>
        <v>8.849277631830633E-5</v>
      </c>
      <c r="T967" s="26">
        <f t="shared" si="541"/>
        <v>1.9595502917656229</v>
      </c>
      <c r="U967" s="26">
        <f t="shared" si="542"/>
        <v>0.87648427544777707</v>
      </c>
      <c r="V967" s="26">
        <f t="shared" si="543"/>
        <v>2.7375532870993475</v>
      </c>
      <c r="W967" s="26">
        <f t="shared" si="544"/>
        <v>0.93920654525718894</v>
      </c>
      <c r="X967" s="26">
        <f t="shared" si="545"/>
        <v>1.8479220697831082E-3</v>
      </c>
      <c r="Y967" s="26">
        <f t="shared" si="546"/>
        <v>2.4240442110796314</v>
      </c>
      <c r="Z967" s="26">
        <f t="shared" si="547"/>
        <v>0.91864251478618431</v>
      </c>
      <c r="AA967" s="26">
        <f t="shared" si="548"/>
        <v>-7.1269435678319493</v>
      </c>
      <c r="AB967" s="26">
        <f t="shared" si="549"/>
        <v>8.0252591075271327E-4</v>
      </c>
      <c r="AC967" s="26">
        <f t="shared" si="550"/>
        <v>2.8751341004794306</v>
      </c>
      <c r="AD967" s="26">
        <f t="shared" si="551"/>
        <v>0.94660344876308089</v>
      </c>
      <c r="AE967" s="26">
        <f t="shared" si="552"/>
        <v>1.4255958419984638E-3</v>
      </c>
      <c r="AF967" s="26">
        <f t="shared" si="553"/>
        <v>-3.4137435978646726</v>
      </c>
      <c r="AG967" s="26">
        <f t="shared" si="554"/>
        <v>3.1868693330316895E-2</v>
      </c>
      <c r="AH967" s="26">
        <f t="shared" si="555"/>
        <v>-2.7362509527694283</v>
      </c>
      <c r="AI967" s="26">
        <f t="shared" si="556"/>
        <v>6.0867857468634941E-2</v>
      </c>
      <c r="AJ967" s="26">
        <f t="shared" si="557"/>
        <v>-2.7709978086906477</v>
      </c>
      <c r="AK967" s="26">
        <f t="shared" si="558"/>
        <v>5.8911669515163849E-2</v>
      </c>
      <c r="AL967" s="26">
        <f t="shared" si="559"/>
        <v>1.7352924025319427E-3</v>
      </c>
      <c r="AM967" s="27">
        <f t="shared" si="560"/>
        <v>7.196989812541469E-3</v>
      </c>
    </row>
    <row r="968" spans="1:39" ht="15" customHeight="1" x14ac:dyDescent="0.2">
      <c r="A968" s="24">
        <v>957</v>
      </c>
      <c r="B968" s="29">
        <f t="shared" si="561"/>
        <v>5.9194482628928915</v>
      </c>
      <c r="C968" s="29">
        <f t="shared" si="562"/>
        <v>-5.8384752343181061</v>
      </c>
      <c r="D968" s="29">
        <f t="shared" si="563"/>
        <v>-3.4948201461095758</v>
      </c>
      <c r="E968" s="29">
        <f t="shared" si="564"/>
        <v>-4.6970967825078827</v>
      </c>
      <c r="F968" s="29">
        <f t="shared" si="565"/>
        <v>4.3920200802925562</v>
      </c>
      <c r="G968" s="29">
        <f t="shared" si="566"/>
        <v>-2.4319313128332563</v>
      </c>
      <c r="H968" s="29">
        <f t="shared" si="567"/>
        <v>6.8448327843059351</v>
      </c>
      <c r="I968" s="29">
        <f t="shared" si="568"/>
        <v>7.0229842103792528</v>
      </c>
      <c r="J968" s="29">
        <f t="shared" si="569"/>
        <v>-3.4175655710956026</v>
      </c>
      <c r="K968" s="26">
        <f t="shared" si="532"/>
        <v>-3.4948201461095758</v>
      </c>
      <c r="L968" s="26">
        <f t="shared" si="533"/>
        <v>2.9459973137261803E-2</v>
      </c>
      <c r="M968" s="26">
        <f t="shared" si="534"/>
        <v>-2.4319313128332563</v>
      </c>
      <c r="N968" s="26">
        <f t="shared" si="535"/>
        <v>8.0769958480804968E-2</v>
      </c>
      <c r="O968" s="26">
        <f t="shared" si="536"/>
        <v>-2.6486708380572197</v>
      </c>
      <c r="P968" s="26">
        <f t="shared" si="537"/>
        <v>6.6070978943694236E-2</v>
      </c>
      <c r="Q968" s="26">
        <f t="shared" si="538"/>
        <v>2.1826871292890434E-3</v>
      </c>
      <c r="R968" s="26">
        <f t="shared" si="539"/>
        <v>-9.3332953804276819</v>
      </c>
      <c r="S968" s="26">
        <f t="shared" si="540"/>
        <v>8.8422525550306509E-5</v>
      </c>
      <c r="T968" s="26">
        <f t="shared" si="541"/>
        <v>1.9600887674592999</v>
      </c>
      <c r="U968" s="26">
        <f t="shared" si="542"/>
        <v>0.87654255878873089</v>
      </c>
      <c r="V968" s="26">
        <f t="shared" si="543"/>
        <v>2.7389842164048401</v>
      </c>
      <c r="W968" s="26">
        <f t="shared" si="544"/>
        <v>0.93928819657185392</v>
      </c>
      <c r="X968" s="26">
        <f t="shared" si="545"/>
        <v>1.8429615377489252E-3</v>
      </c>
      <c r="Y968" s="26">
        <f t="shared" si="546"/>
        <v>2.4246281167833157</v>
      </c>
      <c r="Z968" s="26">
        <f t="shared" si="547"/>
        <v>0.9186861443240133</v>
      </c>
      <c r="AA968" s="26">
        <f t="shared" si="548"/>
        <v>-7.1290280953411393</v>
      </c>
      <c r="AB968" s="26">
        <f t="shared" si="549"/>
        <v>8.0085610414050109E-4</v>
      </c>
      <c r="AC968" s="26">
        <f t="shared" si="550"/>
        <v>2.8763118678351827</v>
      </c>
      <c r="AD968" s="26">
        <f t="shared" si="551"/>
        <v>0.94666294813429985</v>
      </c>
      <c r="AE968" s="26">
        <f t="shared" si="552"/>
        <v>1.4224205508621937E-3</v>
      </c>
      <c r="AF968" s="26">
        <f t="shared" si="553"/>
        <v>-3.4138471175347904</v>
      </c>
      <c r="AG968" s="26">
        <f t="shared" si="554"/>
        <v>3.1865499584456933E-2</v>
      </c>
      <c r="AH968" s="26">
        <f t="shared" si="555"/>
        <v>-2.7370080150485827</v>
      </c>
      <c r="AI968" s="26">
        <f t="shared" si="556"/>
        <v>6.0824595931178262E-2</v>
      </c>
      <c r="AJ968" s="26">
        <f t="shared" si="557"/>
        <v>-2.7722813780242612</v>
      </c>
      <c r="AK968" s="26">
        <f t="shared" si="558"/>
        <v>5.8840547315847015E-2</v>
      </c>
      <c r="AL968" s="26">
        <f t="shared" si="559"/>
        <v>1.7311050042142157E-3</v>
      </c>
      <c r="AM968" s="27">
        <f t="shared" si="560"/>
        <v>7.1791742221143789E-3</v>
      </c>
    </row>
    <row r="969" spans="1:39" ht="15" customHeight="1" x14ac:dyDescent="0.2">
      <c r="A969" s="24">
        <v>958</v>
      </c>
      <c r="B969" s="29">
        <f t="shared" si="561"/>
        <v>5.9201372321645405</v>
      </c>
      <c r="C969" s="29">
        <f t="shared" si="562"/>
        <v>-5.8391612142567011</v>
      </c>
      <c r="D969" s="29">
        <f t="shared" si="563"/>
        <v>-3.4949269733913662</v>
      </c>
      <c r="E969" s="29">
        <f t="shared" si="564"/>
        <v>-4.6983889143931901</v>
      </c>
      <c r="F969" s="29">
        <f t="shared" si="565"/>
        <v>4.3933440330799041</v>
      </c>
      <c r="G969" s="29">
        <f t="shared" si="566"/>
        <v>-2.4327180677190512</v>
      </c>
      <c r="H969" s="29">
        <f t="shared" si="567"/>
        <v>6.847083269002435</v>
      </c>
      <c r="I969" s="29">
        <f t="shared" si="568"/>
        <v>7.0254935922653718</v>
      </c>
      <c r="J969" s="29">
        <f t="shared" si="569"/>
        <v>-3.4187457627774518</v>
      </c>
      <c r="K969" s="26">
        <f t="shared" si="532"/>
        <v>-3.4949269733913662</v>
      </c>
      <c r="L969" s="26">
        <f t="shared" si="533"/>
        <v>2.9456918876271318E-2</v>
      </c>
      <c r="M969" s="26">
        <f t="shared" si="534"/>
        <v>-2.4327180677190512</v>
      </c>
      <c r="N969" s="26">
        <f t="shared" si="535"/>
        <v>8.0711564205276892E-2</v>
      </c>
      <c r="O969" s="26">
        <f t="shared" si="536"/>
        <v>-2.6500132092374846</v>
      </c>
      <c r="P969" s="26">
        <f t="shared" si="537"/>
        <v>6.5988195351665294E-2</v>
      </c>
      <c r="Q969" s="26">
        <f t="shared" si="538"/>
        <v>2.1772209628847707E-3</v>
      </c>
      <c r="R969" s="26">
        <f t="shared" si="539"/>
        <v>-9.3340881876480672</v>
      </c>
      <c r="S969" s="26">
        <f t="shared" si="540"/>
        <v>8.8352457506186687E-5</v>
      </c>
      <c r="T969" s="26">
        <f t="shared" si="541"/>
        <v>1.9606259653608529</v>
      </c>
      <c r="U969" s="26">
        <f t="shared" si="542"/>
        <v>0.87660068027836024</v>
      </c>
      <c r="V969" s="26">
        <f t="shared" si="543"/>
        <v>2.7404116561272001</v>
      </c>
      <c r="W969" s="26">
        <f t="shared" si="544"/>
        <v>0.93936954655374871</v>
      </c>
      <c r="X969" s="26">
        <f t="shared" si="545"/>
        <v>1.8380259425490222E-3</v>
      </c>
      <c r="Y969" s="26">
        <f t="shared" si="546"/>
        <v>2.4252102587731743</v>
      </c>
      <c r="Z969" s="26">
        <f t="shared" si="547"/>
        <v>0.91872962084606358</v>
      </c>
      <c r="AA969" s="26">
        <f t="shared" si="548"/>
        <v>-7.1311069821122413</v>
      </c>
      <c r="AB969" s="26">
        <f t="shared" si="549"/>
        <v>7.9919427352727324E-4</v>
      </c>
      <c r="AC969" s="26">
        <f t="shared" si="550"/>
        <v>2.8774871871022216</v>
      </c>
      <c r="AD969" s="26">
        <f t="shared" si="551"/>
        <v>0.94672226145780969</v>
      </c>
      <c r="AE969" s="26">
        <f t="shared" si="552"/>
        <v>1.4192587120849954E-3</v>
      </c>
      <c r="AF969" s="26">
        <f t="shared" si="553"/>
        <v>-3.4139509554835268</v>
      </c>
      <c r="AG969" s="26">
        <f t="shared" si="554"/>
        <v>3.1862296330156248E-2</v>
      </c>
      <c r="AH969" s="26">
        <f t="shared" si="555"/>
        <v>-2.7377629490323372</v>
      </c>
      <c r="AI969" s="26">
        <f t="shared" si="556"/>
        <v>6.0781484649711413E-2</v>
      </c>
      <c r="AJ969" s="26">
        <f t="shared" si="557"/>
        <v>-2.7735620357283177</v>
      </c>
      <c r="AK969" s="26">
        <f t="shared" si="558"/>
        <v>5.8769666676959882E-2</v>
      </c>
      <c r="AL969" s="26">
        <f t="shared" si="559"/>
        <v>1.7269368606604844E-3</v>
      </c>
      <c r="AM969" s="27">
        <f t="shared" si="560"/>
        <v>7.1614424781792727E-3</v>
      </c>
    </row>
    <row r="970" spans="1:39" ht="15" customHeight="1" x14ac:dyDescent="0.2">
      <c r="A970" s="24">
        <v>959</v>
      </c>
      <c r="B970" s="29">
        <f t="shared" si="561"/>
        <v>5.9208244545185664</v>
      </c>
      <c r="C970" s="29">
        <f t="shared" si="562"/>
        <v>-5.8398457544913933</v>
      </c>
      <c r="D970" s="29">
        <f t="shared" si="563"/>
        <v>-3.4950338080135643</v>
      </c>
      <c r="E970" s="29">
        <f t="shared" si="564"/>
        <v>-4.699677656613126</v>
      </c>
      <c r="F970" s="29">
        <f t="shared" si="565"/>
        <v>4.3946644905816443</v>
      </c>
      <c r="G970" s="29">
        <f t="shared" si="566"/>
        <v>-2.4335025993321779</v>
      </c>
      <c r="H970" s="29">
        <f t="shared" si="567"/>
        <v>6.8493290797658224</v>
      </c>
      <c r="I970" s="29">
        <f t="shared" si="568"/>
        <v>7.0279969361668186</v>
      </c>
      <c r="J970" s="29">
        <f t="shared" si="569"/>
        <v>-3.4199232948253404</v>
      </c>
      <c r="K970" s="26">
        <f t="shared" si="532"/>
        <v>-3.4950338080135643</v>
      </c>
      <c r="L970" s="26">
        <f t="shared" si="533"/>
        <v>2.9453864712486136E-2</v>
      </c>
      <c r="M970" s="26">
        <f t="shared" si="534"/>
        <v>-2.4335025993321779</v>
      </c>
      <c r="N970" s="26">
        <f t="shared" si="535"/>
        <v>8.0653373294897635E-2</v>
      </c>
      <c r="O970" s="26">
        <f t="shared" si="536"/>
        <v>-2.6513524223305613</v>
      </c>
      <c r="P970" s="26">
        <f t="shared" si="537"/>
        <v>6.5905702582057524E-2</v>
      </c>
      <c r="Q970" s="26">
        <f t="shared" si="538"/>
        <v>2.1717808164173117E-3</v>
      </c>
      <c r="R970" s="26">
        <f t="shared" si="539"/>
        <v>-9.3348795625049572</v>
      </c>
      <c r="S970" s="26">
        <f t="shared" si="540"/>
        <v>8.8282571422173799E-5</v>
      </c>
      <c r="T970" s="26">
        <f t="shared" si="541"/>
        <v>1.9611618912494664</v>
      </c>
      <c r="U970" s="26">
        <f t="shared" si="542"/>
        <v>0.87665864071524446</v>
      </c>
      <c r="V970" s="26">
        <f t="shared" si="543"/>
        <v>2.7418356225692437</v>
      </c>
      <c r="W970" s="26">
        <f t="shared" si="544"/>
        <v>0.93945059698760258</v>
      </c>
      <c r="X970" s="26">
        <f t="shared" si="545"/>
        <v>1.8331151025788607E-3</v>
      </c>
      <c r="Y970" s="26">
        <f t="shared" si="546"/>
        <v>2.4257906465050021</v>
      </c>
      <c r="Z970" s="26">
        <f t="shared" si="547"/>
        <v>0.9187729452587845</v>
      </c>
      <c r="AA970" s="26">
        <f t="shared" si="548"/>
        <v>-7.1331802559453035</v>
      </c>
      <c r="AB970" s="26">
        <f t="shared" si="549"/>
        <v>7.9754036153447002E-4</v>
      </c>
      <c r="AC970" s="26">
        <f t="shared" si="550"/>
        <v>2.8786600680550776</v>
      </c>
      <c r="AD970" s="26">
        <f t="shared" si="551"/>
        <v>0.94678138967240955</v>
      </c>
      <c r="AE970" s="26">
        <f t="shared" si="552"/>
        <v>1.4161102425999587E-3</v>
      </c>
      <c r="AF970" s="26">
        <f t="shared" si="553"/>
        <v>-3.4140551079863912</v>
      </c>
      <c r="AG970" s="26">
        <f t="shared" si="554"/>
        <v>3.1859083685128846E-2</v>
      </c>
      <c r="AH970" s="26">
        <f t="shared" si="555"/>
        <v>-2.7385157653636596</v>
      </c>
      <c r="AI970" s="26">
        <f t="shared" si="556"/>
        <v>6.0738522759120915E-2</v>
      </c>
      <c r="AJ970" s="26">
        <f t="shared" si="557"/>
        <v>-2.7748397946276944</v>
      </c>
      <c r="AK970" s="26">
        <f t="shared" si="558"/>
        <v>5.8699026265919482E-2</v>
      </c>
      <c r="AL970" s="26">
        <f t="shared" si="559"/>
        <v>1.7227878422835527E-3</v>
      </c>
      <c r="AM970" s="27">
        <f t="shared" si="560"/>
        <v>7.1437940038796841E-3</v>
      </c>
    </row>
    <row r="971" spans="1:39" ht="15" customHeight="1" x14ac:dyDescent="0.2">
      <c r="A971" s="24">
        <v>960</v>
      </c>
      <c r="B971" s="29">
        <f t="shared" si="561"/>
        <v>5.9215099383524672</v>
      </c>
      <c r="C971" s="29">
        <f t="shared" si="562"/>
        <v>-5.840528860720454</v>
      </c>
      <c r="D971" s="29">
        <f t="shared" si="563"/>
        <v>-3.4951406489889418</v>
      </c>
      <c r="E971" s="29">
        <f t="shared" si="564"/>
        <v>-4.7009630254758745</v>
      </c>
      <c r="F971" s="29">
        <f t="shared" si="565"/>
        <v>4.3959814698336803</v>
      </c>
      <c r="G971" s="29">
        <f t="shared" si="566"/>
        <v>-2.4342849189679372</v>
      </c>
      <c r="H971" s="29">
        <f t="shared" si="567"/>
        <v>6.8515702352733499</v>
      </c>
      <c r="I971" s="29">
        <f t="shared" si="568"/>
        <v>7.030494270097754</v>
      </c>
      <c r="J971" s="29">
        <f t="shared" si="569"/>
        <v>-3.4210981789222465</v>
      </c>
      <c r="K971" s="26">
        <f t="shared" si="532"/>
        <v>-3.4951406489889418</v>
      </c>
      <c r="L971" s="26">
        <f t="shared" si="533"/>
        <v>2.9450810674159063E-2</v>
      </c>
      <c r="M971" s="26">
        <f t="shared" si="534"/>
        <v>-2.4342849189679372</v>
      </c>
      <c r="N971" s="26">
        <f t="shared" si="535"/>
        <v>8.0595384567317893E-2</v>
      </c>
      <c r="O971" s="26">
        <f t="shared" si="536"/>
        <v>-2.6526884917056544</v>
      </c>
      <c r="P971" s="26">
        <f t="shared" si="537"/>
        <v>6.5823498979551781E-2</v>
      </c>
      <c r="Q971" s="26">
        <f t="shared" si="538"/>
        <v>2.1663665089555273E-3</v>
      </c>
      <c r="R971" s="26">
        <f t="shared" si="539"/>
        <v>-9.3356695097093958</v>
      </c>
      <c r="S971" s="26">
        <f t="shared" si="540"/>
        <v>8.8212866538731071E-5</v>
      </c>
      <c r="T971" s="26">
        <f t="shared" si="541"/>
        <v>1.9616965508657431</v>
      </c>
      <c r="U971" s="26">
        <f t="shared" si="542"/>
        <v>0.87671644089230505</v>
      </c>
      <c r="V971" s="26">
        <f t="shared" si="543"/>
        <v>2.7432561319223456</v>
      </c>
      <c r="W971" s="26">
        <f t="shared" si="544"/>
        <v>0.93953134964369511</v>
      </c>
      <c r="X971" s="26">
        <f t="shared" si="545"/>
        <v>1.8282288379565257E-3</v>
      </c>
      <c r="Y971" s="26">
        <f t="shared" si="546"/>
        <v>2.4263692893635254</v>
      </c>
      <c r="Z971" s="26">
        <f t="shared" si="547"/>
        <v>0.91881611846122546</v>
      </c>
      <c r="AA971" s="26">
        <f t="shared" si="548"/>
        <v>-7.1352479444438117</v>
      </c>
      <c r="AB971" s="26">
        <f t="shared" si="549"/>
        <v>7.9589431132929753E-4</v>
      </c>
      <c r="AC971" s="26">
        <f t="shared" si="550"/>
        <v>2.879830520411482</v>
      </c>
      <c r="AD971" s="26">
        <f t="shared" si="551"/>
        <v>0.9468403337104232</v>
      </c>
      <c r="AE971" s="26">
        <f t="shared" si="552"/>
        <v>1.412975060009584E-3</v>
      </c>
      <c r="AF971" s="26">
        <f t="shared" si="553"/>
        <v>-3.4141595713569286</v>
      </c>
      <c r="AG971" s="26">
        <f t="shared" si="554"/>
        <v>3.1855861765879012E-2</v>
      </c>
      <c r="AH971" s="26">
        <f t="shared" si="555"/>
        <v>-2.7392664746101314</v>
      </c>
      <c r="AI971" s="26">
        <f t="shared" si="556"/>
        <v>6.0695709401151418E-2</v>
      </c>
      <c r="AJ971" s="26">
        <f t="shared" si="557"/>
        <v>-2.7761146674638542</v>
      </c>
      <c r="AK971" s="26">
        <f t="shared" si="558"/>
        <v>5.8628624760276325E-2</v>
      </c>
      <c r="AL971" s="26">
        <f t="shared" si="559"/>
        <v>1.7186578206406431E-3</v>
      </c>
      <c r="AM971" s="27">
        <f t="shared" si="560"/>
        <v>7.1262282275622807E-3</v>
      </c>
    </row>
    <row r="972" spans="1:39" ht="15" customHeight="1" x14ac:dyDescent="0.2">
      <c r="A972" s="24">
        <v>961</v>
      </c>
      <c r="B972" s="29">
        <f t="shared" si="561"/>
        <v>5.9221936920051785</v>
      </c>
      <c r="C972" s="29">
        <f t="shared" si="562"/>
        <v>-5.8412105386093724</v>
      </c>
      <c r="D972" s="29">
        <f t="shared" si="563"/>
        <v>-3.4952474953420971</v>
      </c>
      <c r="E972" s="29">
        <f t="shared" si="564"/>
        <v>-4.7022450371766809</v>
      </c>
      <c r="F972" s="29">
        <f t="shared" si="565"/>
        <v>4.3972949877518523</v>
      </c>
      <c r="G972" s="29">
        <f t="shared" si="566"/>
        <v>-2.4350650378398111</v>
      </c>
      <c r="H972" s="29">
        <f t="shared" si="567"/>
        <v>6.853806754093263</v>
      </c>
      <c r="I972" s="29">
        <f t="shared" si="568"/>
        <v>7.0329856218817763</v>
      </c>
      <c r="J972" s="29">
        <f t="shared" si="569"/>
        <v>-3.4222704266752868</v>
      </c>
      <c r="K972" s="26">
        <f t="shared" ref="K972:K1011" si="570">0*B972+0*C972+D972</f>
        <v>-3.4952474953420971</v>
      </c>
      <c r="L972" s="26">
        <f t="shared" ref="L972:L1035" si="571">1/(1+EXP(-K972))</f>
        <v>2.9447756789193563E-2</v>
      </c>
      <c r="M972" s="26">
        <f t="shared" ref="M972:M1011" si="572">0*E972+0*F972+G972</f>
        <v>-2.4350650378398111</v>
      </c>
      <c r="N972" s="26">
        <f t="shared" ref="N972:N1035" si="573">1/(1+EXP(-M972))</f>
        <v>8.0537596849699064E-2</v>
      </c>
      <c r="O972" s="26">
        <f t="shared" ref="O972:O1035" si="574">L972*H972+N972*I972+J972</f>
        <v>-2.6540214316357718</v>
      </c>
      <c r="P972" s="26">
        <f t="shared" ref="P972:P1035" si="575">1/(1+EXP(-O972))</f>
        <v>6.5741582901786125E-2</v>
      </c>
      <c r="Q972" s="26">
        <f t="shared" ref="Q972:Q1035" si="576">0.5*(0-P972)^2</f>
        <v>2.1609778612162087E-3</v>
      </c>
      <c r="R972" s="26">
        <f t="shared" ref="R972:R1011" si="577">0*B972+1*C972+D972</f>
        <v>-9.3364580339514696</v>
      </c>
      <c r="S972" s="26">
        <f t="shared" ref="S972:S1035" si="578">1/(1+EXP(-R972))</f>
        <v>8.8143342100530426E-5</v>
      </c>
      <c r="T972" s="26">
        <f t="shared" ref="T972:T1011" si="579">0*E972+1*F972+G972</f>
        <v>1.9622299499120412</v>
      </c>
      <c r="U972" s="26">
        <f t="shared" ref="U972:U1035" si="580">1/(1+EXP(-T972))</f>
        <v>0.87677408159685777</v>
      </c>
      <c r="V972" s="26">
        <f t="shared" ref="V972:V1035" si="581">S972*H972+U972*I972+J972</f>
        <v>2.7446732002674303</v>
      </c>
      <c r="W972" s="26">
        <f t="shared" ref="W972:W1035" si="582">1/(1+EXP(-V972))</f>
        <v>0.93961180627800389</v>
      </c>
      <c r="X972" s="26">
        <f t="shared" ref="X972:X1035" si="583">0.5*(1-W972)^2</f>
        <v>1.8233669705026651E-3</v>
      </c>
      <c r="Y972" s="26">
        <f t="shared" ref="Y972:Y1011" si="584">1*B972+0*C972+D972</f>
        <v>2.4269461966630814</v>
      </c>
      <c r="Z972" s="26">
        <f t="shared" ref="Z972:Z1035" si="585">1/(1+EXP(-Y972))</f>
        <v>0.91885914134511137</v>
      </c>
      <c r="AA972" s="26">
        <f t="shared" ref="AA972:AA1011" si="586">1*E972+0*F972+G972</f>
        <v>-7.137310075016492</v>
      </c>
      <c r="AB972" s="26">
        <f t="shared" ref="AB972:AB1035" si="587">1/(1+EXP(-AA972))</f>
        <v>7.9425606661830388E-4</v>
      </c>
      <c r="AC972" s="26">
        <f t="shared" ref="AC972:AC1035" si="588">Z972*H972+AB972*I972+J972</f>
        <v>2.8809985538327925</v>
      </c>
      <c r="AD972" s="26">
        <f t="shared" ref="AD972:AD1035" si="589">1/(1+EXP(-AC972))</f>
        <v>0.94689909449775611</v>
      </c>
      <c r="AE972" s="26">
        <f t="shared" ref="AE972:AE1035" si="590">0.5*(1-AD972)^2</f>
        <v>1.4098530825791176E-3</v>
      </c>
      <c r="AF972" s="26">
        <f t="shared" ref="AF972:AF1011" si="591">1*B972+1*C972+D972</f>
        <v>-3.414264341946291</v>
      </c>
      <c r="AG972" s="26">
        <f t="shared" ref="AG972:AG1035" si="592">1/(1+EXP(-AF972))</f>
        <v>3.1852630687714725E-2</v>
      </c>
      <c r="AH972" s="26">
        <f t="shared" ref="AH972:AH1011" si="593">1*E972+1*F972+G972</f>
        <v>-2.7400150872646396</v>
      </c>
      <c r="AI972" s="26">
        <f t="shared" ref="AI972:AI1035" si="594">1/(1+EXP(-AH972))</f>
        <v>6.0653043724336567E-2</v>
      </c>
      <c r="AJ972" s="26">
        <f t="shared" ref="AJ972:AJ1035" si="595">AG972*H972+AI972*I972+J972</f>
        <v>-2.7773866668955636</v>
      </c>
      <c r="AK972" s="26">
        <f t="shared" ref="AK972:AK1035" si="596">1/(1+EXP(-AJ972))</f>
        <v>5.855846084761622E-2</v>
      </c>
      <c r="AL972" s="26">
        <f t="shared" ref="AL972:AL1035" si="597">0.5*(0-AK972)^2</f>
        <v>1.7145466684209008E-3</v>
      </c>
      <c r="AM972" s="27">
        <f t="shared" ref="AM972:AM1035" si="598">Q972+X972+AE972+AL972</f>
        <v>7.1087445827188924E-3</v>
      </c>
    </row>
    <row r="973" spans="1:39" ht="15" customHeight="1" x14ac:dyDescent="0.2">
      <c r="A973" s="24">
        <v>962</v>
      </c>
      <c r="B973" s="29">
        <f t="shared" ref="B973:B1011" si="599">B972-$C$6*(((((P972)-0)*(P972)*(1-(P972)))*H972*(L972)*(1-(L972))*0)+((((W972)-1)*(W972)*(1-(W972)))*H972*(S972)*(1-(S972))*0)+((((AD972)-1)*(AD972)*(1-(AD972)))*H972*(Z972)*(1-(Z972))*1)+((((AK972)-0)*(AK972)*(1-(AK972)))*H972*(AG972)*(1-(AG972))*1))</f>
        <v>5.9228757237576053</v>
      </c>
      <c r="C973" s="29">
        <f t="shared" ref="C973:C1011" si="600">C972-$C$6*(((((P972)-0)*(P972)*(1-(P972)))*H972*(L972)*(1-(L972))*0)+((((W972)-1)*(W972)*(1-(W972)))*H972*(S972)*(1-(S972))*1)+((((AD972)-1)*(AD972)*(1-(AD972)))*H972*(Z972)*(1-(Z972))*0)+((((AK972)-0)*(AK972)*(1-(AK972)))*H972*(AG972)*(1-(AG972))*1))</f>
        <v>-5.8418907937910998</v>
      </c>
      <c r="D973" s="29">
        <f t="shared" ref="D973:D1011" si="601">D972-$C$6*(((((P972)-0)*(P972)*(1-(P972)))*H972*(L972)*(1-(L972)))+((((W972)-1)*(W972)*(1-(W972)))*H972*(S972)*(1-(S972)))+((((AD972)-1)*(AD972)*(1-(AD972)))*H972*(Z972)*(1-(Z972)))+((((AK972)-0)*(AK972)*(1-(AK972)))*H972*(AG972)*(1-(AG972))))</f>
        <v>-3.4953543461093162</v>
      </c>
      <c r="E973" s="29">
        <f t="shared" ref="E973:E1011" si="602">E972-$C$6*(((((P972)-0)*(P972)*(1-(P972)))*I972*(N972)*(1-(N972))*0)+((((W972)-1)*(W972)*(1-(W972)))*I972*(U972)*(1-(U972))*0)+((((AD972)-1)*(AD972)*(1-(AD972)))*I972*(AB972)*(1-(AB972))*1)+((((AK972)-0)*(AK972)*(1-(AK972)))*I972*(AI972)*(1-(AI972))*1))</f>
        <v>-4.7035237077988663</v>
      </c>
      <c r="F973" s="29">
        <f t="shared" ref="F973:F1011" si="603">F972-$C$6*(((((P972)-0)*(P972)*(1-(P972)))*I972*(N972)*(1-(N972))*0)+((((W972)-1)*(W972)*(1-(W972)))*I972*(U972)*(1-(U972))*1)+((((AD972)-1)*(AD972)*(1-(AD972)))*I972*(AB972)*(1-(AB972))*0)+((((AK972)-0)*(AK972)*(1-(AK972)))*I972*(AI972)*(1-(AI972))*1))</f>
        <v>4.3986050611330425</v>
      </c>
      <c r="G973" s="29">
        <f t="shared" ref="G973:G1011" si="604">G972-$C$6*(((((P972)-0)*(P972)*(1-(P972)))*I972*(N972)*(1-(N972)))+((((W972)-1)*(W972)*(1-(W972)))*I972*(U972)*(1-(U972)))+((((AD972)-1)*(AD972)*(1-(AD972)))*I972*(AB972)*(1-(AB972)))+((((AK972)-0)*(AK972)*(1-(AK972)))*I972*(AI972)*(1-(AI972))))</f>
        <v>-2.4358429670802266</v>
      </c>
      <c r="H973" s="29">
        <f t="shared" ref="H973:H1011" si="605">H972-$C$6*((((P972)-0)*(P972)*(1-(P972))*L972)+(((W972)-1)*(W972)*(1-(W972))*S972)+(((AD972)-1)*(AD972)*(1-(AD972))*Z972)+(((AK972)-0)*(AK972)*(1-(AK972))*AG972))</f>
        <v>6.8560386546856291</v>
      </c>
      <c r="I973" s="29">
        <f t="shared" ref="I973:I1011" si="606">I972-$C$6*((((P972)-0)*(P972)*(1-(P972))*N972)+(((W972)-1)*(W972)*(1-(W972))*U972)+(((AD972)-1)*(AD972)*(1-(AD972))*AB972)+(((AK972)-0)*(AK972)*(1-(AK972))*AI972))</f>
        <v>7.0354710191536194</v>
      </c>
      <c r="J973" s="29">
        <f t="shared" ref="J973:J1011" si="607">J972-$C$6*((((P972)-0)*(P972)*(1-(P972)))+(((W972)-1)*(W972)*(1-(W972)))+(((AD972)-1)*(AD972)*(1-(AD972)))+(((AK972)-0)*(AK972)*(1-(AK972))))</f>
        <v>-3.4234400496163673</v>
      </c>
      <c r="K973" s="26">
        <f t="shared" si="570"/>
        <v>-3.4953543461093162</v>
      </c>
      <c r="L973" s="26">
        <f t="shared" si="571"/>
        <v>2.944470308514785E-2</v>
      </c>
      <c r="M973" s="26">
        <f t="shared" si="572"/>
        <v>-2.4358429670802266</v>
      </c>
      <c r="N973" s="26">
        <f t="shared" si="573"/>
        <v>8.0480008978616152E-2</v>
      </c>
      <c r="O973" s="26">
        <f t="shared" si="574"/>
        <v>-2.6553512562985753</v>
      </c>
      <c r="P973" s="26">
        <f t="shared" si="575"/>
        <v>6.5659952719227005E-2</v>
      </c>
      <c r="Q973" s="26">
        <f t="shared" si="576"/>
        <v>2.1556146955455627E-3</v>
      </c>
      <c r="R973" s="26">
        <f t="shared" si="577"/>
        <v>-9.3372451399004159</v>
      </c>
      <c r="S973" s="26">
        <f t="shared" si="578"/>
        <v>8.8073997356424426E-5</v>
      </c>
      <c r="T973" s="26">
        <f t="shared" si="579"/>
        <v>1.9627620940528159</v>
      </c>
      <c r="U973" s="26">
        <f t="shared" si="580"/>
        <v>0.8768315636106655</v>
      </c>
      <c r="V973" s="26">
        <f t="shared" si="581"/>
        <v>2.7460868435759718</v>
      </c>
      <c r="W973" s="26">
        <f t="shared" si="582"/>
        <v>0.9396919686323516</v>
      </c>
      <c r="X973" s="26">
        <f t="shared" si="583"/>
        <v>1.8185293237206314E-3</v>
      </c>
      <c r="Y973" s="26">
        <f t="shared" si="584"/>
        <v>2.4275213776482891</v>
      </c>
      <c r="Z973" s="26">
        <f t="shared" si="585"/>
        <v>0.91890201479491773</v>
      </c>
      <c r="AA973" s="26">
        <f t="shared" si="586"/>
        <v>-7.1393666748790929</v>
      </c>
      <c r="AB973" s="26">
        <f t="shared" si="587"/>
        <v>7.9262557164104454E-4</v>
      </c>
      <c r="AC973" s="26">
        <f t="shared" si="588"/>
        <v>2.8821641779244151</v>
      </c>
      <c r="AD973" s="26">
        <f t="shared" si="589"/>
        <v>0.94695767295395095</v>
      </c>
      <c r="AE973" s="26">
        <f t="shared" si="590"/>
        <v>1.4067442292300134E-3</v>
      </c>
      <c r="AF973" s="26">
        <f t="shared" si="591"/>
        <v>-3.4143694161428106</v>
      </c>
      <c r="AG973" s="26">
        <f t="shared" si="592"/>
        <v>3.1849390564761118E-2</v>
      </c>
      <c r="AH973" s="26">
        <f t="shared" si="593"/>
        <v>-2.7407616137460504</v>
      </c>
      <c r="AI973" s="26">
        <f t="shared" si="594"/>
        <v>6.0610524883931385E-2</v>
      </c>
      <c r="AJ973" s="26">
        <f t="shared" si="595"/>
        <v>-2.7786558054995965</v>
      </c>
      <c r="AK973" s="26">
        <f t="shared" si="596"/>
        <v>5.8488533225463678E-2</v>
      </c>
      <c r="AL973" s="26">
        <f t="shared" si="597"/>
        <v>1.7104542594330843E-3</v>
      </c>
      <c r="AM973" s="27">
        <f t="shared" si="598"/>
        <v>7.091342507929292E-3</v>
      </c>
    </row>
    <row r="974" spans="1:39" ht="15" customHeight="1" x14ac:dyDescent="0.2">
      <c r="A974" s="24">
        <v>963</v>
      </c>
      <c r="B974" s="29">
        <f t="shared" si="599"/>
        <v>5.9235560418331463</v>
      </c>
      <c r="C974" s="29">
        <f t="shared" si="600"/>
        <v>-5.8425696318662919</v>
      </c>
      <c r="D974" s="29">
        <f t="shared" si="601"/>
        <v>-3.495461200338434</v>
      </c>
      <c r="E974" s="29">
        <f t="shared" si="602"/>
        <v>-4.7047990533148338</v>
      </c>
      <c r="F974" s="29">
        <f t="shared" si="603"/>
        <v>4.3999117066562619</v>
      </c>
      <c r="G974" s="29">
        <f t="shared" si="604"/>
        <v>-2.4366187177413141</v>
      </c>
      <c r="H974" s="29">
        <f t="shared" si="605"/>
        <v>6.8582659554031604</v>
      </c>
      <c r="I974" s="29">
        <f t="shared" si="606"/>
        <v>7.037950489360834</v>
      </c>
      <c r="J974" s="29">
        <f t="shared" si="607"/>
        <v>-3.4246070592028253</v>
      </c>
      <c r="K974" s="26">
        <f t="shared" si="570"/>
        <v>-3.495461200338434</v>
      </c>
      <c r="L974" s="26">
        <f t="shared" si="571"/>
        <v>2.9441649589239061E-2</v>
      </c>
      <c r="M974" s="26">
        <f t="shared" si="572"/>
        <v>-2.4366187177413141</v>
      </c>
      <c r="N974" s="26">
        <f t="shared" si="573"/>
        <v>8.0422619799961806E-2</v>
      </c>
      <c r="O974" s="26">
        <f t="shared" si="574"/>
        <v>-2.656677979777216</v>
      </c>
      <c r="P974" s="26">
        <f t="shared" si="575"/>
        <v>6.5578606815042198E-2</v>
      </c>
      <c r="Q974" s="26">
        <f t="shared" si="576"/>
        <v>2.1502768359009496E-3</v>
      </c>
      <c r="R974" s="26">
        <f t="shared" si="577"/>
        <v>-9.3380308322047263</v>
      </c>
      <c r="S974" s="26">
        <f t="shared" si="578"/>
        <v>8.8004831559418715E-5</v>
      </c>
      <c r="T974" s="26">
        <f t="shared" si="579"/>
        <v>1.9632929889149477</v>
      </c>
      <c r="U974" s="26">
        <f t="shared" si="580"/>
        <v>0.8768888877099873</v>
      </c>
      <c r="V974" s="26">
        <f t="shared" si="581"/>
        <v>2.747497077710952</v>
      </c>
      <c r="W974" s="26">
        <f t="shared" si="582"/>
        <v>0.93977183843454914</v>
      </c>
      <c r="X974" s="26">
        <f t="shared" si="583"/>
        <v>1.8137157227770258E-3</v>
      </c>
      <c r="Y974" s="26">
        <f t="shared" si="584"/>
        <v>2.4280948414947123</v>
      </c>
      <c r="Z974" s="26">
        <f t="shared" si="585"/>
        <v>0.91894473968794554</v>
      </c>
      <c r="AA974" s="26">
        <f t="shared" si="586"/>
        <v>-7.1414177710561475</v>
      </c>
      <c r="AB974" s="26">
        <f t="shared" si="587"/>
        <v>7.9100277116383707E-4</v>
      </c>
      <c r="AC974" s="26">
        <f t="shared" si="588"/>
        <v>2.8833274022362301</v>
      </c>
      <c r="AD974" s="26">
        <f t="shared" si="589"/>
        <v>0.94701606999224264</v>
      </c>
      <c r="AE974" s="26">
        <f t="shared" si="590"/>
        <v>1.4036484195334657E-3</v>
      </c>
      <c r="AF974" s="26">
        <f t="shared" si="591"/>
        <v>-3.4144747903715795</v>
      </c>
      <c r="AG974" s="26">
        <f t="shared" si="592"/>
        <v>3.1846141509973641E-2</v>
      </c>
      <c r="AH974" s="26">
        <f t="shared" si="593"/>
        <v>-2.7415060643998861</v>
      </c>
      <c r="AI974" s="26">
        <f t="shared" si="594"/>
        <v>6.0568152041844771E-2</v>
      </c>
      <c r="AJ974" s="26">
        <f t="shared" si="595"/>
        <v>-2.7799220957714388</v>
      </c>
      <c r="AK974" s="26">
        <f t="shared" si="596"/>
        <v>5.8418840601186003E-2</v>
      </c>
      <c r="AL974" s="26">
        <f t="shared" si="597"/>
        <v>1.7063804685933891E-3</v>
      </c>
      <c r="AM974" s="27">
        <f t="shared" si="598"/>
        <v>7.0740214468048299E-3</v>
      </c>
    </row>
    <row r="975" spans="1:39" ht="15" customHeight="1" x14ac:dyDescent="0.2">
      <c r="A975" s="24">
        <v>964</v>
      </c>
      <c r="B975" s="29">
        <f t="shared" si="599"/>
        <v>5.9242346543982123</v>
      </c>
      <c r="C975" s="29">
        <f t="shared" si="600"/>
        <v>-5.8432470584035521</v>
      </c>
      <c r="D975" s="29">
        <f t="shared" si="601"/>
        <v>-3.495568057088696</v>
      </c>
      <c r="E975" s="29">
        <f t="shared" si="602"/>
        <v>-4.7060710895870601</v>
      </c>
      <c r="F975" s="29">
        <f t="shared" si="603"/>
        <v>4.4012149408837296</v>
      </c>
      <c r="G975" s="29">
        <f t="shared" si="604"/>
        <v>-2.4373923007956533</v>
      </c>
      <c r="H975" s="29">
        <f t="shared" si="605"/>
        <v>6.860488674492025</v>
      </c>
      <c r="I975" s="29">
        <f t="shared" si="606"/>
        <v>7.0404240597654484</v>
      </c>
      <c r="J975" s="29">
        <f t="shared" si="607"/>
        <v>-3.4257714668180661</v>
      </c>
      <c r="K975" s="26">
        <f t="shared" si="570"/>
        <v>-3.495568057088696</v>
      </c>
      <c r="L975" s="26">
        <f t="shared" si="571"/>
        <v>2.943859632834735E-2</v>
      </c>
      <c r="M975" s="26">
        <f t="shared" si="572"/>
        <v>-2.4373923007956533</v>
      </c>
      <c r="N975" s="26">
        <f t="shared" si="573"/>
        <v>8.036542816885156E-2</v>
      </c>
      <c r="O975" s="26">
        <f t="shared" si="574"/>
        <v>-2.6580016160611621</v>
      </c>
      <c r="P975" s="26">
        <f t="shared" si="575"/>
        <v>6.5497543584975226E-2</v>
      </c>
      <c r="Q975" s="26">
        <f t="shared" si="576"/>
        <v>2.1449641078328647E-3</v>
      </c>
      <c r="R975" s="26">
        <f t="shared" si="577"/>
        <v>-9.338815115492249</v>
      </c>
      <c r="S975" s="26">
        <f t="shared" si="578"/>
        <v>8.7935843966644784E-5</v>
      </c>
      <c r="T975" s="26">
        <f t="shared" si="579"/>
        <v>1.9638226400880763</v>
      </c>
      <c r="U975" s="26">
        <f t="shared" si="580"/>
        <v>0.87694605466563036</v>
      </c>
      <c r="V975" s="26">
        <f t="shared" si="581"/>
        <v>2.748903918427839</v>
      </c>
      <c r="W975" s="26">
        <f t="shared" si="582"/>
        <v>0.93985141739853817</v>
      </c>
      <c r="X975" s="26">
        <f t="shared" si="583"/>
        <v>1.8089259944824385E-3</v>
      </c>
      <c r="Y975" s="26">
        <f t="shared" si="584"/>
        <v>2.4286665973095163</v>
      </c>
      <c r="Z975" s="26">
        <f t="shared" si="585"/>
        <v>0.9189873168943945</v>
      </c>
      <c r="AA975" s="26">
        <f t="shared" si="586"/>
        <v>-7.1434633903827134</v>
      </c>
      <c r="AB975" s="26">
        <f t="shared" si="587"/>
        <v>7.8938761047360419E-4</v>
      </c>
      <c r="AC975" s="26">
        <f t="shared" si="588"/>
        <v>2.8844882362630004</v>
      </c>
      <c r="AD975" s="26">
        <f t="shared" si="589"/>
        <v>0.94707428651961278</v>
      </c>
      <c r="AE975" s="26">
        <f t="shared" si="590"/>
        <v>1.4005655737040206E-3</v>
      </c>
      <c r="AF975" s="26">
        <f t="shared" si="591"/>
        <v>-3.4145804610940358</v>
      </c>
      <c r="AG975" s="26">
        <f t="shared" si="592"/>
        <v>3.1842883635151108E-2</v>
      </c>
      <c r="AH975" s="26">
        <f t="shared" si="593"/>
        <v>-2.7422484494989838</v>
      </c>
      <c r="AI975" s="26">
        <f t="shared" si="594"/>
        <v>6.0525924366573405E-2</v>
      </c>
      <c r="AJ975" s="26">
        <f t="shared" si="595"/>
        <v>-2.7811855501259775</v>
      </c>
      <c r="AK975" s="26">
        <f t="shared" si="596"/>
        <v>5.8349381691898961E-2</v>
      </c>
      <c r="AL975" s="26">
        <f t="shared" si="597"/>
        <v>1.7023251719134568E-3</v>
      </c>
      <c r="AM975" s="27">
        <f t="shared" si="598"/>
        <v>7.0567808479327808E-3</v>
      </c>
    </row>
    <row r="976" spans="1:39" ht="15" customHeight="1" x14ac:dyDescent="0.2">
      <c r="A976" s="24">
        <v>965</v>
      </c>
      <c r="B976" s="29">
        <f t="shared" si="599"/>
        <v>5.924911569562739</v>
      </c>
      <c r="C976" s="29">
        <f t="shared" si="600"/>
        <v>-5.8439230789396692</v>
      </c>
      <c r="D976" s="29">
        <f t="shared" si="601"/>
        <v>-3.495674915430623</v>
      </c>
      <c r="E976" s="29">
        <f t="shared" si="602"/>
        <v>-4.7073398323690769</v>
      </c>
      <c r="F976" s="29">
        <f t="shared" si="603"/>
        <v>4.4025147802619369</v>
      </c>
      <c r="G976" s="29">
        <f t="shared" si="604"/>
        <v>-2.4381637271370145</v>
      </c>
      <c r="H976" s="29">
        <f t="shared" si="605"/>
        <v>6.8627068300926535</v>
      </c>
      <c r="I976" s="29">
        <f t="shared" si="606"/>
        <v>7.0428917574456129</v>
      </c>
      <c r="J976" s="29">
        <f t="shared" si="607"/>
        <v>-3.4269332837721911</v>
      </c>
      <c r="K976" s="26">
        <f t="shared" si="570"/>
        <v>-3.495674915430623</v>
      </c>
      <c r="L976" s="26">
        <f t="shared" si="571"/>
        <v>2.9435543329019959E-2</v>
      </c>
      <c r="M976" s="26">
        <f t="shared" si="572"/>
        <v>-2.4381637271370145</v>
      </c>
      <c r="N976" s="26">
        <f t="shared" si="573"/>
        <v>8.0308432949530204E-2</v>
      </c>
      <c r="O976" s="26">
        <f t="shared" si="574"/>
        <v>-2.6593221790470176</v>
      </c>
      <c r="P976" s="26">
        <f t="shared" si="575"/>
        <v>6.5416761437221402E-2</v>
      </c>
      <c r="Q976" s="26">
        <f t="shared" si="576"/>
        <v>2.1396763384671684E-3</v>
      </c>
      <c r="R976" s="26">
        <f t="shared" si="577"/>
        <v>-9.3395979943702923</v>
      </c>
      <c r="S976" s="26">
        <f t="shared" si="578"/>
        <v>8.7867033839332802E-5</v>
      </c>
      <c r="T976" s="26">
        <f t="shared" si="579"/>
        <v>1.9643510531249224</v>
      </c>
      <c r="U976" s="26">
        <f t="shared" si="580"/>
        <v>0.87700306524299909</v>
      </c>
      <c r="V976" s="26">
        <f t="shared" si="581"/>
        <v>2.7503073813755328</v>
      </c>
      <c r="W976" s="26">
        <f t="shared" si="582"/>
        <v>0.93993070722453187</v>
      </c>
      <c r="X976" s="26">
        <f t="shared" si="583"/>
        <v>1.8041599672724538E-3</v>
      </c>
      <c r="Y976" s="26">
        <f t="shared" si="584"/>
        <v>2.429236654132116</v>
      </c>
      <c r="Z976" s="26">
        <f t="shared" si="585"/>
        <v>0.91902974727743569</v>
      </c>
      <c r="AA976" s="26">
        <f t="shared" si="586"/>
        <v>-7.145503559506091</v>
      </c>
      <c r="AB976" s="26">
        <f t="shared" si="587"/>
        <v>7.8778003537180495E-4</v>
      </c>
      <c r="AC976" s="26">
        <f t="shared" si="588"/>
        <v>2.8856466894447927</v>
      </c>
      <c r="AD976" s="26">
        <f t="shared" si="589"/>
        <v>0.9471323234368435</v>
      </c>
      <c r="AE976" s="26">
        <f t="shared" si="590"/>
        <v>1.3974956125932633E-3</v>
      </c>
      <c r="AF976" s="26">
        <f t="shared" si="591"/>
        <v>-3.4146864248075532</v>
      </c>
      <c r="AG976" s="26">
        <f t="shared" si="592"/>
        <v>3.1839617050948572E-2</v>
      </c>
      <c r="AH976" s="26">
        <f t="shared" si="593"/>
        <v>-2.7429887792441545</v>
      </c>
      <c r="AI976" s="26">
        <f t="shared" si="594"/>
        <v>6.0483841033136143E-2</v>
      </c>
      <c r="AJ976" s="26">
        <f t="shared" si="595"/>
        <v>-2.7824461808981864</v>
      </c>
      <c r="AK976" s="26">
        <f t="shared" si="596"/>
        <v>5.8280155224373187E-2</v>
      </c>
      <c r="AL976" s="26">
        <f t="shared" si="597"/>
        <v>1.6982882464885167E-3</v>
      </c>
      <c r="AM976" s="27">
        <f t="shared" si="598"/>
        <v>7.0396201648214012E-3</v>
      </c>
    </row>
    <row r="977" spans="1:39" ht="15" customHeight="1" x14ac:dyDescent="0.2">
      <c r="A977" s="24">
        <v>966</v>
      </c>
      <c r="B977" s="29">
        <f t="shared" si="599"/>
        <v>5.9255867953806938</v>
      </c>
      <c r="C977" s="29">
        <f t="shared" si="600"/>
        <v>-5.8445976989798574</v>
      </c>
      <c r="D977" s="29">
        <f t="shared" si="601"/>
        <v>-3.4957817744458786</v>
      </c>
      <c r="E977" s="29">
        <f t="shared" si="602"/>
        <v>-4.7086052973064456</v>
      </c>
      <c r="F977" s="29">
        <f t="shared" si="603"/>
        <v>4.4038112411227015</v>
      </c>
      <c r="G977" s="29">
        <f t="shared" si="604"/>
        <v>-2.4389330075810882</v>
      </c>
      <c r="H977" s="29">
        <f t="shared" si="605"/>
        <v>6.8649204402405362</v>
      </c>
      <c r="I977" s="29">
        <f t="shared" si="606"/>
        <v>7.0453536092972255</v>
      </c>
      <c r="J977" s="29">
        <f t="shared" si="607"/>
        <v>-3.4280925213026219</v>
      </c>
      <c r="K977" s="26">
        <f t="shared" si="570"/>
        <v>-3.4957817744458786</v>
      </c>
      <c r="L977" s="26">
        <f t="shared" si="571"/>
        <v>2.9432490617475108E-2</v>
      </c>
      <c r="M977" s="26">
        <f t="shared" si="572"/>
        <v>-2.4389330075810882</v>
      </c>
      <c r="N977" s="26">
        <f t="shared" si="573"/>
        <v>8.0251633015279308E-2</v>
      </c>
      <c r="O977" s="26">
        <f t="shared" si="574"/>
        <v>-2.6606396825393346</v>
      </c>
      <c r="P977" s="26">
        <f t="shared" si="575"/>
        <v>6.5336258792304938E-2</v>
      </c>
      <c r="Q977" s="26">
        <f t="shared" si="576"/>
        <v>2.1344133564875222E-3</v>
      </c>
      <c r="R977" s="26">
        <f t="shared" si="577"/>
        <v>-9.3403794734257364</v>
      </c>
      <c r="S977" s="26">
        <f t="shared" si="578"/>
        <v>8.7798400442783847E-5</v>
      </c>
      <c r="T977" s="26">
        <f t="shared" si="579"/>
        <v>1.9648782335416133</v>
      </c>
      <c r="U977" s="26">
        <f t="shared" si="580"/>
        <v>0.87705992020214496</v>
      </c>
      <c r="V977" s="26">
        <f t="shared" si="581"/>
        <v>2.7517074820973164</v>
      </c>
      <c r="W977" s="26">
        <f t="shared" si="582"/>
        <v>0.94000970959915409</v>
      </c>
      <c r="X977" s="26">
        <f t="shared" si="583"/>
        <v>1.7994174711889127E-3</v>
      </c>
      <c r="Y977" s="26">
        <f t="shared" si="584"/>
        <v>2.4298050209348152</v>
      </c>
      <c r="Z977" s="26">
        <f t="shared" si="585"/>
        <v>0.91907203169328244</v>
      </c>
      <c r="AA977" s="26">
        <f t="shared" si="586"/>
        <v>-7.1475383048875338</v>
      </c>
      <c r="AB977" s="26">
        <f t="shared" si="587"/>
        <v>7.8617999216843923E-4</v>
      </c>
      <c r="AC977" s="26">
        <f t="shared" si="588"/>
        <v>2.8868027711673721</v>
      </c>
      <c r="AD977" s="26">
        <f t="shared" si="589"/>
        <v>0.94719018163857027</v>
      </c>
      <c r="AE977" s="26">
        <f t="shared" si="590"/>
        <v>1.3944384576836002E-3</v>
      </c>
      <c r="AF977" s="26">
        <f t="shared" si="591"/>
        <v>-3.4147926780450422</v>
      </c>
      <c r="AG977" s="26">
        <f t="shared" si="592"/>
        <v>3.1836341866889911E-2</v>
      </c>
      <c r="AH977" s="26">
        <f t="shared" si="593"/>
        <v>-2.7437270637648323</v>
      </c>
      <c r="AI977" s="26">
        <f t="shared" si="594"/>
        <v>6.0441901223009235E-2</v>
      </c>
      <c r="AJ977" s="26">
        <f t="shared" si="595"/>
        <v>-2.7837040003438092</v>
      </c>
      <c r="AK977" s="26">
        <f t="shared" si="596"/>
        <v>5.8211159934941678E-2</v>
      </c>
      <c r="AL977" s="26">
        <f t="shared" si="597"/>
        <v>1.6942695704856795E-3</v>
      </c>
      <c r="AM977" s="27">
        <f t="shared" si="598"/>
        <v>7.0225388558457155E-3</v>
      </c>
    </row>
    <row r="978" spans="1:39" ht="15" customHeight="1" x14ac:dyDescent="0.2">
      <c r="A978" s="24">
        <v>967</v>
      </c>
      <c r="B978" s="29">
        <f t="shared" si="599"/>
        <v>5.9262603398505798</v>
      </c>
      <c r="C978" s="29">
        <f t="shared" si="600"/>
        <v>-5.8452709239979859</v>
      </c>
      <c r="D978" s="29">
        <f t="shared" si="601"/>
        <v>-3.4958886332271355</v>
      </c>
      <c r="E978" s="29">
        <f t="shared" si="602"/>
        <v>-4.7098674999377161</v>
      </c>
      <c r="F978" s="29">
        <f t="shared" si="603"/>
        <v>4.4051043396842084</v>
      </c>
      <c r="G978" s="29">
        <f t="shared" si="604"/>
        <v>-2.4397001528662092</v>
      </c>
      <c r="H978" s="29">
        <f t="shared" si="605"/>
        <v>6.8671295228670166</v>
      </c>
      <c r="I978" s="29">
        <f t="shared" si="606"/>
        <v>7.0478096420355403</v>
      </c>
      <c r="J978" s="29">
        <f t="shared" si="607"/>
        <v>-3.4292491905747147</v>
      </c>
      <c r="K978" s="26">
        <f t="shared" si="570"/>
        <v>-3.4958886332271355</v>
      </c>
      <c r="L978" s="26">
        <f t="shared" si="571"/>
        <v>2.942943821960602E-2</v>
      </c>
      <c r="M978" s="26">
        <f t="shared" si="572"/>
        <v>-2.4397001528662092</v>
      </c>
      <c r="N978" s="26">
        <f t="shared" si="573"/>
        <v>8.0195027248325959E-2</v>
      </c>
      <c r="O978" s="26">
        <f t="shared" si="574"/>
        <v>-2.6619541402514129</v>
      </c>
      <c r="P978" s="26">
        <f t="shared" si="575"/>
        <v>6.5256034082958034E-2</v>
      </c>
      <c r="Q978" s="26">
        <f t="shared" si="576"/>
        <v>2.1291749921180901E-3</v>
      </c>
      <c r="R978" s="26">
        <f t="shared" si="577"/>
        <v>-9.3411595572251223</v>
      </c>
      <c r="S978" s="26">
        <f t="shared" si="578"/>
        <v>8.7729943046344357E-5</v>
      </c>
      <c r="T978" s="26">
        <f t="shared" si="579"/>
        <v>1.9654041868179992</v>
      </c>
      <c r="U978" s="26">
        <f t="shared" si="580"/>
        <v>0.87711662029781523</v>
      </c>
      <c r="V978" s="26">
        <f t="shared" si="581"/>
        <v>2.7531042360317857</v>
      </c>
      <c r="W978" s="26">
        <f t="shared" si="582"/>
        <v>0.94008842619557609</v>
      </c>
      <c r="X978" s="26">
        <f t="shared" si="583"/>
        <v>1.7946983378614668E-3</v>
      </c>
      <c r="Y978" s="26">
        <f t="shared" si="584"/>
        <v>2.4303717066234443</v>
      </c>
      <c r="Z978" s="26">
        <f t="shared" si="585"/>
        <v>0.91911417099126203</v>
      </c>
      <c r="AA978" s="26">
        <f t="shared" si="586"/>
        <v>-7.1495676528039258</v>
      </c>
      <c r="AB978" s="26">
        <f t="shared" si="587"/>
        <v>7.8458742767614981E-4</v>
      </c>
      <c r="AC978" s="26">
        <f t="shared" si="588"/>
        <v>2.8879564907626198</v>
      </c>
      <c r="AD978" s="26">
        <f t="shared" si="589"/>
        <v>0.94724786201333577</v>
      </c>
      <c r="AE978" s="26">
        <f t="shared" si="590"/>
        <v>1.3913940310820315E-3</v>
      </c>
      <c r="AF978" s="26">
        <f t="shared" si="591"/>
        <v>-3.4148992173745416</v>
      </c>
      <c r="AG978" s="26">
        <f t="shared" si="592"/>
        <v>3.1833058191380631E-2</v>
      </c>
      <c r="AH978" s="26">
        <f t="shared" si="593"/>
        <v>-2.7444633131197169</v>
      </c>
      <c r="AI978" s="26">
        <f t="shared" si="594"/>
        <v>6.0400104124062277E-2</v>
      </c>
      <c r="AJ978" s="26">
        <f t="shared" si="595"/>
        <v>-2.7849590206400245</v>
      </c>
      <c r="AK978" s="26">
        <f t="shared" si="596"/>
        <v>5.8142394569408701E-2</v>
      </c>
      <c r="AL978" s="26">
        <f t="shared" si="597"/>
        <v>1.6902690231324032E-3</v>
      </c>
      <c r="AM978" s="27">
        <f t="shared" si="598"/>
        <v>7.0055363841939923E-3</v>
      </c>
    </row>
    <row r="979" spans="1:39" ht="15" customHeight="1" x14ac:dyDescent="0.2">
      <c r="A979" s="24">
        <v>968</v>
      </c>
      <c r="B979" s="29">
        <f t="shared" si="599"/>
        <v>5.9269322109159281</v>
      </c>
      <c r="C979" s="29">
        <f t="shared" si="600"/>
        <v>-5.8459427594368147</v>
      </c>
      <c r="D979" s="29">
        <f t="shared" si="601"/>
        <v>-3.4959954908779469</v>
      </c>
      <c r="E979" s="29">
        <f t="shared" si="602"/>
        <v>-4.7111264556953785</v>
      </c>
      <c r="F979" s="29">
        <f t="shared" si="603"/>
        <v>4.4063940920520421</v>
      </c>
      <c r="G979" s="29">
        <f t="shared" si="604"/>
        <v>-2.4404651736540695</v>
      </c>
      <c r="H979" s="29">
        <f t="shared" si="605"/>
        <v>6.869334095800073</v>
      </c>
      <c r="I979" s="29">
        <f t="shared" si="606"/>
        <v>7.050259882196757</v>
      </c>
      <c r="J979" s="29">
        <f t="shared" si="607"/>
        <v>-3.4304033026823713</v>
      </c>
      <c r="K979" s="26">
        <f t="shared" si="570"/>
        <v>-3.4959954908779469</v>
      </c>
      <c r="L979" s="26">
        <f t="shared" si="571"/>
        <v>2.9426386160984752E-2</v>
      </c>
      <c r="M979" s="26">
        <f t="shared" si="572"/>
        <v>-2.4404651736540695</v>
      </c>
      <c r="N979" s="26">
        <f t="shared" si="573"/>
        <v>8.0138614539752545E-2</v>
      </c>
      <c r="O979" s="26">
        <f t="shared" si="574"/>
        <v>-2.6632655658060922</v>
      </c>
      <c r="P979" s="26">
        <f t="shared" si="575"/>
        <v>6.517608575400119E-2</v>
      </c>
      <c r="Q979" s="26">
        <f t="shared" si="576"/>
        <v>2.1239610771064585E-3</v>
      </c>
      <c r="R979" s="26">
        <f t="shared" si="577"/>
        <v>-9.3419382503147617</v>
      </c>
      <c r="S979" s="26">
        <f t="shared" si="578"/>
        <v>8.7661660923378783E-5</v>
      </c>
      <c r="T979" s="26">
        <f t="shared" si="579"/>
        <v>1.9659289183979727</v>
      </c>
      <c r="U979" s="26">
        <f t="shared" si="580"/>
        <v>0.87717316627950059</v>
      </c>
      <c r="V979" s="26">
        <f t="shared" si="581"/>
        <v>2.7544976585137726</v>
      </c>
      <c r="W979" s="26">
        <f t="shared" si="582"/>
        <v>0.94016685867365268</v>
      </c>
      <c r="X979" s="26">
        <f t="shared" si="583"/>
        <v>1.7900024004893255E-3</v>
      </c>
      <c r="Y979" s="26">
        <f t="shared" si="584"/>
        <v>2.4309367200379812</v>
      </c>
      <c r="Z979" s="26">
        <f t="shared" si="585"/>
        <v>0.91915616601388517</v>
      </c>
      <c r="AA979" s="26">
        <f t="shared" si="586"/>
        <v>-7.1515916293494479</v>
      </c>
      <c r="AB979" s="26">
        <f t="shared" si="587"/>
        <v>7.8300228920439501E-4</v>
      </c>
      <c r="AC979" s="26">
        <f t="shared" si="588"/>
        <v>2.8891078575089284</v>
      </c>
      <c r="AD979" s="26">
        <f t="shared" si="589"/>
        <v>0.94730536544364163</v>
      </c>
      <c r="AE979" s="26">
        <f t="shared" si="590"/>
        <v>1.3883622555140786E-3</v>
      </c>
      <c r="AF979" s="26">
        <f t="shared" si="591"/>
        <v>-3.4150060393988335</v>
      </c>
      <c r="AG979" s="26">
        <f t="shared" si="592"/>
        <v>3.1829766131720033E-2</v>
      </c>
      <c r="AH979" s="26">
        <f t="shared" si="593"/>
        <v>-2.7451975372974058</v>
      </c>
      <c r="AI979" s="26">
        <f t="shared" si="594"/>
        <v>6.0358448930495301E-2</v>
      </c>
      <c r="AJ979" s="26">
        <f t="shared" si="595"/>
        <v>-2.7862112538861119</v>
      </c>
      <c r="AK979" s="26">
        <f t="shared" si="596"/>
        <v>5.8073857882959531E-2</v>
      </c>
      <c r="AL979" s="26">
        <f t="shared" si="597"/>
        <v>1.6862864847050905E-3</v>
      </c>
      <c r="AM979" s="27">
        <f t="shared" si="598"/>
        <v>6.9886122178149527E-3</v>
      </c>
    </row>
    <row r="980" spans="1:39" ht="15" customHeight="1" x14ac:dyDescent="0.2">
      <c r="A980" s="24">
        <v>969</v>
      </c>
      <c r="B980" s="29">
        <f t="shared" si="599"/>
        <v>5.9276024164657928</v>
      </c>
      <c r="C980" s="29">
        <f t="shared" si="600"/>
        <v>-5.8466132107082256</v>
      </c>
      <c r="D980" s="29">
        <f t="shared" si="601"/>
        <v>-3.4961023465126173</v>
      </c>
      <c r="E980" s="29">
        <f t="shared" si="602"/>
        <v>-4.7123821799068022</v>
      </c>
      <c r="F980" s="29">
        <f t="shared" si="603"/>
        <v>4.4076805142202007</v>
      </c>
      <c r="G980" s="29">
        <f t="shared" si="604"/>
        <v>-2.4412280805304265</v>
      </c>
      <c r="H980" s="29">
        <f t="shared" si="605"/>
        <v>6.8715341767650964</v>
      </c>
      <c r="I980" s="29">
        <f t="shared" si="606"/>
        <v>7.0527043561395946</v>
      </c>
      <c r="J980" s="29">
        <f t="shared" si="607"/>
        <v>-3.4315548686486412</v>
      </c>
      <c r="K980" s="26">
        <f t="shared" si="570"/>
        <v>-3.4961023465126173</v>
      </c>
      <c r="L980" s="26">
        <f t="shared" si="571"/>
        <v>2.9423334466866017E-2</v>
      </c>
      <c r="M980" s="26">
        <f t="shared" si="572"/>
        <v>-2.4412280805304265</v>
      </c>
      <c r="N980" s="26">
        <f t="shared" si="573"/>
        <v>8.0082393789407555E-2</v>
      </c>
      <c r="O980" s="26">
        <f t="shared" si="574"/>
        <v>-2.6645739727365401</v>
      </c>
      <c r="P980" s="26">
        <f t="shared" si="575"/>
        <v>6.5096412262224665E-2</v>
      </c>
      <c r="Q980" s="26">
        <f t="shared" si="576"/>
        <v>2.1187714447067569E-3</v>
      </c>
      <c r="R980" s="26">
        <f t="shared" si="577"/>
        <v>-9.342715557220842</v>
      </c>
      <c r="S980" s="26">
        <f t="shared" si="578"/>
        <v>8.7593553351242878E-5</v>
      </c>
      <c r="T980" s="26">
        <f t="shared" si="579"/>
        <v>1.9664524336897742</v>
      </c>
      <c r="U980" s="26">
        <f t="shared" si="580"/>
        <v>0.87722955889148369</v>
      </c>
      <c r="V980" s="26">
        <f t="shared" si="581"/>
        <v>2.7558877647752578</v>
      </c>
      <c r="W980" s="26">
        <f t="shared" si="582"/>
        <v>0.94024500868005512</v>
      </c>
      <c r="X980" s="26">
        <f t="shared" si="583"/>
        <v>1.7853294938233442E-3</v>
      </c>
      <c r="Y980" s="26">
        <f t="shared" si="584"/>
        <v>2.4315000699531755</v>
      </c>
      <c r="Z980" s="26">
        <f t="shared" si="585"/>
        <v>0.91919801759691511</v>
      </c>
      <c r="AA980" s="26">
        <f t="shared" si="586"/>
        <v>-7.1536102604372287</v>
      </c>
      <c r="AB980" s="26">
        <f t="shared" si="587"/>
        <v>7.8142452455370382E-4</v>
      </c>
      <c r="AC980" s="26">
        <f t="shared" si="588"/>
        <v>2.8902568806315996</v>
      </c>
      <c r="AD980" s="26">
        <f t="shared" si="589"/>
        <v>0.94736269280599938</v>
      </c>
      <c r="AE980" s="26">
        <f t="shared" si="590"/>
        <v>1.3853430543177944E-3</v>
      </c>
      <c r="AF980" s="26">
        <f t="shared" si="591"/>
        <v>-3.4151131407550501</v>
      </c>
      <c r="AG980" s="26">
        <f t="shared" si="592"/>
        <v>3.1826465794113565E-2</v>
      </c>
      <c r="AH980" s="26">
        <f t="shared" si="593"/>
        <v>-2.745929746217028</v>
      </c>
      <c r="AI980" s="26">
        <f t="shared" si="594"/>
        <v>6.031693484277581E-2</v>
      </c>
      <c r="AJ980" s="26">
        <f t="shared" si="595"/>
        <v>-2.7874607121041115</v>
      </c>
      <c r="AK980" s="26">
        <f t="shared" si="596"/>
        <v>5.8005548640070993E-2</v>
      </c>
      <c r="AL980" s="26">
        <f t="shared" si="597"/>
        <v>1.682321836517821E-3</v>
      </c>
      <c r="AM980" s="27">
        <f t="shared" si="598"/>
        <v>6.9717658293657163E-3</v>
      </c>
    </row>
    <row r="981" spans="1:39" ht="15" customHeight="1" x14ac:dyDescent="0.2">
      <c r="A981" s="24">
        <v>970</v>
      </c>
      <c r="B981" s="29">
        <f t="shared" si="599"/>
        <v>5.9282709643352343</v>
      </c>
      <c r="C981" s="29">
        <f t="shared" si="600"/>
        <v>-5.847282283193449</v>
      </c>
      <c r="D981" s="29">
        <f t="shared" si="601"/>
        <v>-3.4962091992560751</v>
      </c>
      <c r="E981" s="29">
        <f t="shared" si="602"/>
        <v>-4.7136346877951665</v>
      </c>
      <c r="F981" s="29">
        <f t="shared" si="603"/>
        <v>4.4089636220721076</v>
      </c>
      <c r="G981" s="29">
        <f t="shared" si="604"/>
        <v>-2.4419888840057999</v>
      </c>
      <c r="H981" s="29">
        <f t="shared" si="605"/>
        <v>6.8737297833856585</v>
      </c>
      <c r="I981" s="29">
        <f t="shared" si="606"/>
        <v>7.0551430900468484</v>
      </c>
      <c r="J981" s="29">
        <f t="shared" si="607"/>
        <v>-3.4327038994263188</v>
      </c>
      <c r="K981" s="26">
        <f t="shared" si="570"/>
        <v>-3.4962091992560751</v>
      </c>
      <c r="L981" s="26">
        <f t="shared" si="571"/>
        <v>2.9420283162191006E-2</v>
      </c>
      <c r="M981" s="26">
        <f t="shared" si="572"/>
        <v>-2.4419888840057999</v>
      </c>
      <c r="N981" s="26">
        <f t="shared" si="573"/>
        <v>8.0026363905817646E-2</v>
      </c>
      <c r="O981" s="26">
        <f t="shared" si="574"/>
        <v>-2.6658793744870231</v>
      </c>
      <c r="P981" s="26">
        <f t="shared" si="575"/>
        <v>6.5017012076271891E-2</v>
      </c>
      <c r="Q981" s="26">
        <f t="shared" si="576"/>
        <v>2.1136059296630425E-3</v>
      </c>
      <c r="R981" s="26">
        <f t="shared" si="577"/>
        <v>-9.3434914824495241</v>
      </c>
      <c r="S981" s="26">
        <f t="shared" si="578"/>
        <v>8.7525619611257918E-5</v>
      </c>
      <c r="T981" s="26">
        <f t="shared" si="579"/>
        <v>1.9669747380663076</v>
      </c>
      <c r="U981" s="26">
        <f t="shared" si="580"/>
        <v>0.87728579887288594</v>
      </c>
      <c r="V981" s="26">
        <f t="shared" si="581"/>
        <v>2.7572745699462824</v>
      </c>
      <c r="W981" s="26">
        <f t="shared" si="582"/>
        <v>0.94032287784840507</v>
      </c>
      <c r="X981" s="26">
        <f t="shared" si="583"/>
        <v>1.7806794541481911E-3</v>
      </c>
      <c r="Y981" s="26">
        <f t="shared" si="584"/>
        <v>2.4320617650791592</v>
      </c>
      <c r="Z981" s="26">
        <f t="shared" si="585"/>
        <v>0.91923972656943542</v>
      </c>
      <c r="AA981" s="26">
        <f t="shared" si="586"/>
        <v>-7.155623571800966</v>
      </c>
      <c r="AB981" s="26">
        <f t="shared" si="587"/>
        <v>7.7985408201001582E-4</v>
      </c>
      <c r="AC981" s="26">
        <f t="shared" si="588"/>
        <v>2.8914035693032365</v>
      </c>
      <c r="AD981" s="26">
        <f t="shared" si="589"/>
        <v>0.94741984497098319</v>
      </c>
      <c r="AE981" s="26">
        <f t="shared" si="590"/>
        <v>1.3823363514377206E-3</v>
      </c>
      <c r="AF981" s="26">
        <f t="shared" si="591"/>
        <v>-3.4152205181142898</v>
      </c>
      <c r="AG981" s="26">
        <f t="shared" si="592"/>
        <v>3.1823157283684921E-2</v>
      </c>
      <c r="AH981" s="26">
        <f t="shared" si="593"/>
        <v>-2.7466599497288589</v>
      </c>
      <c r="AI981" s="26">
        <f t="shared" si="594"/>
        <v>6.0275561067577588E-2</v>
      </c>
      <c r="AJ981" s="26">
        <f t="shared" si="595"/>
        <v>-2.7887074072394706</v>
      </c>
      <c r="AK981" s="26">
        <f t="shared" si="596"/>
        <v>5.793746561442354E-2</v>
      </c>
      <c r="AL981" s="26">
        <f t="shared" si="597"/>
        <v>1.6783749609112551E-3</v>
      </c>
      <c r="AM981" s="27">
        <f t="shared" si="598"/>
        <v>6.9549966961602091E-3</v>
      </c>
    </row>
    <row r="982" spans="1:39" ht="15" customHeight="1" x14ac:dyDescent="0.2">
      <c r="A982" s="24">
        <v>971</v>
      </c>
      <c r="B982" s="29">
        <f t="shared" si="599"/>
        <v>5.9289378623057996</v>
      </c>
      <c r="C982" s="29">
        <f t="shared" si="600"/>
        <v>-5.847949982243291</v>
      </c>
      <c r="D982" s="29">
        <f t="shared" si="601"/>
        <v>-3.4963160482437483</v>
      </c>
      <c r="E982" s="29">
        <f t="shared" si="602"/>
        <v>-4.7148839944803811</v>
      </c>
      <c r="F982" s="29">
        <f t="shared" si="603"/>
        <v>4.4102434313816055</v>
      </c>
      <c r="G982" s="29">
        <f t="shared" si="604"/>
        <v>-2.4427475945161645</v>
      </c>
      <c r="H982" s="29">
        <f t="shared" si="605"/>
        <v>6.8759209331842754</v>
      </c>
      <c r="I982" s="29">
        <f t="shared" si="606"/>
        <v>7.057576109926929</v>
      </c>
      <c r="J982" s="29">
        <f t="shared" si="607"/>
        <v>-3.4338504058985349</v>
      </c>
      <c r="K982" s="26">
        <f t="shared" si="570"/>
        <v>-3.4963160482437483</v>
      </c>
      <c r="L982" s="26">
        <f t="shared" si="571"/>
        <v>2.9417232271591084E-2</v>
      </c>
      <c r="M982" s="26">
        <f t="shared" si="572"/>
        <v>-2.4427475945161645</v>
      </c>
      <c r="N982" s="26">
        <f t="shared" si="573"/>
        <v>7.997052380610066E-2</v>
      </c>
      <c r="O982" s="26">
        <f t="shared" si="574"/>
        <v>-2.6671817844136791</v>
      </c>
      <c r="P982" s="26">
        <f t="shared" si="575"/>
        <v>6.4937883676523742E-2</v>
      </c>
      <c r="Q982" s="26">
        <f t="shared" si="576"/>
        <v>2.1084643681928642E-3</v>
      </c>
      <c r="R982" s="26">
        <f t="shared" si="577"/>
        <v>-9.3442660304870397</v>
      </c>
      <c r="S982" s="26">
        <f t="shared" si="578"/>
        <v>8.7457858988684774E-5</v>
      </c>
      <c r="T982" s="26">
        <f t="shared" si="579"/>
        <v>1.9674958368654409</v>
      </c>
      <c r="U982" s="26">
        <f t="shared" si="580"/>
        <v>0.87734188695771365</v>
      </c>
      <c r="V982" s="26">
        <f t="shared" si="581"/>
        <v>2.758658089055829</v>
      </c>
      <c r="W982" s="26">
        <f t="shared" si="582"/>
        <v>0.94040046779940356</v>
      </c>
      <c r="X982" s="26">
        <f t="shared" si="583"/>
        <v>1.7760521192649659E-3</v>
      </c>
      <c r="Y982" s="26">
        <f t="shared" si="584"/>
        <v>2.4326218140620512</v>
      </c>
      <c r="Z982" s="26">
        <f t="shared" si="585"/>
        <v>0.91928129375391832</v>
      </c>
      <c r="AA982" s="26">
        <f t="shared" si="586"/>
        <v>-7.1576315889965461</v>
      </c>
      <c r="AB982" s="26">
        <f t="shared" si="587"/>
        <v>7.7829091033908737E-4</v>
      </c>
      <c r="AC982" s="26">
        <f t="shared" si="588"/>
        <v>2.8925479326441375</v>
      </c>
      <c r="AD982" s="26">
        <f t="shared" si="589"/>
        <v>0.94747682280327916</v>
      </c>
      <c r="AE982" s="26">
        <f t="shared" si="590"/>
        <v>1.3793420714190679E-3</v>
      </c>
      <c r="AF982" s="26">
        <f t="shared" si="591"/>
        <v>-3.4153281681812397</v>
      </c>
      <c r="AG982" s="26">
        <f t="shared" si="592"/>
        <v>3.1819840704487949E-2</v>
      </c>
      <c r="AH982" s="26">
        <f t="shared" si="593"/>
        <v>-2.7473881576149402</v>
      </c>
      <c r="AI982" s="26">
        <f t="shared" si="594"/>
        <v>6.0234326817719341E-2</v>
      </c>
      <c r="AJ982" s="26">
        <f t="shared" si="595"/>
        <v>-2.7899513511616902</v>
      </c>
      <c r="AK982" s="26">
        <f t="shared" si="596"/>
        <v>5.7869607588813946E-2</v>
      </c>
      <c r="AL982" s="26">
        <f t="shared" si="597"/>
        <v>1.6744457412416563E-3</v>
      </c>
      <c r="AM982" s="27">
        <f t="shared" si="598"/>
        <v>6.9383043001185543E-3</v>
      </c>
    </row>
    <row r="983" spans="1:39" ht="15" customHeight="1" x14ac:dyDescent="0.2">
      <c r="A983" s="24">
        <v>972</v>
      </c>
      <c r="B983" s="29">
        <f t="shared" si="599"/>
        <v>5.9296031181059972</v>
      </c>
      <c r="C983" s="29">
        <f t="shared" si="600"/>
        <v>-5.8486163131783568</v>
      </c>
      <c r="D983" s="29">
        <f t="shared" si="601"/>
        <v>-3.4964228926214407</v>
      </c>
      <c r="E983" s="29">
        <f t="shared" si="602"/>
        <v>-4.7161301149799959</v>
      </c>
      <c r="F983" s="29">
        <f t="shared" si="603"/>
        <v>4.4115199578139412</v>
      </c>
      <c r="G983" s="29">
        <f t="shared" si="604"/>
        <v>-2.4435042224236305</v>
      </c>
      <c r="H983" s="29">
        <f t="shared" si="605"/>
        <v>6.8781076435831627</v>
      </c>
      <c r="I983" s="29">
        <f t="shared" si="606"/>
        <v>7.0600034416153852</v>
      </c>
      <c r="J983" s="29">
        <f t="shared" si="607"/>
        <v>-3.4349943988793394</v>
      </c>
      <c r="K983" s="26">
        <f t="shared" si="570"/>
        <v>-3.4964228926214407</v>
      </c>
      <c r="L983" s="26">
        <f t="shared" si="571"/>
        <v>2.9414181819391459E-2</v>
      </c>
      <c r="M983" s="26">
        <f t="shared" si="572"/>
        <v>-2.4435042224236305</v>
      </c>
      <c r="N983" s="26">
        <f t="shared" si="573"/>
        <v>7.9914872415879731E-2</v>
      </c>
      <c r="O983" s="26">
        <f t="shared" si="574"/>
        <v>-2.6684812157852731</v>
      </c>
      <c r="P983" s="26">
        <f t="shared" si="575"/>
        <v>6.4859025554984531E-2</v>
      </c>
      <c r="Q983" s="26">
        <f t="shared" si="576"/>
        <v>2.1033465979710684E-3</v>
      </c>
      <c r="R983" s="26">
        <f t="shared" si="577"/>
        <v>-9.3450392057997966</v>
      </c>
      <c r="S983" s="26">
        <f t="shared" si="578"/>
        <v>8.739027077269779E-5</v>
      </c>
      <c r="T983" s="26">
        <f t="shared" si="579"/>
        <v>1.9680157353903107</v>
      </c>
      <c r="U983" s="26">
        <f t="shared" si="580"/>
        <v>0.87739782387490506</v>
      </c>
      <c r="V983" s="26">
        <f t="shared" si="581"/>
        <v>2.7600383370327166</v>
      </c>
      <c r="W983" s="26">
        <f t="shared" si="582"/>
        <v>0.94047778014096062</v>
      </c>
      <c r="X983" s="26">
        <f t="shared" si="583"/>
        <v>1.771447328473911E-3</v>
      </c>
      <c r="Y983" s="26">
        <f t="shared" si="584"/>
        <v>2.4331802254845565</v>
      </c>
      <c r="Z983" s="26">
        <f t="shared" si="585"/>
        <v>0.91932271996629022</v>
      </c>
      <c r="AA983" s="26">
        <f t="shared" si="586"/>
        <v>-7.1596343374036264</v>
      </c>
      <c r="AB983" s="26">
        <f t="shared" si="587"/>
        <v>7.7673495878098902E-4</v>
      </c>
      <c r="AC983" s="26">
        <f t="shared" si="588"/>
        <v>2.8936899797226814</v>
      </c>
      <c r="AD983" s="26">
        <f t="shared" si="589"/>
        <v>0.94753362716173584</v>
      </c>
      <c r="AE983" s="26">
        <f t="shared" si="590"/>
        <v>1.3763601394018719E-3</v>
      </c>
      <c r="AF983" s="26">
        <f t="shared" si="591"/>
        <v>-3.4154360876938004</v>
      </c>
      <c r="AG983" s="26">
        <f t="shared" si="592"/>
        <v>3.1816516159518429E-2</v>
      </c>
      <c r="AH983" s="26">
        <f t="shared" si="593"/>
        <v>-2.7481143795896852</v>
      </c>
      <c r="AI983" s="26">
        <f t="shared" si="594"/>
        <v>6.019323131210455E-2</v>
      </c>
      <c r="AJ983" s="26">
        <f t="shared" si="595"/>
        <v>-2.7911925556649595</v>
      </c>
      <c r="AK983" s="26">
        <f t="shared" si="596"/>
        <v>5.7801973355069168E-2</v>
      </c>
      <c r="AL983" s="26">
        <f t="shared" si="597"/>
        <v>1.6705340618700631E-3</v>
      </c>
      <c r="AM983" s="27">
        <f t="shared" si="598"/>
        <v>6.9216881277169148E-3</v>
      </c>
    </row>
    <row r="984" spans="1:39" ht="15" customHeight="1" x14ac:dyDescent="0.2">
      <c r="A984" s="24">
        <v>973</v>
      </c>
      <c r="B984" s="29">
        <f t="shared" si="599"/>
        <v>5.930266739411767</v>
      </c>
      <c r="C984" s="29">
        <f t="shared" si="600"/>
        <v>-5.8492812812892732</v>
      </c>
      <c r="D984" s="29">
        <f t="shared" si="601"/>
        <v>-3.4965297315452095</v>
      </c>
      <c r="E984" s="29">
        <f t="shared" si="602"/>
        <v>-4.7173730642100988</v>
      </c>
      <c r="F984" s="29">
        <f t="shared" si="603"/>
        <v>4.4127932169267394</v>
      </c>
      <c r="G984" s="29">
        <f t="shared" si="604"/>
        <v>-2.4442587780171214</v>
      </c>
      <c r="H984" s="29">
        <f t="shared" si="605"/>
        <v>6.8802899319049828</v>
      </c>
      <c r="I984" s="29">
        <f t="shared" si="606"/>
        <v>7.0624251107764087</v>
      </c>
      <c r="J984" s="29">
        <f t="shared" si="607"/>
        <v>-3.4361358891142819</v>
      </c>
      <c r="K984" s="26">
        <f t="shared" si="570"/>
        <v>-3.4965297315452095</v>
      </c>
      <c r="L984" s="26">
        <f t="shared" si="571"/>
        <v>2.9411131829614863E-2</v>
      </c>
      <c r="M984" s="26">
        <f t="shared" si="572"/>
        <v>-2.4442587780171214</v>
      </c>
      <c r="N984" s="26">
        <f t="shared" si="573"/>
        <v>7.9859408669198328E-2</v>
      </c>
      <c r="O984" s="26">
        <f t="shared" si="574"/>
        <v>-2.6697776817839509</v>
      </c>
      <c r="P984" s="26">
        <f t="shared" si="575"/>
        <v>6.4780436215169115E-2</v>
      </c>
      <c r="Q984" s="26">
        <f t="shared" si="576"/>
        <v>2.098252458113797E-3</v>
      </c>
      <c r="R984" s="26">
        <f t="shared" si="577"/>
        <v>-9.3458110128344831</v>
      </c>
      <c r="S984" s="26">
        <f t="shared" si="578"/>
        <v>8.73228542563587E-5</v>
      </c>
      <c r="T984" s="26">
        <f t="shared" si="579"/>
        <v>1.968534438909618</v>
      </c>
      <c r="U984" s="26">
        <f t="shared" si="580"/>
        <v>0.87745361034837488</v>
      </c>
      <c r="V984" s="26">
        <f t="shared" si="581"/>
        <v>2.7614153287064651</v>
      </c>
      <c r="W984" s="26">
        <f t="shared" si="582"/>
        <v>0.94055481646832351</v>
      </c>
      <c r="X984" s="26">
        <f t="shared" si="583"/>
        <v>1.766864922557351E-3</v>
      </c>
      <c r="Y984" s="26">
        <f t="shared" si="584"/>
        <v>2.4337370078665574</v>
      </c>
      <c r="Z984" s="26">
        <f t="shared" si="585"/>
        <v>0.9193640060159981</v>
      </c>
      <c r="AA984" s="26">
        <f t="shared" si="586"/>
        <v>-7.1616318422272203</v>
      </c>
      <c r="AB984" s="26">
        <f t="shared" si="587"/>
        <v>7.7518617704466308E-4</v>
      </c>
      <c r="AC984" s="26">
        <f t="shared" si="588"/>
        <v>2.8948297195557089</v>
      </c>
      <c r="AD984" s="26">
        <f t="shared" si="589"/>
        <v>0.94759025889941473</v>
      </c>
      <c r="AE984" s="26">
        <f t="shared" si="590"/>
        <v>1.3733904811151886E-3</v>
      </c>
      <c r="AF984" s="26">
        <f t="shared" si="591"/>
        <v>-3.4155442734227157</v>
      </c>
      <c r="AG984" s="26">
        <f t="shared" si="592"/>
        <v>3.1813183750725803E-2</v>
      </c>
      <c r="AH984" s="26">
        <f t="shared" si="593"/>
        <v>-2.7488386253004808</v>
      </c>
      <c r="AI984" s="26">
        <f t="shared" si="594"/>
        <v>6.015227377566195E-2</v>
      </c>
      <c r="AJ984" s="26">
        <f t="shared" si="595"/>
        <v>-2.7924310324687878</v>
      </c>
      <c r="AK984" s="26">
        <f t="shared" si="596"/>
        <v>5.773456171396113E-2</v>
      </c>
      <c r="AL984" s="26">
        <f t="shared" si="597"/>
        <v>1.6666398081515931E-3</v>
      </c>
      <c r="AM984" s="27">
        <f t="shared" si="598"/>
        <v>6.9051476699379302E-3</v>
      </c>
    </row>
    <row r="985" spans="1:39" ht="15" customHeight="1" x14ac:dyDescent="0.2">
      <c r="A985" s="24">
        <v>974</v>
      </c>
      <c r="B985" s="29">
        <f t="shared" si="599"/>
        <v>5.9309287338469456</v>
      </c>
      <c r="C985" s="29">
        <f t="shared" si="600"/>
        <v>-5.8499448918369108</v>
      </c>
      <c r="D985" s="29">
        <f t="shared" si="601"/>
        <v>-3.4966365641812449</v>
      </c>
      <c r="E985" s="29">
        <f t="shared" si="602"/>
        <v>-4.7186128569862111</v>
      </c>
      <c r="F985" s="29">
        <f t="shared" si="603"/>
        <v>4.4140632241709685</v>
      </c>
      <c r="G985" s="29">
        <f t="shared" si="604"/>
        <v>-2.4450112715130401</v>
      </c>
      <c r="H985" s="29">
        <f t="shared" si="605"/>
        <v>6.8824678153735883</v>
      </c>
      <c r="I985" s="29">
        <f t="shared" si="606"/>
        <v>7.064841142904327</v>
      </c>
      <c r="J985" s="29">
        <f t="shared" si="607"/>
        <v>-3.4372748872809828</v>
      </c>
      <c r="K985" s="26">
        <f t="shared" si="570"/>
        <v>-3.4966365641812449</v>
      </c>
      <c r="L985" s="26">
        <f t="shared" si="571"/>
        <v>2.9408082325985123E-2</v>
      </c>
      <c r="M985" s="26">
        <f t="shared" si="572"/>
        <v>-2.4450112715130401</v>
      </c>
      <c r="N985" s="26">
        <f t="shared" si="573"/>
        <v>7.9804131508436571E-2</v>
      </c>
      <c r="O985" s="26">
        <f t="shared" si="574"/>
        <v>-2.6710711955059834</v>
      </c>
      <c r="P985" s="26">
        <f t="shared" si="575"/>
        <v>6.4702114171991315E-2</v>
      </c>
      <c r="Q985" s="26">
        <f t="shared" si="576"/>
        <v>2.0931817891626995E-3</v>
      </c>
      <c r="R985" s="26">
        <f t="shared" si="577"/>
        <v>-9.3465814560181553</v>
      </c>
      <c r="S985" s="26">
        <f t="shared" si="578"/>
        <v>8.7255608736592157E-5</v>
      </c>
      <c r="T985" s="26">
        <f t="shared" si="579"/>
        <v>1.9690519526579284</v>
      </c>
      <c r="U985" s="26">
        <f t="shared" si="580"/>
        <v>0.87750924709706046</v>
      </c>
      <c r="V985" s="26">
        <f t="shared" si="581"/>
        <v>2.762789078808169</v>
      </c>
      <c r="W985" s="26">
        <f t="shared" si="582"/>
        <v>0.94063157836420219</v>
      </c>
      <c r="X985" s="26">
        <f t="shared" si="583"/>
        <v>1.7623047437629327E-3</v>
      </c>
      <c r="Y985" s="26">
        <f t="shared" si="584"/>
        <v>2.4342921696657007</v>
      </c>
      <c r="Z985" s="26">
        <f t="shared" si="585"/>
        <v>0.91940515270607437</v>
      </c>
      <c r="AA985" s="26">
        <f t="shared" si="586"/>
        <v>-7.1636241284992508</v>
      </c>
      <c r="AB985" s="26">
        <f t="shared" si="587"/>
        <v>7.7364451530256525E-4</v>
      </c>
      <c r="AC985" s="26">
        <f t="shared" si="588"/>
        <v>2.8959671611089051</v>
      </c>
      <c r="AD985" s="26">
        <f t="shared" si="589"/>
        <v>0.94764671886363772</v>
      </c>
      <c r="AE985" s="26">
        <f t="shared" si="590"/>
        <v>1.3704330228714934E-3</v>
      </c>
      <c r="AF985" s="26">
        <f t="shared" si="591"/>
        <v>-3.4156527221712101</v>
      </c>
      <c r="AG985" s="26">
        <f t="shared" si="592"/>
        <v>3.1809843579024576E-2</v>
      </c>
      <c r="AH985" s="26">
        <f t="shared" si="593"/>
        <v>-2.7495609043282827</v>
      </c>
      <c r="AI985" s="26">
        <f t="shared" si="594"/>
        <v>6.0111453439286644E-2</v>
      </c>
      <c r="AJ985" s="26">
        <f t="shared" si="595"/>
        <v>-2.7936667932186281</v>
      </c>
      <c r="AK985" s="26">
        <f t="shared" si="596"/>
        <v>5.766737147512252E-2</v>
      </c>
      <c r="AL985" s="26">
        <f t="shared" si="597"/>
        <v>1.6627628664248873E-3</v>
      </c>
      <c r="AM985" s="27">
        <f t="shared" si="598"/>
        <v>6.8886824222220136E-3</v>
      </c>
    </row>
    <row r="986" spans="1:39" ht="15" customHeight="1" x14ac:dyDescent="0.2">
      <c r="A986" s="24">
        <v>975</v>
      </c>
      <c r="B986" s="29">
        <f t="shared" si="599"/>
        <v>5.9315891089837249</v>
      </c>
      <c r="C986" s="29">
        <f t="shared" si="600"/>
        <v>-5.8506071500525989</v>
      </c>
      <c r="D986" s="29">
        <f t="shared" si="601"/>
        <v>-3.4967433897057516</v>
      </c>
      <c r="E986" s="29">
        <f t="shared" si="602"/>
        <v>-4.7198495080241623</v>
      </c>
      <c r="F986" s="29">
        <f t="shared" si="603"/>
        <v>4.4153299948918896</v>
      </c>
      <c r="G986" s="29">
        <f t="shared" si="604"/>
        <v>-2.4457617130559295</v>
      </c>
      <c r="H986" s="29">
        <f t="shared" si="605"/>
        <v>6.8846413111147546</v>
      </c>
      <c r="I986" s="29">
        <f t="shared" si="606"/>
        <v>7.067251563325077</v>
      </c>
      <c r="J986" s="29">
        <f t="shared" si="607"/>
        <v>-3.4384114039896994</v>
      </c>
      <c r="K986" s="26">
        <f t="shared" si="570"/>
        <v>-3.4967433897057516</v>
      </c>
      <c r="L986" s="26">
        <f t="shared" si="571"/>
        <v>2.9405033331930671E-2</v>
      </c>
      <c r="M986" s="26">
        <f t="shared" si="572"/>
        <v>-2.4457617130559295</v>
      </c>
      <c r="N986" s="26">
        <f t="shared" si="573"/>
        <v>7.974903988422824E-2</v>
      </c>
      <c r="O986" s="26">
        <f t="shared" si="574"/>
        <v>-2.6723617699624973</v>
      </c>
      <c r="P986" s="26">
        <f t="shared" si="575"/>
        <v>6.4624057951654088E-2</v>
      </c>
      <c r="Q986" s="26">
        <f t="shared" si="576"/>
        <v>2.0881344330693731E-3</v>
      </c>
      <c r="R986" s="26">
        <f t="shared" si="577"/>
        <v>-9.3473505397583505</v>
      </c>
      <c r="S986" s="26">
        <f t="shared" si="578"/>
        <v>8.7188533514159249E-5</v>
      </c>
      <c r="T986" s="26">
        <f t="shared" si="579"/>
        <v>1.9695682818359601</v>
      </c>
      <c r="U986" s="26">
        <f t="shared" si="580"/>
        <v>0.87756473483496578</v>
      </c>
      <c r="V986" s="26">
        <f t="shared" si="581"/>
        <v>2.7641596019713561</v>
      </c>
      <c r="W986" s="26">
        <f t="shared" si="582"/>
        <v>0.94070806739889379</v>
      </c>
      <c r="X986" s="26">
        <f t="shared" si="583"/>
        <v>1.7577666357870608E-3</v>
      </c>
      <c r="Y986" s="26">
        <f t="shared" si="584"/>
        <v>2.4348457192779733</v>
      </c>
      <c r="Z986" s="26">
        <f t="shared" si="585"/>
        <v>0.91944616083320063</v>
      </c>
      <c r="AA986" s="26">
        <f t="shared" si="586"/>
        <v>-7.1656112210800913</v>
      </c>
      <c r="AB986" s="26">
        <f t="shared" si="587"/>
        <v>7.7210992418537676E-4</v>
      </c>
      <c r="AC986" s="26">
        <f t="shared" si="588"/>
        <v>2.897102313297172</v>
      </c>
      <c r="AD986" s="26">
        <f t="shared" si="589"/>
        <v>0.94770300789603712</v>
      </c>
      <c r="AE986" s="26">
        <f t="shared" si="590"/>
        <v>1.3674876915609779E-3</v>
      </c>
      <c r="AF986" s="26">
        <f t="shared" si="591"/>
        <v>-3.4157614307746256</v>
      </c>
      <c r="AG986" s="26">
        <f t="shared" si="592"/>
        <v>3.1806495744305774E-2</v>
      </c>
      <c r="AH986" s="26">
        <f t="shared" si="593"/>
        <v>-2.7502812261882021</v>
      </c>
      <c r="AI986" s="26">
        <f t="shared" si="594"/>
        <v>6.0070769539781944E-2</v>
      </c>
      <c r="AJ986" s="26">
        <f t="shared" si="595"/>
        <v>-2.7948998494864918</v>
      </c>
      <c r="AK986" s="26">
        <f t="shared" si="596"/>
        <v>5.7600401456963594E-2</v>
      </c>
      <c r="AL986" s="26">
        <f t="shared" si="597"/>
        <v>1.6589031240016869E-3</v>
      </c>
      <c r="AM986" s="27">
        <f t="shared" si="598"/>
        <v>6.8722918844190996E-3</v>
      </c>
    </row>
    <row r="987" spans="1:39" ht="15" customHeight="1" x14ac:dyDescent="0.2">
      <c r="A987" s="24">
        <v>976</v>
      </c>
      <c r="B987" s="29">
        <f t="shared" si="599"/>
        <v>5.9322478723431082</v>
      </c>
      <c r="C987" s="29">
        <f t="shared" si="600"/>
        <v>-5.8512680611383443</v>
      </c>
      <c r="D987" s="29">
        <f t="shared" si="601"/>
        <v>-3.4968502073048309</v>
      </c>
      <c r="E987" s="29">
        <f t="shared" si="602"/>
        <v>-4.7210830319409665</v>
      </c>
      <c r="F987" s="29">
        <f t="shared" si="603"/>
        <v>4.4165935443300031</v>
      </c>
      <c r="G987" s="29">
        <f t="shared" si="604"/>
        <v>-2.4465101127191256</v>
      </c>
      <c r="H987" s="29">
        <f t="shared" si="605"/>
        <v>6.8868104361569111</v>
      </c>
      <c r="I987" s="29">
        <f t="shared" si="606"/>
        <v>7.0696563971976616</v>
      </c>
      <c r="J987" s="29">
        <f t="shared" si="607"/>
        <v>-3.4395454497838878</v>
      </c>
      <c r="K987" s="26">
        <f t="shared" si="570"/>
        <v>-3.4968502073048309</v>
      </c>
      <c r="L987" s="26">
        <f t="shared" si="571"/>
        <v>2.9401984870588101E-2</v>
      </c>
      <c r="M987" s="26">
        <f t="shared" si="572"/>
        <v>-2.4465101127191256</v>
      </c>
      <c r="N987" s="26">
        <f t="shared" si="573"/>
        <v>7.9694132755379093E-2</v>
      </c>
      <c r="O987" s="26">
        <f t="shared" si="574"/>
        <v>-2.6736494180802084</v>
      </c>
      <c r="P987" s="26">
        <f t="shared" si="575"/>
        <v>6.4546266091540253E-2</v>
      </c>
      <c r="Q987" s="26">
        <f t="shared" si="576"/>
        <v>2.0831102331799593E-3</v>
      </c>
      <c r="R987" s="26">
        <f t="shared" si="577"/>
        <v>-9.3481182684431747</v>
      </c>
      <c r="S987" s="26">
        <f t="shared" si="578"/>
        <v>8.7121627893633363E-5</v>
      </c>
      <c r="T987" s="26">
        <f t="shared" si="579"/>
        <v>1.9700834316108775</v>
      </c>
      <c r="U987" s="26">
        <f t="shared" si="580"/>
        <v>0.8776200742712057</v>
      </c>
      <c r="V987" s="26">
        <f t="shared" si="581"/>
        <v>2.7655269127328217</v>
      </c>
      <c r="W987" s="26">
        <f t="shared" si="582"/>
        <v>0.9407842851304058</v>
      </c>
      <c r="X987" s="26">
        <f t="shared" si="583"/>
        <v>1.7532504437585401E-3</v>
      </c>
      <c r="Y987" s="26">
        <f t="shared" si="584"/>
        <v>2.4353976650382774</v>
      </c>
      <c r="Z987" s="26">
        <f t="shared" si="585"/>
        <v>0.91948703118777175</v>
      </c>
      <c r="AA987" s="26">
        <f t="shared" si="586"/>
        <v>-7.167593144660092</v>
      </c>
      <c r="AB987" s="26">
        <f t="shared" si="587"/>
        <v>7.7058235477678566E-4</v>
      </c>
      <c r="AC987" s="26">
        <f t="shared" si="588"/>
        <v>2.8982351849850096</v>
      </c>
      <c r="AD987" s="26">
        <f t="shared" si="589"/>
        <v>0.94775912683260355</v>
      </c>
      <c r="AE987" s="26">
        <f t="shared" si="590"/>
        <v>1.3645544146460012E-3</v>
      </c>
      <c r="AF987" s="26">
        <f t="shared" si="591"/>
        <v>-3.4158703961000669</v>
      </c>
      <c r="AG987" s="26">
        <f t="shared" si="592"/>
        <v>3.1803140345448143E-2</v>
      </c>
      <c r="AH987" s="26">
        <f t="shared" si="593"/>
        <v>-2.7509996003300889</v>
      </c>
      <c r="AI987" s="26">
        <f t="shared" si="594"/>
        <v>6.003022131980202E-2</v>
      </c>
      <c r="AJ987" s="26">
        <f t="shared" si="595"/>
        <v>-2.7961302127715628</v>
      </c>
      <c r="AK987" s="26">
        <f t="shared" si="596"/>
        <v>5.7533650486589816E-2</v>
      </c>
      <c r="AL987" s="26">
        <f t="shared" si="597"/>
        <v>1.6550604691565384E-3</v>
      </c>
      <c r="AM987" s="27">
        <f t="shared" si="598"/>
        <v>6.8559755607410389E-3</v>
      </c>
    </row>
    <row r="988" spans="1:39" ht="15" customHeight="1" x14ac:dyDescent="0.2">
      <c r="A988" s="24">
        <v>977</v>
      </c>
      <c r="B988" s="29">
        <f t="shared" si="599"/>
        <v>5.9329050313953582</v>
      </c>
      <c r="C988" s="29">
        <f t="shared" si="600"/>
        <v>-5.8519276302670447</v>
      </c>
      <c r="D988" s="29">
        <f t="shared" si="601"/>
        <v>-3.4969570161743646</v>
      </c>
      <c r="E988" s="29">
        <f t="shared" si="602"/>
        <v>-4.7223134432556817</v>
      </c>
      <c r="F988" s="29">
        <f t="shared" si="603"/>
        <v>4.4178538876219768</v>
      </c>
      <c r="G988" s="29">
        <f t="shared" si="604"/>
        <v>-2.4472564805054038</v>
      </c>
      <c r="H988" s="29">
        <f t="shared" si="605"/>
        <v>6.8889752074318604</v>
      </c>
      <c r="I988" s="29">
        <f t="shared" si="606"/>
        <v>7.0720556695155947</v>
      </c>
      <c r="J988" s="29">
        <f t="shared" si="607"/>
        <v>-3.440677035140757</v>
      </c>
      <c r="K988" s="26">
        <f t="shared" si="570"/>
        <v>-3.4969570161743646</v>
      </c>
      <c r="L988" s="26">
        <f t="shared" si="571"/>
        <v>2.9398936964805583E-2</v>
      </c>
      <c r="M988" s="26">
        <f t="shared" si="572"/>
        <v>-2.4472564805054038</v>
      </c>
      <c r="N988" s="26">
        <f t="shared" si="573"/>
        <v>7.9639409088785848E-2</v>
      </c>
      <c r="O988" s="26">
        <f t="shared" si="574"/>
        <v>-2.6749341527021393</v>
      </c>
      <c r="P988" s="26">
        <f t="shared" si="575"/>
        <v>6.4468737140105051E-2</v>
      </c>
      <c r="Q988" s="26">
        <f t="shared" si="576"/>
        <v>2.07810903421998E-3</v>
      </c>
      <c r="R988" s="26">
        <f t="shared" si="577"/>
        <v>-9.3488846464414088</v>
      </c>
      <c r="S988" s="26">
        <f t="shared" si="578"/>
        <v>8.7054891183374516E-5</v>
      </c>
      <c r="T988" s="26">
        <f t="shared" si="579"/>
        <v>1.9705974071165731</v>
      </c>
      <c r="U988" s="26">
        <f t="shared" si="580"/>
        <v>0.87767526611004953</v>
      </c>
      <c r="V988" s="26">
        <f t="shared" si="581"/>
        <v>2.7668910255334751</v>
      </c>
      <c r="W988" s="26">
        <f t="shared" si="582"/>
        <v>0.94086023310457711</v>
      </c>
      <c r="X988" s="26">
        <f t="shared" si="583"/>
        <v>1.7487560142224782E-3</v>
      </c>
      <c r="Y988" s="26">
        <f t="shared" si="584"/>
        <v>2.4359480152209936</v>
      </c>
      <c r="Z988" s="26">
        <f t="shared" si="585"/>
        <v>0.91952776455395779</v>
      </c>
      <c r="AA988" s="26">
        <f t="shared" si="586"/>
        <v>-7.1695699237610855</v>
      </c>
      <c r="AB988" s="26">
        <f t="shared" si="587"/>
        <v>7.6906175860834273E-4</v>
      </c>
      <c r="AC988" s="26">
        <f t="shared" si="588"/>
        <v>2.8993657849868733</v>
      </c>
      <c r="AD988" s="26">
        <f t="shared" si="589"/>
        <v>0.94781507650373265</v>
      </c>
      <c r="AE988" s="26">
        <f t="shared" si="590"/>
        <v>1.3616331201556384E-3</v>
      </c>
      <c r="AF988" s="26">
        <f t="shared" si="591"/>
        <v>-3.4159796150460511</v>
      </c>
      <c r="AG988" s="26">
        <f t="shared" si="592"/>
        <v>3.1799777480329201E-2</v>
      </c>
      <c r="AH988" s="26">
        <f t="shared" si="593"/>
        <v>-2.7517160361391086</v>
      </c>
      <c r="AI988" s="26">
        <f t="shared" si="594"/>
        <v>5.9989808027794835E-2</v>
      </c>
      <c r="AJ988" s="26">
        <f t="shared" si="595"/>
        <v>-2.7973578945008004</v>
      </c>
      <c r="AK988" s="26">
        <f t="shared" si="596"/>
        <v>5.7467117399720477E-2</v>
      </c>
      <c r="AL988" s="26">
        <f t="shared" si="597"/>
        <v>1.6512347911166281E-3</v>
      </c>
      <c r="AM988" s="27">
        <f t="shared" si="598"/>
        <v>6.8397329597147238E-3</v>
      </c>
    </row>
    <row r="989" spans="1:39" ht="15" customHeight="1" x14ac:dyDescent="0.2">
      <c r="A989" s="24">
        <v>978</v>
      </c>
      <c r="B989" s="29">
        <f t="shared" si="599"/>
        <v>5.9335605935604443</v>
      </c>
      <c r="C989" s="29">
        <f t="shared" si="600"/>
        <v>-5.8525858625827007</v>
      </c>
      <c r="D989" s="29">
        <f t="shared" si="601"/>
        <v>-3.4970638155199021</v>
      </c>
      <c r="E989" s="29">
        <f t="shared" si="602"/>
        <v>-4.7235407563902632</v>
      </c>
      <c r="F989" s="29">
        <f t="shared" si="603"/>
        <v>4.4191110398015701</v>
      </c>
      <c r="G989" s="29">
        <f t="shared" si="604"/>
        <v>-2.448000826347617</v>
      </c>
      <c r="H989" s="29">
        <f t="shared" si="605"/>
        <v>6.8911356417754943</v>
      </c>
      <c r="I989" s="29">
        <f t="shared" si="606"/>
        <v>7.0744494051083286</v>
      </c>
      <c r="J989" s="29">
        <f t="shared" si="607"/>
        <v>-3.4418061704718181</v>
      </c>
      <c r="K989" s="26">
        <f t="shared" si="570"/>
        <v>-3.4970638155199021</v>
      </c>
      <c r="L989" s="26">
        <f t="shared" si="571"/>
        <v>2.9395889637146257E-2</v>
      </c>
      <c r="M989" s="26">
        <f t="shared" si="572"/>
        <v>-2.448000826347617</v>
      </c>
      <c r="N989" s="26">
        <f t="shared" si="573"/>
        <v>7.9584867859356354E-2</v>
      </c>
      <c r="O989" s="26">
        <f t="shared" si="574"/>
        <v>-2.6762159865883319</v>
      </c>
      <c r="P989" s="26">
        <f t="shared" si="575"/>
        <v>6.4391469656769756E-2</v>
      </c>
      <c r="Q989" s="26">
        <f t="shared" si="576"/>
        <v>2.0731306822793501E-3</v>
      </c>
      <c r="R989" s="26">
        <f t="shared" si="577"/>
        <v>-9.3496496781026028</v>
      </c>
      <c r="S989" s="26">
        <f t="shared" si="578"/>
        <v>8.6988322695504976E-5</v>
      </c>
      <c r="T989" s="26">
        <f t="shared" si="579"/>
        <v>1.9711102134539531</v>
      </c>
      <c r="U989" s="26">
        <f t="shared" si="580"/>
        <v>0.87773031105096389</v>
      </c>
      <c r="V989" s="26">
        <f t="shared" si="581"/>
        <v>2.7682519547191666</v>
      </c>
      <c r="W989" s="26">
        <f t="shared" si="582"/>
        <v>0.94093591285519906</v>
      </c>
      <c r="X989" s="26">
        <f t="shared" si="583"/>
        <v>1.7442831951243196E-3</v>
      </c>
      <c r="Y989" s="26">
        <f t="shared" si="584"/>
        <v>2.4364967780405422</v>
      </c>
      <c r="Z989" s="26">
        <f t="shared" si="585"/>
        <v>0.91956836170976675</v>
      </c>
      <c r="AA989" s="26">
        <f t="shared" si="586"/>
        <v>-7.1715415827378806</v>
      </c>
      <c r="AB989" s="26">
        <f t="shared" si="587"/>
        <v>7.6754808765438186E-4</v>
      </c>
      <c r="AC989" s="26">
        <f t="shared" si="588"/>
        <v>2.900494122067554</v>
      </c>
      <c r="AD989" s="26">
        <f t="shared" si="589"/>
        <v>0.9478708577342736</v>
      </c>
      <c r="AE989" s="26">
        <f t="shared" si="590"/>
        <v>1.3587237366801713E-3</v>
      </c>
      <c r="AF989" s="26">
        <f t="shared" si="591"/>
        <v>-3.4160890845421585</v>
      </c>
      <c r="AG989" s="26">
        <f t="shared" si="592"/>
        <v>3.1796407245836274E-2</v>
      </c>
      <c r="AH989" s="26">
        <f t="shared" si="593"/>
        <v>-2.7524305429363101</v>
      </c>
      <c r="AI989" s="26">
        <f t="shared" si="594"/>
        <v>5.9949528917946263E-2</v>
      </c>
      <c r="AJ989" s="26">
        <f t="shared" si="595"/>
        <v>-2.7985829060295377</v>
      </c>
      <c r="AK989" s="26">
        <f t="shared" si="596"/>
        <v>5.7400801040608261E-2</v>
      </c>
      <c r="AL989" s="26">
        <f t="shared" si="597"/>
        <v>1.6474259800517471E-3</v>
      </c>
      <c r="AM989" s="27">
        <f t="shared" si="598"/>
        <v>6.8235635941355883E-3</v>
      </c>
    </row>
    <row r="990" spans="1:39" ht="15" customHeight="1" x14ac:dyDescent="0.2">
      <c r="A990" s="24">
        <v>979</v>
      </c>
      <c r="B990" s="29">
        <f t="shared" si="599"/>
        <v>5.9342145662084809</v>
      </c>
      <c r="C990" s="29">
        <f t="shared" si="600"/>
        <v>-5.8532427632006279</v>
      </c>
      <c r="D990" s="29">
        <f t="shared" si="601"/>
        <v>-3.4971706045565458</v>
      </c>
      <c r="E990" s="29">
        <f t="shared" si="602"/>
        <v>-4.7247649856704079</v>
      </c>
      <c r="F990" s="29">
        <f t="shared" si="603"/>
        <v>4.4203650158005452</v>
      </c>
      <c r="G990" s="29">
        <f t="shared" si="604"/>
        <v>-2.4487431601093266</v>
      </c>
      <c r="H990" s="29">
        <f t="shared" si="605"/>
        <v>6.8932917559285025</v>
      </c>
      <c r="I990" s="29">
        <f t="shared" si="606"/>
        <v>7.0768376286426653</v>
      </c>
      <c r="J990" s="29">
        <f t="shared" si="607"/>
        <v>-3.4429328661234289</v>
      </c>
      <c r="K990" s="26">
        <f t="shared" si="570"/>
        <v>-3.4971706045565458</v>
      </c>
      <c r="L990" s="26">
        <f t="shared" si="571"/>
        <v>2.939284290989164E-2</v>
      </c>
      <c r="M990" s="26">
        <f t="shared" si="572"/>
        <v>-2.4487431601093266</v>
      </c>
      <c r="N990" s="26">
        <f t="shared" si="573"/>
        <v>7.9530508049930726E-2</v>
      </c>
      <c r="O990" s="26">
        <f t="shared" si="574"/>
        <v>-2.6774949324165531</v>
      </c>
      <c r="P990" s="26">
        <f t="shared" si="575"/>
        <v>6.4314462211816484E-2</v>
      </c>
      <c r="Q990" s="26">
        <f t="shared" si="576"/>
        <v>2.0681750247975852E-3</v>
      </c>
      <c r="R990" s="26">
        <f t="shared" si="577"/>
        <v>-9.3504133677571737</v>
      </c>
      <c r="S990" s="26">
        <f t="shared" si="578"/>
        <v>8.6921921745884524E-5</v>
      </c>
      <c r="T990" s="26">
        <f t="shared" si="579"/>
        <v>1.9716218556912186</v>
      </c>
      <c r="U990" s="26">
        <f t="shared" si="580"/>
        <v>0.87778520978865615</v>
      </c>
      <c r="V990" s="26">
        <f t="shared" si="581"/>
        <v>2.7696097145415095</v>
      </c>
      <c r="W990" s="26">
        <f t="shared" si="582"/>
        <v>0.94101132590413383</v>
      </c>
      <c r="X990" s="26">
        <f t="shared" si="583"/>
        <v>1.7398318357941562E-3</v>
      </c>
      <c r="Y990" s="26">
        <f t="shared" si="584"/>
        <v>2.437043961651935</v>
      </c>
      <c r="Z990" s="26">
        <f t="shared" si="585"/>
        <v>0.91960882342710504</v>
      </c>
      <c r="AA990" s="26">
        <f t="shared" si="586"/>
        <v>-7.1735081457797349</v>
      </c>
      <c r="AB990" s="26">
        <f t="shared" si="587"/>
        <v>7.6604129432701466E-4</v>
      </c>
      <c r="AC990" s="26">
        <f t="shared" si="588"/>
        <v>2.9016202049425317</v>
      </c>
      <c r="AD990" s="26">
        <f t="shared" si="589"/>
        <v>0.94792647134357488</v>
      </c>
      <c r="AE990" s="26">
        <f t="shared" si="590"/>
        <v>1.3558261933657638E-3</v>
      </c>
      <c r="AF990" s="26">
        <f t="shared" si="591"/>
        <v>-3.4161988015486928</v>
      </c>
      <c r="AG990" s="26">
        <f t="shared" si="592"/>
        <v>3.1793029737877197E-2</v>
      </c>
      <c r="AH990" s="26">
        <f t="shared" si="593"/>
        <v>-2.7531431299791893</v>
      </c>
      <c r="AI990" s="26">
        <f t="shared" si="594"/>
        <v>5.9909383250124473E-2</v>
      </c>
      <c r="AJ990" s="26">
        <f t="shared" si="595"/>
        <v>-2.799805258642075</v>
      </c>
      <c r="AK990" s="26">
        <f t="shared" si="596"/>
        <v>5.7334700261959679E-2</v>
      </c>
      <c r="AL990" s="26">
        <f t="shared" si="597"/>
        <v>1.6436339270643797E-3</v>
      </c>
      <c r="AM990" s="27">
        <f t="shared" si="598"/>
        <v>6.8074669810218843E-3</v>
      </c>
    </row>
    <row r="991" spans="1:39" ht="15" customHeight="1" x14ac:dyDescent="0.2">
      <c r="A991" s="24">
        <v>980</v>
      </c>
      <c r="B991" s="29">
        <f t="shared" si="599"/>
        <v>5.9348669566601631</v>
      </c>
      <c r="C991" s="29">
        <f t="shared" si="600"/>
        <v>-5.8538983372076636</v>
      </c>
      <c r="D991" s="29">
        <f t="shared" si="601"/>
        <v>-3.4972773825088401</v>
      </c>
      <c r="E991" s="29">
        <f t="shared" si="602"/>
        <v>-4.7259861453263889</v>
      </c>
      <c r="F991" s="29">
        <f t="shared" si="603"/>
        <v>4.4216158304495696</v>
      </c>
      <c r="G991" s="29">
        <f t="shared" si="604"/>
        <v>-2.4494834915854282</v>
      </c>
      <c r="H991" s="29">
        <f t="shared" si="605"/>
        <v>6.8954435665370735</v>
      </c>
      <c r="I991" s="29">
        <f t="shared" si="606"/>
        <v>7.0792203646241543</v>
      </c>
      <c r="J991" s="29">
        <f t="shared" si="607"/>
        <v>-3.4440571323773295</v>
      </c>
      <c r="K991" s="26">
        <f t="shared" si="570"/>
        <v>-3.4972773825088401</v>
      </c>
      <c r="L991" s="26">
        <f t="shared" si="571"/>
        <v>2.9389796805044919E-2</v>
      </c>
      <c r="M991" s="26">
        <f t="shared" si="572"/>
        <v>-2.4494834915854282</v>
      </c>
      <c r="N991" s="26">
        <f t="shared" si="573"/>
        <v>7.9476328651203201E-2</v>
      </c>
      <c r="O991" s="26">
        <f t="shared" si="574"/>
        <v>-2.678771002782991</v>
      </c>
      <c r="P991" s="26">
        <f t="shared" si="575"/>
        <v>6.4237713386284409E-2</v>
      </c>
      <c r="Q991" s="26">
        <f t="shared" si="576"/>
        <v>2.0632419105492115E-3</v>
      </c>
      <c r="R991" s="26">
        <f t="shared" si="577"/>
        <v>-9.3511757197165046</v>
      </c>
      <c r="S991" s="26">
        <f t="shared" si="578"/>
        <v>8.6855687654086011E-5</v>
      </c>
      <c r="T991" s="26">
        <f t="shared" si="579"/>
        <v>1.9721323388641414</v>
      </c>
      <c r="U991" s="26">
        <f t="shared" si="580"/>
        <v>0.87783996301311595</v>
      </c>
      <c r="V991" s="26">
        <f t="shared" si="581"/>
        <v>2.7709643191586872</v>
      </c>
      <c r="W991" s="26">
        <f t="shared" si="582"/>
        <v>0.94108647376143084</v>
      </c>
      <c r="X991" s="26">
        <f t="shared" si="583"/>
        <v>1.7354017869312883E-3</v>
      </c>
      <c r="Y991" s="26">
        <f t="shared" si="584"/>
        <v>2.4375895741513229</v>
      </c>
      <c r="Z991" s="26">
        <f t="shared" si="585"/>
        <v>0.91964915047183804</v>
      </c>
      <c r="AA991" s="26">
        <f t="shared" si="586"/>
        <v>-7.1754696369118172</v>
      </c>
      <c r="AB991" s="26">
        <f t="shared" si="587"/>
        <v>7.6454133147118718E-4</v>
      </c>
      <c r="AC991" s="26">
        <f t="shared" si="588"/>
        <v>2.9027440422783384</v>
      </c>
      <c r="AD991" s="26">
        <f t="shared" si="589"/>
        <v>0.94798191814553079</v>
      </c>
      <c r="AE991" s="26">
        <f t="shared" si="590"/>
        <v>1.3529404199091296E-3</v>
      </c>
      <c r="AF991" s="26">
        <f t="shared" si="591"/>
        <v>-3.4163087630563407</v>
      </c>
      <c r="AG991" s="26">
        <f t="shared" si="592"/>
        <v>3.1789645051391105E-2</v>
      </c>
      <c r="AH991" s="26">
        <f t="shared" si="593"/>
        <v>-2.7538538064622475</v>
      </c>
      <c r="AI991" s="26">
        <f t="shared" si="594"/>
        <v>5.9869370289825218E-2</v>
      </c>
      <c r="AJ991" s="26">
        <f t="shared" si="595"/>
        <v>-2.8010249635522628</v>
      </c>
      <c r="AK991" s="26">
        <f t="shared" si="596"/>
        <v>5.7268813924856589E-2</v>
      </c>
      <c r="AL991" s="26">
        <f t="shared" si="597"/>
        <v>1.639858524179924E-3</v>
      </c>
      <c r="AM991" s="27">
        <f t="shared" si="598"/>
        <v>6.7914426415695527E-3</v>
      </c>
    </row>
    <row r="992" spans="1:39" ht="15" customHeight="1" x14ac:dyDescent="0.2">
      <c r="A992" s="24">
        <v>981</v>
      </c>
      <c r="B992" s="29">
        <f t="shared" si="599"/>
        <v>5.9355177721871986</v>
      </c>
      <c r="C992" s="29">
        <f t="shared" si="600"/>
        <v>-5.854552589662374</v>
      </c>
      <c r="D992" s="29">
        <f t="shared" si="601"/>
        <v>-3.4973841486106618</v>
      </c>
      <c r="E992" s="29">
        <f t="shared" si="602"/>
        <v>-4.7272042494938802</v>
      </c>
      <c r="F992" s="29">
        <f t="shared" si="603"/>
        <v>4.4228634984791055</v>
      </c>
      <c r="G992" s="29">
        <f t="shared" si="604"/>
        <v>-2.4502218305027679</v>
      </c>
      <c r="H992" s="29">
        <f t="shared" si="605"/>
        <v>6.8975910901535924</v>
      </c>
      <c r="I992" s="29">
        <f t="shared" si="606"/>
        <v>7.0815976373984748</v>
      </c>
      <c r="J992" s="29">
        <f t="shared" si="607"/>
        <v>-3.4451789794511769</v>
      </c>
      <c r="K992" s="26">
        <f t="shared" si="570"/>
        <v>-3.4973841486106618</v>
      </c>
      <c r="L992" s="26">
        <f t="shared" si="571"/>
        <v>2.938675134433423E-2</v>
      </c>
      <c r="M992" s="26">
        <f t="shared" si="572"/>
        <v>-2.4502218305027679</v>
      </c>
      <c r="N992" s="26">
        <f t="shared" si="573"/>
        <v>7.9422328661645253E-2</v>
      </c>
      <c r="O992" s="26">
        <f t="shared" si="574"/>
        <v>-2.6800442102029458</v>
      </c>
      <c r="P992" s="26">
        <f t="shared" si="575"/>
        <v>6.4161221771866978E-2</v>
      </c>
      <c r="Q992" s="26">
        <f t="shared" si="576"/>
        <v>2.0583311896293487E-3</v>
      </c>
      <c r="R992" s="26">
        <f t="shared" si="577"/>
        <v>-9.3519367382730358</v>
      </c>
      <c r="S992" s="26">
        <f t="shared" si="578"/>
        <v>8.6789619743371434E-5</v>
      </c>
      <c r="T992" s="26">
        <f t="shared" si="579"/>
        <v>1.9726416679763377</v>
      </c>
      <c r="U992" s="26">
        <f t="shared" si="580"/>
        <v>0.87789457140965688</v>
      </c>
      <c r="V992" s="26">
        <f t="shared" si="581"/>
        <v>2.7723157826362557</v>
      </c>
      <c r="W992" s="26">
        <f t="shared" si="582"/>
        <v>0.9411613579254432</v>
      </c>
      <c r="X992" s="26">
        <f t="shared" si="583"/>
        <v>1.7309929005889029E-3</v>
      </c>
      <c r="Y992" s="26">
        <f t="shared" si="584"/>
        <v>2.4381336235765367</v>
      </c>
      <c r="Z992" s="26">
        <f t="shared" si="585"/>
        <v>0.91968934360384991</v>
      </c>
      <c r="AA992" s="26">
        <f t="shared" si="586"/>
        <v>-7.1774260799966481</v>
      </c>
      <c r="AB992" s="26">
        <f t="shared" si="587"/>
        <v>7.6304815235980642E-4</v>
      </c>
      <c r="AC992" s="26">
        <f t="shared" si="588"/>
        <v>2.9038656426929168</v>
      </c>
      <c r="AD992" s="26">
        <f t="shared" si="589"/>
        <v>0.94803719894862726</v>
      </c>
      <c r="AE992" s="26">
        <f t="shared" si="590"/>
        <v>1.3500663465522721E-3</v>
      </c>
      <c r="AF992" s="26">
        <f t="shared" si="591"/>
        <v>-3.4164189660858373</v>
      </c>
      <c r="AG992" s="26">
        <f t="shared" si="592"/>
        <v>3.1786253280358959E-2</v>
      </c>
      <c r="AH992" s="26">
        <f t="shared" si="593"/>
        <v>-2.7545625815175425</v>
      </c>
      <c r="AI992" s="26">
        <f t="shared" si="594"/>
        <v>5.9829489308117476E-2</v>
      </c>
      <c r="AJ992" s="26">
        <f t="shared" si="595"/>
        <v>-2.8022420319040853</v>
      </c>
      <c r="AK992" s="26">
        <f t="shared" si="596"/>
        <v>5.7203140898678201E-2</v>
      </c>
      <c r="AL992" s="26">
        <f t="shared" si="597"/>
        <v>1.6360996643370153E-3</v>
      </c>
      <c r="AM992" s="27">
        <f t="shared" si="598"/>
        <v>6.7754901011075385E-3</v>
      </c>
    </row>
    <row r="993" spans="1:39" ht="15" customHeight="1" x14ac:dyDescent="0.2">
      <c r="A993" s="24">
        <v>982</v>
      </c>
      <c r="B993" s="29">
        <f t="shared" si="599"/>
        <v>5.9361670200127339</v>
      </c>
      <c r="C993" s="29">
        <f t="shared" si="600"/>
        <v>-5.8552055255952604</v>
      </c>
      <c r="D993" s="29">
        <f t="shared" si="601"/>
        <v>-3.4974909021051106</v>
      </c>
      <c r="E993" s="29">
        <f t="shared" si="602"/>
        <v>-4.7284193122147746</v>
      </c>
      <c r="F993" s="29">
        <f t="shared" si="603"/>
        <v>4.4241080345202954</v>
      </c>
      <c r="G993" s="29">
        <f t="shared" si="604"/>
        <v>-2.4509581865207539</v>
      </c>
      <c r="H993" s="29">
        <f t="shared" si="605"/>
        <v>6.8997343432373288</v>
      </c>
      <c r="I993" s="29">
        <f t="shared" si="606"/>
        <v>7.0839694711528054</v>
      </c>
      <c r="J993" s="29">
        <f t="shared" si="607"/>
        <v>-3.4462984174990718</v>
      </c>
      <c r="K993" s="26">
        <f t="shared" si="570"/>
        <v>-3.4974909021051106</v>
      </c>
      <c r="L993" s="26">
        <f t="shared" si="571"/>
        <v>2.9383706549215918E-2</v>
      </c>
      <c r="M993" s="26">
        <f t="shared" si="572"/>
        <v>-2.4509581865207539</v>
      </c>
      <c r="N993" s="26">
        <f t="shared" si="573"/>
        <v>7.9368507087429291E-2</v>
      </c>
      <c r="O993" s="26">
        <f t="shared" si="574"/>
        <v>-2.6813145671115151</v>
      </c>
      <c r="P993" s="26">
        <f t="shared" si="575"/>
        <v>6.4084985970810249E-2</v>
      </c>
      <c r="Q993" s="26">
        <f t="shared" si="576"/>
        <v>2.0534427134394732E-3</v>
      </c>
      <c r="R993" s="26">
        <f t="shared" si="577"/>
        <v>-9.352696427700371</v>
      </c>
      <c r="S993" s="26">
        <f t="shared" si="578"/>
        <v>8.6723717340667189E-5</v>
      </c>
      <c r="T993" s="26">
        <f t="shared" si="579"/>
        <v>1.9731498479995415</v>
      </c>
      <c r="U993" s="26">
        <f t="shared" si="580"/>
        <v>0.87794903565895843</v>
      </c>
      <c r="V993" s="26">
        <f t="shared" si="581"/>
        <v>2.7736641189479436</v>
      </c>
      <c r="W993" s="26">
        <f t="shared" si="582"/>
        <v>0.94123597988294283</v>
      </c>
      <c r="X993" s="26">
        <f t="shared" si="583"/>
        <v>1.72660503015895E-3</v>
      </c>
      <c r="Y993" s="26">
        <f t="shared" si="584"/>
        <v>2.4386761179076233</v>
      </c>
      <c r="Z993" s="26">
        <f t="shared" si="585"/>
        <v>0.91972940357710298</v>
      </c>
      <c r="AA993" s="26">
        <f t="shared" si="586"/>
        <v>-7.1793774987355281</v>
      </c>
      <c r="AB993" s="26">
        <f t="shared" si="587"/>
        <v>7.6156171068893143E-4</v>
      </c>
      <c r="AC993" s="26">
        <f t="shared" si="588"/>
        <v>2.9049850147559702</v>
      </c>
      <c r="AD993" s="26">
        <f t="shared" si="589"/>
        <v>0.94809231455598664</v>
      </c>
      <c r="AE993" s="26">
        <f t="shared" si="590"/>
        <v>1.3472039040773184E-3</v>
      </c>
      <c r="AF993" s="26">
        <f t="shared" si="591"/>
        <v>-3.4165294076876371</v>
      </c>
      <c r="AG993" s="26">
        <f t="shared" si="592"/>
        <v>3.1782854517814006E-2</v>
      </c>
      <c r="AH993" s="26">
        <f t="shared" si="593"/>
        <v>-2.7552694642152331</v>
      </c>
      <c r="AI993" s="26">
        <f t="shared" si="594"/>
        <v>5.9789739581590069E-2</v>
      </c>
      <c r="AJ993" s="26">
        <f t="shared" si="595"/>
        <v>-2.8034564747722346</v>
      </c>
      <c r="AK993" s="26">
        <f t="shared" si="596"/>
        <v>5.7137680061024286E-2</v>
      </c>
      <c r="AL993" s="26">
        <f t="shared" si="597"/>
        <v>1.632357241377986E-3</v>
      </c>
      <c r="AM993" s="27">
        <f t="shared" si="598"/>
        <v>6.7596088890537276E-3</v>
      </c>
    </row>
    <row r="994" spans="1:39" ht="15" customHeight="1" x14ac:dyDescent="0.2">
      <c r="A994" s="24">
        <v>983</v>
      </c>
      <c r="B994" s="29">
        <f t="shared" si="599"/>
        <v>5.9368147073117745</v>
      </c>
      <c r="C994" s="29">
        <f t="shared" si="600"/>
        <v>-5.8558571500089602</v>
      </c>
      <c r="D994" s="29">
        <f t="shared" si="601"/>
        <v>-3.4975976422444024</v>
      </c>
      <c r="E994" s="29">
        <f t="shared" si="602"/>
        <v>-4.7296313474379925</v>
      </c>
      <c r="F994" s="29">
        <f t="shared" si="603"/>
        <v>4.4253494531058335</v>
      </c>
      <c r="G994" s="29">
        <f t="shared" si="604"/>
        <v>-2.4516925692319615</v>
      </c>
      <c r="H994" s="29">
        <f t="shared" si="605"/>
        <v>6.9018733421551222</v>
      </c>
      <c r="I994" s="29">
        <f t="shared" si="606"/>
        <v>7.0863358899171756</v>
      </c>
      <c r="J994" s="29">
        <f t="shared" si="607"/>
        <v>-3.4474154566120792</v>
      </c>
      <c r="K994" s="26">
        <f t="shared" si="570"/>
        <v>-3.4975976422444024</v>
      </c>
      <c r="L994" s="26">
        <f t="shared" si="571"/>
        <v>2.9380662440877725E-2</v>
      </c>
      <c r="M994" s="26">
        <f t="shared" si="572"/>
        <v>-2.4516925692319615</v>
      </c>
      <c r="N994" s="26">
        <f t="shared" si="573"/>
        <v>7.931486294235339E-2</v>
      </c>
      <c r="O994" s="26">
        <f t="shared" si="574"/>
        <v>-2.6825820858642664</v>
      </c>
      <c r="P994" s="26">
        <f t="shared" si="575"/>
        <v>6.4009004595812768E-2</v>
      </c>
      <c r="Q994" s="26">
        <f t="shared" si="576"/>
        <v>2.04857633467339E-3</v>
      </c>
      <c r="R994" s="26">
        <f t="shared" si="577"/>
        <v>-9.3534547922533626</v>
      </c>
      <c r="S994" s="26">
        <f t="shared" si="578"/>
        <v>8.6657979776540885E-5</v>
      </c>
      <c r="T994" s="26">
        <f t="shared" si="579"/>
        <v>1.9736568838738719</v>
      </c>
      <c r="U994" s="26">
        <f t="shared" si="580"/>
        <v>0.87800335643710592</v>
      </c>
      <c r="V994" s="26">
        <f t="shared" si="581"/>
        <v>2.7750093419764319</v>
      </c>
      <c r="W994" s="26">
        <f t="shared" si="582"/>
        <v>0.94131034110923251</v>
      </c>
      <c r="X994" s="26">
        <f t="shared" si="583"/>
        <v>1.722238030357322E-3</v>
      </c>
      <c r="Y994" s="26">
        <f t="shared" si="584"/>
        <v>2.4392170650673721</v>
      </c>
      <c r="Z994" s="26">
        <f t="shared" si="585"/>
        <v>0.91976933113969495</v>
      </c>
      <c r="AA994" s="26">
        <f t="shared" si="586"/>
        <v>-7.1813239166699541</v>
      </c>
      <c r="AB994" s="26">
        <f t="shared" si="587"/>
        <v>7.6008196057302533E-4</v>
      </c>
      <c r="AC994" s="26">
        <f t="shared" si="588"/>
        <v>2.9061021669893154</v>
      </c>
      <c r="AD994" s="26">
        <f t="shared" si="589"/>
        <v>0.94814726576541364</v>
      </c>
      <c r="AE994" s="26">
        <f t="shared" si="590"/>
        <v>1.3443530238013222E-3</v>
      </c>
      <c r="AF994" s="26">
        <f t="shared" si="591"/>
        <v>-3.4166400849415881</v>
      </c>
      <c r="AG994" s="26">
        <f t="shared" si="592"/>
        <v>3.1779448855852009E-2</v>
      </c>
      <c r="AH994" s="26">
        <f t="shared" si="593"/>
        <v>-2.7559744635641206</v>
      </c>
      <c r="AI994" s="26">
        <f t="shared" si="594"/>
        <v>5.9750120392298579E-2</v>
      </c>
      <c r="AJ994" s="26">
        <f t="shared" si="595"/>
        <v>-2.8046683031626745</v>
      </c>
      <c r="AK994" s="26">
        <f t="shared" si="596"/>
        <v>5.7072430297639344E-2</v>
      </c>
      <c r="AL994" s="26">
        <f t="shared" si="597"/>
        <v>1.6286311500394507E-3</v>
      </c>
      <c r="AM994" s="27">
        <f t="shared" si="598"/>
        <v>6.7437985388714853E-3</v>
      </c>
    </row>
    <row r="995" spans="1:39" ht="15" customHeight="1" x14ac:dyDescent="0.2">
      <c r="A995" s="24">
        <v>984</v>
      </c>
      <c r="B995" s="29">
        <f t="shared" si="599"/>
        <v>5.9374608412116041</v>
      </c>
      <c r="C995" s="29">
        <f t="shared" si="600"/>
        <v>-5.8565074678784512</v>
      </c>
      <c r="D995" s="29">
        <f t="shared" si="601"/>
        <v>-3.4977043682897637</v>
      </c>
      <c r="E995" s="29">
        <f t="shared" si="602"/>
        <v>-4.7308403690202816</v>
      </c>
      <c r="F995" s="29">
        <f t="shared" si="603"/>
        <v>4.4265877686708288</v>
      </c>
      <c r="G995" s="29">
        <f t="shared" si="604"/>
        <v>-2.4524249881627287</v>
      </c>
      <c r="H995" s="29">
        <f t="shared" si="605"/>
        <v>6.9040081031820568</v>
      </c>
      <c r="I995" s="29">
        <f t="shared" si="606"/>
        <v>7.0886969175658052</v>
      </c>
      <c r="J995" s="29">
        <f t="shared" si="607"/>
        <v>-3.4485301068187453</v>
      </c>
      <c r="K995" s="26">
        <f t="shared" si="570"/>
        <v>-3.4977043682897637</v>
      </c>
      <c r="L995" s="26">
        <f t="shared" si="571"/>
        <v>2.9377619040241918E-2</v>
      </c>
      <c r="M995" s="26">
        <f t="shared" si="572"/>
        <v>-2.4524249881627287</v>
      </c>
      <c r="N995" s="26">
        <f t="shared" si="573"/>
        <v>7.9261395247767111E-2</v>
      </c>
      <c r="O995" s="26">
        <f t="shared" si="574"/>
        <v>-2.6838467787379079</v>
      </c>
      <c r="P995" s="26">
        <f t="shared" si="575"/>
        <v>6.3933276269926231E-2</v>
      </c>
      <c r="Q995" s="26">
        <f t="shared" si="576"/>
        <v>2.0437319073033562E-3</v>
      </c>
      <c r="R995" s="26">
        <f t="shared" si="577"/>
        <v>-9.3542118361682149</v>
      </c>
      <c r="S995" s="26">
        <f t="shared" si="578"/>
        <v>8.6592406385177124E-5</v>
      </c>
      <c r="T995" s="26">
        <f t="shared" si="579"/>
        <v>1.9741627805081001</v>
      </c>
      <c r="U995" s="26">
        <f t="shared" si="580"/>
        <v>0.87805753441563228</v>
      </c>
      <c r="V995" s="26">
        <f t="shared" si="581"/>
        <v>2.7763514655141353</v>
      </c>
      <c r="W995" s="26">
        <f t="shared" si="582"/>
        <v>0.94138444306825897</v>
      </c>
      <c r="X995" s="26">
        <f t="shared" si="583"/>
        <v>1.7178917572090869E-3</v>
      </c>
      <c r="Y995" s="26">
        <f t="shared" si="584"/>
        <v>2.4397564729218404</v>
      </c>
      <c r="Z995" s="26">
        <f t="shared" si="585"/>
        <v>0.91980912703391793</v>
      </c>
      <c r="AA995" s="26">
        <f t="shared" si="586"/>
        <v>-7.1832653571830107</v>
      </c>
      <c r="AB995" s="26">
        <f t="shared" si="587"/>
        <v>7.586088565402771E-4</v>
      </c>
      <c r="AC995" s="26">
        <f t="shared" si="588"/>
        <v>2.9072171078672331</v>
      </c>
      <c r="AD995" s="26">
        <f t="shared" si="589"/>
        <v>0.94820205336943819</v>
      </c>
      <c r="AE995" s="26">
        <f t="shared" si="590"/>
        <v>1.3415136375712648E-3</v>
      </c>
      <c r="AF995" s="26">
        <f t="shared" si="591"/>
        <v>-3.4167509949566108</v>
      </c>
      <c r="AG995" s="26">
        <f t="shared" si="592"/>
        <v>3.1776036385641443E-2</v>
      </c>
      <c r="AH995" s="26">
        <f t="shared" si="593"/>
        <v>-2.7566775885121815</v>
      </c>
      <c r="AI995" s="26">
        <f t="shared" si="594"/>
        <v>5.9710631027713103E-2</v>
      </c>
      <c r="AJ995" s="26">
        <f t="shared" si="595"/>
        <v>-2.8058775280132098</v>
      </c>
      <c r="AK995" s="26">
        <f t="shared" si="596"/>
        <v>5.7007390502337094E-2</v>
      </c>
      <c r="AL995" s="26">
        <f t="shared" si="597"/>
        <v>1.6249212859429766E-3</v>
      </c>
      <c r="AM995" s="27">
        <f t="shared" si="598"/>
        <v>6.7280585880266841E-3</v>
      </c>
    </row>
    <row r="996" spans="1:39" ht="15" customHeight="1" x14ac:dyDescent="0.2">
      <c r="A996" s="24">
        <v>985</v>
      </c>
      <c r="B996" s="29">
        <f t="shared" si="599"/>
        <v>5.9381054287921957</v>
      </c>
      <c r="C996" s="29">
        <f t="shared" si="600"/>
        <v>-5.8571564841512478</v>
      </c>
      <c r="D996" s="29">
        <f t="shared" si="601"/>
        <v>-3.497811079511326</v>
      </c>
      <c r="E996" s="29">
        <f t="shared" si="602"/>
        <v>-4.7320463907270085</v>
      </c>
      <c r="F996" s="29">
        <f t="shared" si="603"/>
        <v>4.427822995553659</v>
      </c>
      <c r="G996" s="29">
        <f t="shared" si="604"/>
        <v>-2.4531554527737489</v>
      </c>
      <c r="H996" s="29">
        <f t="shared" si="605"/>
        <v>6.9061386425021336</v>
      </c>
      <c r="I996" s="29">
        <f t="shared" si="606"/>
        <v>7.0910525778184299</v>
      </c>
      <c r="J996" s="29">
        <f t="shared" si="607"/>
        <v>-3.4496423780856089</v>
      </c>
      <c r="K996" s="26">
        <f t="shared" si="570"/>
        <v>-3.497811079511326</v>
      </c>
      <c r="L996" s="26">
        <f t="shared" si="571"/>
        <v>2.9374576367968436E-2</v>
      </c>
      <c r="M996" s="26">
        <f t="shared" si="572"/>
        <v>-2.4531554527737489</v>
      </c>
      <c r="N996" s="26">
        <f t="shared" si="573"/>
        <v>7.9208103032497784E-2</v>
      </c>
      <c r="O996" s="26">
        <f t="shared" si="574"/>
        <v>-2.6851086579309511</v>
      </c>
      <c r="P996" s="26">
        <f t="shared" si="575"/>
        <v>6.3857799626457393E-2</v>
      </c>
      <c r="Q996" s="26">
        <f t="shared" si="576"/>
        <v>2.038909286566391E-3</v>
      </c>
      <c r="R996" s="26">
        <f t="shared" si="577"/>
        <v>-9.3549675636625729</v>
      </c>
      <c r="S996" s="26">
        <f t="shared" si="578"/>
        <v>8.6526996504354353E-5</v>
      </c>
      <c r="T996" s="26">
        <f t="shared" si="579"/>
        <v>1.9746675427799101</v>
      </c>
      <c r="U996" s="26">
        <f t="shared" si="580"/>
        <v>0.87811157026155628</v>
      </c>
      <c r="V996" s="26">
        <f t="shared" si="581"/>
        <v>2.777690503263968</v>
      </c>
      <c r="W996" s="26">
        <f t="shared" si="582"/>
        <v>0.94145828721272151</v>
      </c>
      <c r="X996" s="26">
        <f t="shared" si="583"/>
        <v>1.7135660680341028E-3</v>
      </c>
      <c r="Y996" s="26">
        <f t="shared" si="584"/>
        <v>2.4402943492808697</v>
      </c>
      <c r="Z996" s="26">
        <f t="shared" si="585"/>
        <v>0.91984879199631431</v>
      </c>
      <c r="AA996" s="26">
        <f t="shared" si="586"/>
        <v>-7.1852018435007574</v>
      </c>
      <c r="AB996" s="26">
        <f t="shared" si="587"/>
        <v>7.5714235352797971E-4</v>
      </c>
      <c r="AC996" s="26">
        <f t="shared" si="588"/>
        <v>2.9083298458168043</v>
      </c>
      <c r="AD996" s="26">
        <f t="shared" si="589"/>
        <v>0.94825667815536119</v>
      </c>
      <c r="AE996" s="26">
        <f t="shared" si="590"/>
        <v>1.338685677758938E-3</v>
      </c>
      <c r="AF996" s="26">
        <f t="shared" si="591"/>
        <v>-3.416862134870378</v>
      </c>
      <c r="AG996" s="26">
        <f t="shared" si="592"/>
        <v>3.1772617197433635E-2</v>
      </c>
      <c r="AH996" s="26">
        <f t="shared" si="593"/>
        <v>-2.7573788479470984</v>
      </c>
      <c r="AI996" s="26">
        <f t="shared" si="594"/>
        <v>5.9671270780666391E-2</v>
      </c>
      <c r="AJ996" s="26">
        <f t="shared" si="595"/>
        <v>-2.8070841601940386</v>
      </c>
      <c r="AK996" s="26">
        <f t="shared" si="596"/>
        <v>5.6942559576926413E-2</v>
      </c>
      <c r="AL996" s="26">
        <f t="shared" si="597"/>
        <v>1.621227545585907E-3</v>
      </c>
      <c r="AM996" s="27">
        <f t="shared" si="598"/>
        <v>6.7123885779453388E-3</v>
      </c>
    </row>
    <row r="997" spans="1:39" ht="15" customHeight="1" x14ac:dyDescent="0.2">
      <c r="A997" s="24">
        <v>986</v>
      </c>
      <c r="B997" s="29">
        <f t="shared" si="599"/>
        <v>5.9387484770866212</v>
      </c>
      <c r="C997" s="29">
        <f t="shared" si="600"/>
        <v>-5.8578042037476008</v>
      </c>
      <c r="D997" s="29">
        <f t="shared" si="601"/>
        <v>-3.4979177751880233</v>
      </c>
      <c r="E997" s="29">
        <f t="shared" si="602"/>
        <v>-4.7332494262329403</v>
      </c>
      <c r="F997" s="29">
        <f t="shared" si="603"/>
        <v>4.4290551479968174</v>
      </c>
      <c r="G997" s="29">
        <f t="shared" si="604"/>
        <v>-2.4538839724606554</v>
      </c>
      <c r="H997" s="29">
        <f t="shared" si="605"/>
        <v>6.9082649762089359</v>
      </c>
      <c r="I997" s="29">
        <f t="shared" si="606"/>
        <v>7.0934028942416143</v>
      </c>
      <c r="J997" s="29">
        <f t="shared" si="607"/>
        <v>-3.4507522803177069</v>
      </c>
      <c r="K997" s="26">
        <f t="shared" si="570"/>
        <v>-3.4979177751880233</v>
      </c>
      <c r="L997" s="26">
        <f t="shared" si="571"/>
        <v>2.9371534444457961E-2</v>
      </c>
      <c r="M997" s="26">
        <f t="shared" si="572"/>
        <v>-2.4538839724606554</v>
      </c>
      <c r="N997" s="26">
        <f t="shared" si="573"/>
        <v>7.9154985332778025E-2</v>
      </c>
      <c r="O997" s="26">
        <f t="shared" si="574"/>
        <v>-2.6863677355643634</v>
      </c>
      <c r="P997" s="26">
        <f t="shared" si="575"/>
        <v>6.3782573308871257E-2</v>
      </c>
      <c r="Q997" s="26">
        <f t="shared" si="576"/>
        <v>2.0341083289507679E-3</v>
      </c>
      <c r="R997" s="26">
        <f t="shared" si="577"/>
        <v>-9.3557219789356232</v>
      </c>
      <c r="S997" s="26">
        <f t="shared" si="578"/>
        <v>8.6461749475420931E-5</v>
      </c>
      <c r="T997" s="26">
        <f t="shared" si="579"/>
        <v>1.9751711755361621</v>
      </c>
      <c r="U997" s="26">
        <f t="shared" si="580"/>
        <v>0.87816546463742307</v>
      </c>
      <c r="V997" s="26">
        <f t="shared" si="581"/>
        <v>2.7790264688401041</v>
      </c>
      <c r="W997" s="26">
        <f t="shared" si="582"/>
        <v>0.94153187498418356</v>
      </c>
      <c r="X997" s="26">
        <f t="shared" si="583"/>
        <v>1.7092608214325702E-3</v>
      </c>
      <c r="Y997" s="26">
        <f t="shared" si="584"/>
        <v>2.440830701898598</v>
      </c>
      <c r="Z997" s="26">
        <f t="shared" si="585"/>
        <v>0.91988832675773313</v>
      </c>
      <c r="AA997" s="26">
        <f t="shared" si="586"/>
        <v>-7.1871333986935957</v>
      </c>
      <c r="AB997" s="26">
        <f t="shared" si="587"/>
        <v>7.556824068779708E-4</v>
      </c>
      <c r="AC997" s="26">
        <f t="shared" si="588"/>
        <v>2.9094403892182581</v>
      </c>
      <c r="AD997" s="26">
        <f t="shared" si="589"/>
        <v>0.94831114090529589</v>
      </c>
      <c r="AE997" s="26">
        <f t="shared" si="590"/>
        <v>1.3358690772560878E-3</v>
      </c>
      <c r="AF997" s="26">
        <f t="shared" si="591"/>
        <v>-3.4169735018490028</v>
      </c>
      <c r="AG997" s="26">
        <f t="shared" si="592"/>
        <v>3.1769191380572576E-2</v>
      </c>
      <c r="AH997" s="26">
        <f t="shared" si="593"/>
        <v>-2.7580782506967783</v>
      </c>
      <c r="AI997" s="26">
        <f t="shared" si="594"/>
        <v>5.9632038949302961E-2</v>
      </c>
      <c r="AJ997" s="26">
        <f t="shared" si="595"/>
        <v>-2.8082882105083042</v>
      </c>
      <c r="AK997" s="26">
        <f t="shared" si="596"/>
        <v>5.6877936431137796E-2</v>
      </c>
      <c r="AL997" s="26">
        <f t="shared" si="597"/>
        <v>1.6175498263322761E-3</v>
      </c>
      <c r="AM997" s="27">
        <f t="shared" si="598"/>
        <v>6.6967880539717025E-3</v>
      </c>
    </row>
    <row r="998" spans="1:39" ht="15" customHeight="1" x14ac:dyDescent="0.2">
      <c r="A998" s="24">
        <v>987</v>
      </c>
      <c r="B998" s="29">
        <f t="shared" si="599"/>
        <v>5.9393899930814555</v>
      </c>
      <c r="C998" s="29">
        <f t="shared" si="600"/>
        <v>-5.858450631560693</v>
      </c>
      <c r="D998" s="29">
        <f t="shared" si="601"/>
        <v>-3.4980244546074895</v>
      </c>
      <c r="E998" s="29">
        <f t="shared" si="602"/>
        <v>-4.7344494891230227</v>
      </c>
      <c r="F998" s="29">
        <f t="shared" si="603"/>
        <v>4.4302842401477465</v>
      </c>
      <c r="G998" s="29">
        <f t="shared" si="604"/>
        <v>-2.4546105565545977</v>
      </c>
      <c r="H998" s="29">
        <f t="shared" si="605"/>
        <v>6.9103871203062894</v>
      </c>
      <c r="I998" s="29">
        <f t="shared" si="606"/>
        <v>7.0957478902500464</v>
      </c>
      <c r="J998" s="29">
        <f t="shared" si="607"/>
        <v>-3.4518598233590749</v>
      </c>
      <c r="K998" s="26">
        <f t="shared" si="570"/>
        <v>-3.4980244546074895</v>
      </c>
      <c r="L998" s="26">
        <f t="shared" si="571"/>
        <v>2.9368493289854958E-2</v>
      </c>
      <c r="M998" s="26">
        <f t="shared" si="572"/>
        <v>-2.4546105565545977</v>
      </c>
      <c r="N998" s="26">
        <f t="shared" si="573"/>
        <v>7.9102041192173941E-2</v>
      </c>
      <c r="O998" s="26">
        <f t="shared" si="574"/>
        <v>-2.6876240236822193</v>
      </c>
      <c r="P998" s="26">
        <f t="shared" si="575"/>
        <v>6.3707595970695113E-2</v>
      </c>
      <c r="Q998" s="26">
        <f t="shared" si="576"/>
        <v>2.0293288921826641E-3</v>
      </c>
      <c r="R998" s="26">
        <f t="shared" si="577"/>
        <v>-9.3564750861681816</v>
      </c>
      <c r="S998" s="26">
        <f t="shared" si="578"/>
        <v>8.6396664643272566E-5</v>
      </c>
      <c r="T998" s="26">
        <f t="shared" si="579"/>
        <v>1.9756736835931488</v>
      </c>
      <c r="U998" s="26">
        <f t="shared" si="580"/>
        <v>0.8782192182013433</v>
      </c>
      <c r="V998" s="26">
        <f t="shared" si="581"/>
        <v>2.7803593757687395</v>
      </c>
      <c r="W998" s="26">
        <f t="shared" si="582"/>
        <v>0.94160520781317869</v>
      </c>
      <c r="X998" s="26">
        <f t="shared" si="583"/>
        <v>1.7049758772710235E-3</v>
      </c>
      <c r="Y998" s="26">
        <f t="shared" si="584"/>
        <v>2.4413655384739661</v>
      </c>
      <c r="Z998" s="26">
        <f t="shared" si="585"/>
        <v>0.91992773204338651</v>
      </c>
      <c r="AA998" s="26">
        <f t="shared" si="586"/>
        <v>-7.1890600456776204</v>
      </c>
      <c r="AB998" s="26">
        <f t="shared" si="587"/>
        <v>7.542289723321367E-4</v>
      </c>
      <c r="AC998" s="26">
        <f t="shared" si="588"/>
        <v>2.9105487464053095</v>
      </c>
      <c r="AD998" s="26">
        <f t="shared" si="589"/>
        <v>0.94836544239621279</v>
      </c>
      <c r="AE998" s="26">
        <f t="shared" si="590"/>
        <v>1.3330637694694098E-3</v>
      </c>
      <c r="AF998" s="26">
        <f t="shared" si="591"/>
        <v>-3.4170850930867269</v>
      </c>
      <c r="AG998" s="26">
        <f t="shared" si="592"/>
        <v>3.1765759023504848E-2</v>
      </c>
      <c r="AH998" s="26">
        <f t="shared" si="593"/>
        <v>-2.7587758055298739</v>
      </c>
      <c r="AI998" s="26">
        <f t="shared" si="594"/>
        <v>5.9592934837028322E-2</v>
      </c>
      <c r="AJ998" s="26">
        <f t="shared" si="595"/>
        <v>-2.8094896896926418</v>
      </c>
      <c r="AK998" s="26">
        <f t="shared" si="596"/>
        <v>5.6813519982550589E-2</v>
      </c>
      <c r="AL998" s="26">
        <f t="shared" si="597"/>
        <v>1.6138880264038376E-3</v>
      </c>
      <c r="AM998" s="27">
        <f t="shared" si="598"/>
        <v>6.6812565653269346E-3</v>
      </c>
    </row>
    <row r="999" spans="1:39" ht="15" customHeight="1" x14ac:dyDescent="0.2">
      <c r="A999" s="24">
        <v>988</v>
      </c>
      <c r="B999" s="29">
        <f t="shared" si="599"/>
        <v>5.9400299837171753</v>
      </c>
      <c r="C999" s="29">
        <f t="shared" si="600"/>
        <v>-5.8590957724568327</v>
      </c>
      <c r="D999" s="29">
        <f t="shared" si="601"/>
        <v>-3.4981311170659581</v>
      </c>
      <c r="E999" s="29">
        <f t="shared" si="602"/>
        <v>-4.7356465928931426</v>
      </c>
      <c r="F999" s="29">
        <f t="shared" si="603"/>
        <v>4.4315102860596642</v>
      </c>
      <c r="G999" s="29">
        <f t="shared" si="604"/>
        <v>-2.4553352143228162</v>
      </c>
      <c r="H999" s="29">
        <f t="shared" si="605"/>
        <v>6.9125050907089136</v>
      </c>
      <c r="I999" s="29">
        <f t="shared" si="606"/>
        <v>7.0980875891078234</v>
      </c>
      <c r="J999" s="29">
        <f t="shared" si="607"/>
        <v>-3.452965016993244</v>
      </c>
      <c r="K999" s="26">
        <f t="shared" si="570"/>
        <v>-3.4981311170659581</v>
      </c>
      <c r="L999" s="26">
        <f t="shared" si="571"/>
        <v>2.9365452924050666E-2</v>
      </c>
      <c r="M999" s="26">
        <f t="shared" si="572"/>
        <v>-2.4553352143228162</v>
      </c>
      <c r="N999" s="26">
        <f t="shared" si="573"/>
        <v>7.9049269661514182E-2</v>
      </c>
      <c r="O999" s="26">
        <f t="shared" si="574"/>
        <v>-2.6888775342523394</v>
      </c>
      <c r="P999" s="26">
        <f t="shared" si="575"/>
        <v>6.3632866275423888E-2</v>
      </c>
      <c r="Q999" s="26">
        <f t="shared" si="576"/>
        <v>2.0245708352129893E-3</v>
      </c>
      <c r="R999" s="26">
        <f t="shared" si="577"/>
        <v>-9.3572268895227904</v>
      </c>
      <c r="S999" s="26">
        <f t="shared" si="578"/>
        <v>8.6331741356328822E-5</v>
      </c>
      <c r="T999" s="26">
        <f t="shared" si="579"/>
        <v>1.976175071736848</v>
      </c>
      <c r="U999" s="26">
        <f t="shared" si="580"/>
        <v>0.87827283160703151</v>
      </c>
      <c r="V999" s="26">
        <f t="shared" si="581"/>
        <v>2.7816892374888269</v>
      </c>
      <c r="W999" s="26">
        <f t="shared" si="582"/>
        <v>0.94167828711931811</v>
      </c>
      <c r="X999" s="26">
        <f t="shared" si="583"/>
        <v>1.7007110966683477E-3</v>
      </c>
      <c r="Y999" s="26">
        <f t="shared" si="584"/>
        <v>2.4418988666512171</v>
      </c>
      <c r="Z999" s="26">
        <f t="shared" si="585"/>
        <v>0.9199670085729037</v>
      </c>
      <c r="AA999" s="26">
        <f t="shared" si="586"/>
        <v>-7.1909818072159588</v>
      </c>
      <c r="AB999" s="26">
        <f t="shared" si="587"/>
        <v>7.5278200602797393E-4</v>
      </c>
      <c r="AC999" s="26">
        <f t="shared" si="588"/>
        <v>2.911654925665494</v>
      </c>
      <c r="AD999" s="26">
        <f t="shared" si="589"/>
        <v>0.94841958339998167</v>
      </c>
      <c r="AE999" s="26">
        <f t="shared" si="590"/>
        <v>1.3302696883157232E-3</v>
      </c>
      <c r="AF999" s="26">
        <f t="shared" si="591"/>
        <v>-3.4171969058056155</v>
      </c>
      <c r="AG999" s="26">
        <f t="shared" si="592"/>
        <v>3.1762320213789226E-2</v>
      </c>
      <c r="AH999" s="26">
        <f t="shared" si="593"/>
        <v>-2.7594715211562946</v>
      </c>
      <c r="AI999" s="26">
        <f t="shared" si="594"/>
        <v>5.9553957752459072E-2</v>
      </c>
      <c r="AJ999" s="26">
        <f t="shared" si="595"/>
        <v>-2.8106886084177178</v>
      </c>
      <c r="AK999" s="26">
        <f t="shared" si="596"/>
        <v>5.6749309156521231E-2</v>
      </c>
      <c r="AL999" s="26">
        <f t="shared" si="597"/>
        <v>1.6102420448712122E-3</v>
      </c>
      <c r="AM999" s="27">
        <f t="shared" si="598"/>
        <v>6.6657936650682727E-3</v>
      </c>
    </row>
    <row r="1000" spans="1:39" ht="15" customHeight="1" x14ac:dyDescent="0.2">
      <c r="A1000" s="24">
        <v>989</v>
      </c>
      <c r="B1000" s="29">
        <f t="shared" si="599"/>
        <v>5.940668455888555</v>
      </c>
      <c r="C1000" s="29">
        <f t="shared" si="600"/>
        <v>-5.8597396312756471</v>
      </c>
      <c r="D1000" s="29">
        <f t="shared" si="601"/>
        <v>-3.4982377618681628</v>
      </c>
      <c r="E1000" s="29">
        <f t="shared" si="602"/>
        <v>-4.7368407509508899</v>
      </c>
      <c r="F1000" s="29">
        <f t="shared" si="603"/>
        <v>4.4327332996923863</v>
      </c>
      <c r="G1000" s="29">
        <f t="shared" si="604"/>
        <v>-2.4560579549692063</v>
      </c>
      <c r="H1000" s="29">
        <f t="shared" si="605"/>
        <v>6.9146189032430696</v>
      </c>
      <c r="I1000" s="29">
        <f t="shared" si="606"/>
        <v>7.1004220139297214</v>
      </c>
      <c r="J1000" s="29">
        <f t="shared" si="607"/>
        <v>-3.4540678709437307</v>
      </c>
      <c r="K1000" s="26">
        <f t="shared" si="570"/>
        <v>-3.4982377618681628</v>
      </c>
      <c r="L1000" s="26">
        <f t="shared" si="571"/>
        <v>2.9362413366686078E-2</v>
      </c>
      <c r="M1000" s="26">
        <f t="shared" si="572"/>
        <v>-2.4560579549692063</v>
      </c>
      <c r="N1000" s="26">
        <f t="shared" si="573"/>
        <v>7.8996669798819821E-2</v>
      </c>
      <c r="O1000" s="26">
        <f t="shared" si="574"/>
        <v>-2.6901282791669288</v>
      </c>
      <c r="P1000" s="26">
        <f t="shared" si="575"/>
        <v>6.355838289642636E-2</v>
      </c>
      <c r="Q1000" s="26">
        <f t="shared" si="576"/>
        <v>2.0198340182043715E-3</v>
      </c>
      <c r="R1000" s="26">
        <f t="shared" si="577"/>
        <v>-9.3579773931438091</v>
      </c>
      <c r="S1000" s="26">
        <f t="shared" si="578"/>
        <v>8.6266978966510535E-5</v>
      </c>
      <c r="T1000" s="26">
        <f t="shared" si="579"/>
        <v>1.97667534472318</v>
      </c>
      <c r="U1000" s="26">
        <f t="shared" si="580"/>
        <v>0.87832630550384438</v>
      </c>
      <c r="V1000" s="26">
        <f t="shared" si="581"/>
        <v>2.7830160673528157</v>
      </c>
      <c r="W1000" s="26">
        <f t="shared" si="582"/>
        <v>0.94175111431139602</v>
      </c>
      <c r="X1000" s="26">
        <f t="shared" si="583"/>
        <v>1.6964663419820267E-3</v>
      </c>
      <c r="Y1000" s="26">
        <f t="shared" si="584"/>
        <v>2.4424306940203921</v>
      </c>
      <c r="Z1000" s="26">
        <f t="shared" si="585"/>
        <v>0.92000615706038558</v>
      </c>
      <c r="AA1000" s="26">
        <f t="shared" si="586"/>
        <v>-7.1928987059200962</v>
      </c>
      <c r="AB1000" s="26">
        <f t="shared" si="587"/>
        <v>7.5134146449420784E-4</v>
      </c>
      <c r="AC1000" s="26">
        <f t="shared" si="588"/>
        <v>2.9127589352404968</v>
      </c>
      <c r="AD1000" s="26">
        <f t="shared" si="589"/>
        <v>0.94847356468341359</v>
      </c>
      <c r="AE1000" s="26">
        <f t="shared" si="590"/>
        <v>1.3274867682171814E-3</v>
      </c>
      <c r="AF1000" s="26">
        <f t="shared" si="591"/>
        <v>-3.417308937255255</v>
      </c>
      <c r="AG1000" s="26">
        <f t="shared" si="592"/>
        <v>3.1758875038106316E-2</v>
      </c>
      <c r="AH1000" s="26">
        <f t="shared" si="593"/>
        <v>-2.7601654062277099</v>
      </c>
      <c r="AI1000" s="26">
        <f t="shared" si="594"/>
        <v>5.9515107009373687E-2</v>
      </c>
      <c r="AJ1000" s="26">
        <f t="shared" si="595"/>
        <v>-2.8118849772887664</v>
      </c>
      <c r="AK1000" s="26">
        <f t="shared" si="596"/>
        <v>5.6685302886112038E-2</v>
      </c>
      <c r="AL1000" s="26">
        <f t="shared" si="597"/>
        <v>1.6066117816451308E-3</v>
      </c>
      <c r="AM1000" s="27">
        <f t="shared" si="598"/>
        <v>6.6503989100487101E-3</v>
      </c>
    </row>
    <row r="1001" spans="1:39" ht="15" customHeight="1" x14ac:dyDescent="0.2">
      <c r="A1001" s="24">
        <v>990</v>
      </c>
      <c r="B1001" s="29">
        <f t="shared" si="599"/>
        <v>5.9413054164450605</v>
      </c>
      <c r="C1001" s="29">
        <f t="shared" si="600"/>
        <v>-5.8603822128302729</v>
      </c>
      <c r="D1001" s="29">
        <f t="shared" si="601"/>
        <v>-3.49834438832724</v>
      </c>
      <c r="E1001" s="29">
        <f t="shared" si="602"/>
        <v>-4.7380319766163073</v>
      </c>
      <c r="F1001" s="29">
        <f t="shared" si="603"/>
        <v>4.4339532949131302</v>
      </c>
      <c r="G1001" s="29">
        <f t="shared" si="604"/>
        <v>-2.4567787876348777</v>
      </c>
      <c r="H1001" s="29">
        <f t="shared" si="605"/>
        <v>6.9167285736472035</v>
      </c>
      <c r="I1001" s="29">
        <f t="shared" si="606"/>
        <v>7.1027511876824549</v>
      </c>
      <c r="J1001" s="29">
        <f t="shared" si="607"/>
        <v>-3.4551683948745224</v>
      </c>
      <c r="K1001" s="26">
        <f t="shared" si="570"/>
        <v>-3.49834438832724</v>
      </c>
      <c r="L1001" s="26">
        <f t="shared" si="571"/>
        <v>2.9359374637154812E-2</v>
      </c>
      <c r="M1001" s="26">
        <f t="shared" si="572"/>
        <v>-2.4567787876348777</v>
      </c>
      <c r="N1001" s="26">
        <f t="shared" si="573"/>
        <v>7.8944240669235152E-2</v>
      </c>
      <c r="O1001" s="26">
        <f t="shared" si="574"/>
        <v>-2.6913762702432011</v>
      </c>
      <c r="P1001" s="26">
        <f t="shared" si="575"/>
        <v>6.3484144516852734E-2</v>
      </c>
      <c r="Q1001" s="26">
        <f t="shared" si="576"/>
        <v>2.0151183025183214E-3</v>
      </c>
      <c r="R1001" s="26">
        <f t="shared" si="577"/>
        <v>-9.3587266011575139</v>
      </c>
      <c r="S1001" s="26">
        <f t="shared" si="578"/>
        <v>8.6202376829216471E-5</v>
      </c>
      <c r="T1001" s="26">
        <f t="shared" si="579"/>
        <v>1.9771745072782525</v>
      </c>
      <c r="U1001" s="26">
        <f t="shared" si="580"/>
        <v>0.87837964053681894</v>
      </c>
      <c r="V1001" s="26">
        <f t="shared" si="581"/>
        <v>2.7843398786273874</v>
      </c>
      <c r="W1001" s="26">
        <f t="shared" si="582"/>
        <v>0.94182369078749384</v>
      </c>
      <c r="X1001" s="26">
        <f t="shared" si="583"/>
        <v>1.6922414767945647E-3</v>
      </c>
      <c r="Y1001" s="26">
        <f t="shared" si="584"/>
        <v>2.4429610281178205</v>
      </c>
      <c r="Z1001" s="26">
        <f t="shared" si="585"/>
        <v>0.92004517821445853</v>
      </c>
      <c r="AA1001" s="26">
        <f t="shared" si="586"/>
        <v>-7.1948107642511854</v>
      </c>
      <c r="AB1001" s="26">
        <f t="shared" si="587"/>
        <v>7.499073046464712E-4</v>
      </c>
      <c r="AC1001" s="26">
        <f t="shared" si="588"/>
        <v>2.9138607833264865</v>
      </c>
      <c r="AD1001" s="26">
        <f t="shared" si="589"/>
        <v>0.9485273870083023</v>
      </c>
      <c r="AE1001" s="26">
        <f t="shared" si="590"/>
        <v>1.3247149440965432E-3</v>
      </c>
      <c r="AF1001" s="26">
        <f t="shared" si="591"/>
        <v>-3.4174211847124525</v>
      </c>
      <c r="AG1001" s="26">
        <f t="shared" si="592"/>
        <v>3.1755423582267989E-2</v>
      </c>
      <c r="AH1001" s="26">
        <f t="shared" si="593"/>
        <v>-2.7608574693380548</v>
      </c>
      <c r="AI1001" s="26">
        <f t="shared" si="594"/>
        <v>5.9476381926663456E-2</v>
      </c>
      <c r="AJ1001" s="26">
        <f t="shared" si="595"/>
        <v>-2.8130788068461152</v>
      </c>
      <c r="AK1001" s="26">
        <f t="shared" si="596"/>
        <v>5.6621500112021154E-2</v>
      </c>
      <c r="AL1001" s="26">
        <f t="shared" si="597"/>
        <v>1.6029971374678059E-3</v>
      </c>
      <c r="AM1001" s="27">
        <f t="shared" si="598"/>
        <v>6.6350718608772351E-3</v>
      </c>
    </row>
    <row r="1002" spans="1:39" ht="15" customHeight="1" x14ac:dyDescent="0.2">
      <c r="A1002" s="24">
        <v>991</v>
      </c>
      <c r="B1002" s="29">
        <f t="shared" si="599"/>
        <v>5.9419408721912337</v>
      </c>
      <c r="C1002" s="29">
        <f t="shared" si="600"/>
        <v>-5.8610235219075459</v>
      </c>
      <c r="D1002" s="29">
        <f t="shared" si="601"/>
        <v>-3.4984509957646299</v>
      </c>
      <c r="E1002" s="29">
        <f t="shared" si="602"/>
        <v>-4.7392202831226333</v>
      </c>
      <c r="F1002" s="29">
        <f t="shared" si="603"/>
        <v>4.4351702854973185</v>
      </c>
      <c r="G1002" s="29">
        <f t="shared" si="604"/>
        <v>-2.4574977213987097</v>
      </c>
      <c r="H1002" s="29">
        <f t="shared" si="605"/>
        <v>6.9188341175725805</v>
      </c>
      <c r="I1002" s="29">
        <f t="shared" si="606"/>
        <v>7.1050751331859177</v>
      </c>
      <c r="J1002" s="29">
        <f t="shared" si="607"/>
        <v>-3.4562665983905601</v>
      </c>
      <c r="K1002" s="26">
        <f t="shared" si="570"/>
        <v>-3.4984509957646299</v>
      </c>
      <c r="L1002" s="26">
        <f t="shared" si="571"/>
        <v>2.9356336754606069E-2</v>
      </c>
      <c r="M1002" s="26">
        <f t="shared" si="572"/>
        <v>-2.4574977213987097</v>
      </c>
      <c r="N1002" s="26">
        <f t="shared" si="573"/>
        <v>7.8891981344959103E-2</v>
      </c>
      <c r="O1002" s="26">
        <f t="shared" si="574"/>
        <v>-2.6926215192240055</v>
      </c>
      <c r="P1002" s="26">
        <f t="shared" si="575"/>
        <v>6.3410149829542892E-2</v>
      </c>
      <c r="Q1002" s="26">
        <f t="shared" si="576"/>
        <v>2.010423550702539E-3</v>
      </c>
      <c r="R1002" s="26">
        <f t="shared" si="577"/>
        <v>-9.3594745176721759</v>
      </c>
      <c r="S1002" s="26">
        <f t="shared" si="578"/>
        <v>8.6137934303301967E-5</v>
      </c>
      <c r="T1002" s="26">
        <f t="shared" si="579"/>
        <v>1.9776725640986088</v>
      </c>
      <c r="U1002" s="26">
        <f t="shared" si="580"/>
        <v>0.87843283734670941</v>
      </c>
      <c r="V1002" s="26">
        <f t="shared" si="581"/>
        <v>2.7856606844941703</v>
      </c>
      <c r="W1002" s="26">
        <f t="shared" si="582"/>
        <v>0.94189601793508315</v>
      </c>
      <c r="X1002" s="26">
        <f t="shared" si="583"/>
        <v>1.6880363659000893E-3</v>
      </c>
      <c r="Y1002" s="26">
        <f t="shared" si="584"/>
        <v>2.4434898764266038</v>
      </c>
      <c r="Z1002" s="26">
        <f t="shared" si="585"/>
        <v>0.92008407273832771</v>
      </c>
      <c r="AA1002" s="26">
        <f t="shared" si="586"/>
        <v>-7.196718004521343</v>
      </c>
      <c r="AB1002" s="26">
        <f t="shared" si="587"/>
        <v>7.4847948378303905E-4</v>
      </c>
      <c r="AC1002" s="26">
        <f t="shared" si="588"/>
        <v>2.9149604780744398</v>
      </c>
      <c r="AD1002" s="26">
        <f t="shared" si="589"/>
        <v>0.94858105113146707</v>
      </c>
      <c r="AE1002" s="26">
        <f t="shared" si="590"/>
        <v>1.321954151372402E-3</v>
      </c>
      <c r="AF1002" s="26">
        <f t="shared" si="591"/>
        <v>-3.4175336454809422</v>
      </c>
      <c r="AG1002" s="26">
        <f t="shared" si="592"/>
        <v>3.1751965931226749E-2</v>
      </c>
      <c r="AH1002" s="26">
        <f t="shared" si="593"/>
        <v>-2.7615477190240245</v>
      </c>
      <c r="AI1002" s="26">
        <f t="shared" si="594"/>
        <v>5.9437781828284228E-2</v>
      </c>
      <c r="AJ1002" s="26">
        <f t="shared" si="595"/>
        <v>-2.8142701075657142</v>
      </c>
      <c r="AK1002" s="26">
        <f t="shared" si="596"/>
        <v>5.655789978251273E-2</v>
      </c>
      <c r="AL1002" s="26">
        <f t="shared" si="597"/>
        <v>1.5993980139043767E-3</v>
      </c>
      <c r="AM1002" s="27">
        <f t="shared" si="598"/>
        <v>6.619812081879407E-3</v>
      </c>
    </row>
    <row r="1003" spans="1:39" ht="15" customHeight="1" x14ac:dyDescent="0.2">
      <c r="A1003" s="24">
        <v>992</v>
      </c>
      <c r="B1003" s="29">
        <f t="shared" si="599"/>
        <v>5.9425748298870769</v>
      </c>
      <c r="C1003" s="29">
        <f t="shared" si="600"/>
        <v>-5.8616635632681886</v>
      </c>
      <c r="D1003" s="29">
        <f t="shared" si="601"/>
        <v>-3.4985575835099829</v>
      </c>
      <c r="E1003" s="29">
        <f t="shared" si="602"/>
        <v>-4.7404056836170376</v>
      </c>
      <c r="F1003" s="29">
        <f t="shared" si="603"/>
        <v>4.436384285129372</v>
      </c>
      <c r="G1003" s="29">
        <f t="shared" si="604"/>
        <v>-2.4582147652778965</v>
      </c>
      <c r="H1003" s="29">
        <f t="shared" si="605"/>
        <v>6.9209355505839172</v>
      </c>
      <c r="I1003" s="29">
        <f t="shared" si="606"/>
        <v>7.1073938731144182</v>
      </c>
      <c r="J1003" s="29">
        <f t="shared" si="607"/>
        <v>-3.4573624910382117</v>
      </c>
      <c r="K1003" s="26">
        <f t="shared" si="570"/>
        <v>-3.4985575835099829</v>
      </c>
      <c r="L1003" s="26">
        <f t="shared" si="571"/>
        <v>2.9353299737947456E-2</v>
      </c>
      <c r="M1003" s="26">
        <f t="shared" si="572"/>
        <v>-2.4582147652778965</v>
      </c>
      <c r="N1003" s="26">
        <f t="shared" si="573"/>
        <v>7.8839890905177679E-2</v>
      </c>
      <c r="O1003" s="26">
        <f t="shared" si="574"/>
        <v>-2.6938640377784369</v>
      </c>
      <c r="P1003" s="26">
        <f t="shared" si="575"/>
        <v>6.3336397536936151E-2</v>
      </c>
      <c r="Q1003" s="26">
        <f t="shared" si="576"/>
        <v>2.0057496264784059E-3</v>
      </c>
      <c r="R1003" s="26">
        <f t="shared" si="577"/>
        <v>-9.3602211467781711</v>
      </c>
      <c r="S1003" s="26">
        <f t="shared" si="578"/>
        <v>8.6073650751055013E-5</v>
      </c>
      <c r="T1003" s="26">
        <f t="shared" si="579"/>
        <v>1.9781695198514755</v>
      </c>
      <c r="U1003" s="26">
        <f t="shared" si="580"/>
        <v>0.87848589657002485</v>
      </c>
      <c r="V1003" s="26">
        <f t="shared" si="581"/>
        <v>2.7869784980504608</v>
      </c>
      <c r="W1003" s="26">
        <f t="shared" si="582"/>
        <v>0.94196809713112706</v>
      </c>
      <c r="X1003" s="26">
        <f t="shared" si="583"/>
        <v>1.6838508752911518E-3</v>
      </c>
      <c r="Y1003" s="26">
        <f t="shared" si="584"/>
        <v>2.4440172463770939</v>
      </c>
      <c r="Z1003" s="26">
        <f t="shared" si="585"/>
        <v>0.9201228413298288</v>
      </c>
      <c r="AA1003" s="26">
        <f t="shared" si="586"/>
        <v>-7.1986204488949337</v>
      </c>
      <c r="AB1003" s="26">
        <f t="shared" si="587"/>
        <v>7.4705795958061741E-4</v>
      </c>
      <c r="AC1003" s="26">
        <f t="shared" si="588"/>
        <v>2.9160580275904699</v>
      </c>
      <c r="AD1003" s="26">
        <f t="shared" si="589"/>
        <v>0.948634557804792</v>
      </c>
      <c r="AE1003" s="26">
        <f t="shared" si="590"/>
        <v>1.3192043259546273E-3</v>
      </c>
      <c r="AF1003" s="26">
        <f t="shared" si="591"/>
        <v>-3.4176463168910947</v>
      </c>
      <c r="AG1003" s="26">
        <f t="shared" si="592"/>
        <v>3.1748502169084918E-2</v>
      </c>
      <c r="AH1003" s="26">
        <f t="shared" si="593"/>
        <v>-2.7622361637655621</v>
      </c>
      <c r="AI1003" s="26">
        <f t="shared" si="594"/>
        <v>5.9399306043208935E-2</v>
      </c>
      <c r="AJ1003" s="26">
        <f t="shared" si="595"/>
        <v>-2.81545888985965</v>
      </c>
      <c r="AK1003" s="26">
        <f t="shared" si="596"/>
        <v>5.6494500853348478E-2</v>
      </c>
      <c r="AL1003" s="26">
        <f t="shared" si="597"/>
        <v>1.595814313334496E-3</v>
      </c>
      <c r="AM1003" s="27">
        <f t="shared" si="598"/>
        <v>6.6046191410586812E-3</v>
      </c>
    </row>
    <row r="1004" spans="1:39" ht="15" customHeight="1" x14ac:dyDescent="0.2">
      <c r="A1004" s="24">
        <v>993</v>
      </c>
      <c r="B1004" s="29">
        <f t="shared" si="599"/>
        <v>5.9432072962484321</v>
      </c>
      <c r="C1004" s="29">
        <f t="shared" si="600"/>
        <v>-5.8623023416469939</v>
      </c>
      <c r="D1004" s="29">
        <f t="shared" si="601"/>
        <v>-3.4986641509010639</v>
      </c>
      <c r="E1004" s="29">
        <f t="shared" si="602"/>
        <v>-4.7415881911613482</v>
      </c>
      <c r="F1004" s="29">
        <f t="shared" si="603"/>
        <v>4.4375953074034911</v>
      </c>
      <c r="G1004" s="29">
        <f t="shared" si="604"/>
        <v>-2.4589299282284909</v>
      </c>
      <c r="H1004" s="29">
        <f t="shared" si="605"/>
        <v>6.9230328881600052</v>
      </c>
      <c r="I1004" s="29">
        <f t="shared" si="606"/>
        <v>7.1097074299978944</v>
      </c>
      <c r="J1004" s="29">
        <f t="shared" si="607"/>
        <v>-3.4584560823057466</v>
      </c>
      <c r="K1004" s="26">
        <f t="shared" si="570"/>
        <v>-3.4986641509010639</v>
      </c>
      <c r="L1004" s="26">
        <f t="shared" si="571"/>
        <v>2.9350263605847773E-2</v>
      </c>
      <c r="M1004" s="26">
        <f t="shared" si="572"/>
        <v>-2.4589299282284909</v>
      </c>
      <c r="N1004" s="26">
        <f t="shared" si="573"/>
        <v>7.8787968435996961E-2</v>
      </c>
      <c r="O1004" s="26">
        <f t="shared" si="574"/>
        <v>-2.6951038375024496</v>
      </c>
      <c r="P1004" s="26">
        <f t="shared" si="575"/>
        <v>6.3262886350981498E-2</v>
      </c>
      <c r="Q1004" s="26">
        <f t="shared" si="576"/>
        <v>2.0010963947286005E-3</v>
      </c>
      <c r="R1004" s="26">
        <f t="shared" si="577"/>
        <v>-9.3609664925480587</v>
      </c>
      <c r="S1004" s="26">
        <f t="shared" si="578"/>
        <v>8.6009525538175108E-5</v>
      </c>
      <c r="T1004" s="26">
        <f t="shared" si="579"/>
        <v>1.9786653791750002</v>
      </c>
      <c r="U1004" s="26">
        <f t="shared" si="580"/>
        <v>0.87853881883906548</v>
      </c>
      <c r="V1004" s="26">
        <f t="shared" si="581"/>
        <v>2.7882933323099279</v>
      </c>
      <c r="W1004" s="26">
        <f t="shared" si="582"/>
        <v>0.9420399297421822</v>
      </c>
      <c r="X1004" s="26">
        <f t="shared" si="583"/>
        <v>1.6796848721455876E-3</v>
      </c>
      <c r="Y1004" s="26">
        <f t="shared" si="584"/>
        <v>2.4445431453473683</v>
      </c>
      <c r="Z1004" s="26">
        <f t="shared" si="585"/>
        <v>0.9201614846814804</v>
      </c>
      <c r="AA1004" s="26">
        <f t="shared" si="586"/>
        <v>-7.2005181193898391</v>
      </c>
      <c r="AB1004" s="26">
        <f t="shared" si="587"/>
        <v>7.456426900901901E-4</v>
      </c>
      <c r="AC1004" s="26">
        <f t="shared" si="588"/>
        <v>2.9171534399361385</v>
      </c>
      <c r="AD1004" s="26">
        <f t="shared" si="589"/>
        <v>0.9486879077752679</v>
      </c>
      <c r="AE1004" s="26">
        <f t="shared" si="590"/>
        <v>1.3164654042397061E-3</v>
      </c>
      <c r="AF1004" s="26">
        <f t="shared" si="591"/>
        <v>-3.4177591962996257</v>
      </c>
      <c r="AG1004" s="26">
        <f t="shared" si="592"/>
        <v>3.1745032379103866E-2</v>
      </c>
      <c r="AH1004" s="26">
        <f t="shared" si="593"/>
        <v>-2.762922811986348</v>
      </c>
      <c r="AI1004" s="26">
        <f t="shared" si="594"/>
        <v>5.9360953905380147E-2</v>
      </c>
      <c r="AJ1004" s="26">
        <f t="shared" si="595"/>
        <v>-2.8166451640766628</v>
      </c>
      <c r="AK1004" s="26">
        <f t="shared" si="596"/>
        <v>5.6431302287719497E-2</v>
      </c>
      <c r="AL1004" s="26">
        <f t="shared" si="597"/>
        <v>1.5922459389439878E-3</v>
      </c>
      <c r="AM1004" s="27">
        <f t="shared" si="598"/>
        <v>6.5894926100578816E-3</v>
      </c>
    </row>
    <row r="1005" spans="1:39" ht="15" customHeight="1" x14ac:dyDescent="0.2">
      <c r="A1005" s="24">
        <v>994</v>
      </c>
      <c r="B1005" s="29">
        <f t="shared" si="599"/>
        <v>5.9438382779473571</v>
      </c>
      <c r="C1005" s="29">
        <f t="shared" si="600"/>
        <v>-5.862939861753012</v>
      </c>
      <c r="D1005" s="29">
        <f t="shared" si="601"/>
        <v>-3.4987706972836592</v>
      </c>
      <c r="E1005" s="29">
        <f t="shared" si="602"/>
        <v>-4.742767818732772</v>
      </c>
      <c r="F1005" s="29">
        <f t="shared" si="603"/>
        <v>4.438803365824433</v>
      </c>
      <c r="G1005" s="29">
        <f t="shared" si="604"/>
        <v>-2.4596432191459394</v>
      </c>
      <c r="H1005" s="29">
        <f t="shared" si="605"/>
        <v>6.92512614569433</v>
      </c>
      <c r="I1005" s="29">
        <f t="shared" si="606"/>
        <v>7.1120158262231223</v>
      </c>
      <c r="J1005" s="29">
        <f t="shared" si="607"/>
        <v>-3.4595473816238003</v>
      </c>
      <c r="K1005" s="26">
        <f t="shared" si="570"/>
        <v>-3.4987706972836592</v>
      </c>
      <c r="L1005" s="26">
        <f t="shared" si="571"/>
        <v>2.9347228376739833E-2</v>
      </c>
      <c r="M1005" s="26">
        <f t="shared" si="572"/>
        <v>-2.4596432191459394</v>
      </c>
      <c r="N1005" s="26">
        <f t="shared" si="573"/>
        <v>7.8736213030377047E-2</v>
      </c>
      <c r="O1005" s="26">
        <f t="shared" si="574"/>
        <v>-2.6963409299194598</v>
      </c>
      <c r="P1005" s="26">
        <f t="shared" si="575"/>
        <v>6.3189614993049203E-2</v>
      </c>
      <c r="Q1005" s="26">
        <f t="shared" si="576"/>
        <v>1.9964637214848944E-3</v>
      </c>
      <c r="R1005" s="26">
        <f t="shared" si="577"/>
        <v>-9.3617105590366716</v>
      </c>
      <c r="S1005" s="26">
        <f t="shared" si="578"/>
        <v>8.5945558033751252E-5</v>
      </c>
      <c r="T1005" s="26">
        <f t="shared" si="579"/>
        <v>1.9791601466784936</v>
      </c>
      <c r="U1005" s="26">
        <f t="shared" si="580"/>
        <v>0.87859160478195886</v>
      </c>
      <c r="V1005" s="26">
        <f t="shared" si="581"/>
        <v>2.7896052002033076</v>
      </c>
      <c r="W1005" s="26">
        <f t="shared" si="582"/>
        <v>0.94211151712449592</v>
      </c>
      <c r="X1005" s="26">
        <f t="shared" si="583"/>
        <v>1.6755382248137645E-3</v>
      </c>
      <c r="Y1005" s="26">
        <f t="shared" si="584"/>
        <v>2.4450675806636979</v>
      </c>
      <c r="Z1005" s="26">
        <f t="shared" si="585"/>
        <v>0.92020000348053477</v>
      </c>
      <c r="AA1005" s="26">
        <f t="shared" si="586"/>
        <v>-7.2024110378787114</v>
      </c>
      <c r="AB1005" s="26">
        <f t="shared" si="587"/>
        <v>7.4423363373291918E-4</v>
      </c>
      <c r="AC1005" s="26">
        <f t="shared" si="588"/>
        <v>2.9182467231287812</v>
      </c>
      <c r="AD1005" s="26">
        <f t="shared" si="589"/>
        <v>0.94874110178503146</v>
      </c>
      <c r="AE1005" s="26">
        <f t="shared" si="590"/>
        <v>1.3137373231062524E-3</v>
      </c>
      <c r="AF1005" s="26">
        <f t="shared" si="591"/>
        <v>-3.4178722810893141</v>
      </c>
      <c r="AG1005" s="26">
        <f t="shared" si="592"/>
        <v>3.1741556643712941E-2</v>
      </c>
      <c r="AH1005" s="26">
        <f t="shared" si="593"/>
        <v>-2.7636076720542784</v>
      </c>
      <c r="AI1005" s="26">
        <f t="shared" si="594"/>
        <v>5.9322724753663576E-2</v>
      </c>
      <c r="AJ1005" s="26">
        <f t="shared" si="595"/>
        <v>-2.8178289405026526</v>
      </c>
      <c r="AK1005" s="26">
        <f t="shared" si="596"/>
        <v>5.6368303056179112E-2</v>
      </c>
      <c r="AL1005" s="26">
        <f t="shared" si="597"/>
        <v>1.5886927947166257E-3</v>
      </c>
      <c r="AM1005" s="27">
        <f t="shared" si="598"/>
        <v>6.5744320641215369E-3</v>
      </c>
    </row>
    <row r="1006" spans="1:39" ht="15" customHeight="1" x14ac:dyDescent="0.2">
      <c r="A1006" s="24">
        <v>995</v>
      </c>
      <c r="B1006" s="29">
        <f t="shared" si="599"/>
        <v>5.944467781612496</v>
      </c>
      <c r="C1006" s="29">
        <f t="shared" si="600"/>
        <v>-5.8635761282697318</v>
      </c>
      <c r="D1006" s="29">
        <f t="shared" si="601"/>
        <v>-3.4988772220114841</v>
      </c>
      <c r="E1006" s="29">
        <f t="shared" si="602"/>
        <v>-4.7439445792246069</v>
      </c>
      <c r="F1006" s="29">
        <f t="shared" si="603"/>
        <v>4.4400084738082777</v>
      </c>
      <c r="G1006" s="29">
        <f t="shared" si="604"/>
        <v>-2.4603546468656123</v>
      </c>
      <c r="H1006" s="29">
        <f t="shared" si="605"/>
        <v>6.9272153384956852</v>
      </c>
      <c r="I1006" s="29">
        <f t="shared" si="606"/>
        <v>7.1143190840349089</v>
      </c>
      <c r="J1006" s="29">
        <f t="shared" si="607"/>
        <v>-3.4606363983658368</v>
      </c>
      <c r="K1006" s="26">
        <f t="shared" si="570"/>
        <v>-3.4988772220114841</v>
      </c>
      <c r="L1006" s="26">
        <f t="shared" si="571"/>
        <v>2.9344194068823208E-2</v>
      </c>
      <c r="M1006" s="26">
        <f t="shared" si="572"/>
        <v>-2.4603546468656123</v>
      </c>
      <c r="N1006" s="26">
        <f t="shared" si="573"/>
        <v>7.8684623788066649E-2</v>
      </c>
      <c r="O1006" s="26">
        <f t="shared" si="574"/>
        <v>-2.697575326480941</v>
      </c>
      <c r="P1006" s="26">
        <f t="shared" si="575"/>
        <v>6.3116582193843432E-2</v>
      </c>
      <c r="Q1006" s="26">
        <f t="shared" si="576"/>
        <v>1.9918514739160967E-3</v>
      </c>
      <c r="R1006" s="26">
        <f t="shared" si="577"/>
        <v>-9.3624533502812159</v>
      </c>
      <c r="S1006" s="26">
        <f t="shared" si="578"/>
        <v>8.5881747610239232E-5</v>
      </c>
      <c r="T1006" s="26">
        <f t="shared" si="579"/>
        <v>1.9796538269426653</v>
      </c>
      <c r="U1006" s="26">
        <f t="shared" si="580"/>
        <v>0.87864425502269627</v>
      </c>
      <c r="V1006" s="26">
        <f t="shared" si="581"/>
        <v>2.7909141145791092</v>
      </c>
      <c r="W1006" s="26">
        <f t="shared" si="582"/>
        <v>0.94218286062410672</v>
      </c>
      <c r="X1006" s="26">
        <f t="shared" si="583"/>
        <v>1.6714108028057346E-3</v>
      </c>
      <c r="Y1006" s="26">
        <f t="shared" si="584"/>
        <v>2.4455905596010119</v>
      </c>
      <c r="Z1006" s="26">
        <f t="shared" si="585"/>
        <v>0.92023839840902932</v>
      </c>
      <c r="AA1006" s="26">
        <f t="shared" si="586"/>
        <v>-7.2042992260902192</v>
      </c>
      <c r="AB1006" s="26">
        <f t="shared" si="587"/>
        <v>7.4283074929609629E-4</v>
      </c>
      <c r="AC1006" s="26">
        <f t="shared" si="588"/>
        <v>2.9193378851418195</v>
      </c>
      <c r="AD1006" s="26">
        <f t="shared" si="589"/>
        <v>0.94879414057140565</v>
      </c>
      <c r="AE1006" s="26">
        <f t="shared" si="590"/>
        <v>1.3110200199104823E-3</v>
      </c>
      <c r="AF1006" s="26">
        <f t="shared" si="591"/>
        <v>-3.4179855686687199</v>
      </c>
      <c r="AG1006" s="26">
        <f t="shared" si="592"/>
        <v>3.1738075044518428E-2</v>
      </c>
      <c r="AH1006" s="26">
        <f t="shared" si="593"/>
        <v>-2.7642907522819415</v>
      </c>
      <c r="AI1006" s="26">
        <f t="shared" si="594"/>
        <v>5.928461793180187E-2</v>
      </c>
      <c r="AJ1006" s="26">
        <f t="shared" si="595"/>
        <v>-2.8190102293611856</v>
      </c>
      <c r="AK1006" s="26">
        <f t="shared" si="596"/>
        <v>5.6305502136576313E-2</v>
      </c>
      <c r="AL1006" s="26">
        <f t="shared" si="597"/>
        <v>1.5851547854259999E-3</v>
      </c>
      <c r="AM1006" s="27">
        <f t="shared" si="598"/>
        <v>6.5594370820583128E-3</v>
      </c>
    </row>
    <row r="1007" spans="1:39" ht="15" customHeight="1" x14ac:dyDescent="0.2">
      <c r="A1007" s="24">
        <v>996</v>
      </c>
      <c r="B1007" s="29">
        <f t="shared" si="599"/>
        <v>5.9450958138294476</v>
      </c>
      <c r="C1007" s="29">
        <f t="shared" si="600"/>
        <v>-5.864211145855263</v>
      </c>
      <c r="D1007" s="29">
        <f t="shared" si="601"/>
        <v>-3.4989837244460928</v>
      </c>
      <c r="E1007" s="29">
        <f t="shared" si="602"/>
        <v>-4.7451184854469473</v>
      </c>
      <c r="F1007" s="29">
        <f t="shared" si="603"/>
        <v>4.4412106446831885</v>
      </c>
      <c r="G1007" s="29">
        <f t="shared" si="604"/>
        <v>-2.4610642201633284</v>
      </c>
      <c r="H1007" s="29">
        <f t="shared" si="605"/>
        <v>6.9293004817887818</v>
      </c>
      <c r="I1007" s="29">
        <f t="shared" si="606"/>
        <v>7.1166172255372731</v>
      </c>
      <c r="J1007" s="29">
        <f t="shared" si="607"/>
        <v>-3.4617231418486063</v>
      </c>
      <c r="K1007" s="26">
        <f t="shared" si="570"/>
        <v>-3.4989837244460928</v>
      </c>
      <c r="L1007" s="26">
        <f t="shared" si="571"/>
        <v>2.9341160700066888E-2</v>
      </c>
      <c r="M1007" s="26">
        <f t="shared" si="572"/>
        <v>-2.4610642201633284</v>
      </c>
      <c r="N1007" s="26">
        <f t="shared" si="573"/>
        <v>7.8633199815538596E-2</v>
      </c>
      <c r="O1007" s="26">
        <f t="shared" si="574"/>
        <v>-2.6988070385670144</v>
      </c>
      <c r="P1007" s="26">
        <f t="shared" si="575"/>
        <v>6.3043786693315673E-2</v>
      </c>
      <c r="Q1007" s="26">
        <f t="shared" si="576"/>
        <v>1.9872595203161434E-3</v>
      </c>
      <c r="R1007" s="26">
        <f t="shared" si="577"/>
        <v>-9.3631948703013563</v>
      </c>
      <c r="S1007" s="26">
        <f t="shared" si="578"/>
        <v>8.5818093643440344E-5</v>
      </c>
      <c r="T1007" s="26">
        <f t="shared" si="579"/>
        <v>1.9801464245198601</v>
      </c>
      <c r="U1007" s="26">
        <f t="shared" si="580"/>
        <v>0.87869677018116765</v>
      </c>
      <c r="V1007" s="26">
        <f t="shared" si="581"/>
        <v>2.7922200882042874</v>
      </c>
      <c r="W1007" s="26">
        <f t="shared" si="582"/>
        <v>0.94225396157694086</v>
      </c>
      <c r="X1007" s="26">
        <f t="shared" si="583"/>
        <v>1.6673024767787114E-3</v>
      </c>
      <c r="Y1007" s="26">
        <f t="shared" si="584"/>
        <v>2.4461120893833548</v>
      </c>
      <c r="Z1007" s="26">
        <f t="shared" si="585"/>
        <v>0.92027667014383541</v>
      </c>
      <c r="AA1007" s="26">
        <f t="shared" si="586"/>
        <v>-7.2061827056102761</v>
      </c>
      <c r="AB1007" s="26">
        <f t="shared" si="587"/>
        <v>7.4143399592914926E-4</v>
      </c>
      <c r="AC1007" s="26">
        <f t="shared" si="588"/>
        <v>2.9204269339050763</v>
      </c>
      <c r="AD1007" s="26">
        <f t="shared" si="589"/>
        <v>0.9488470248669385</v>
      </c>
      <c r="AE1007" s="26">
        <f t="shared" si="590"/>
        <v>1.3083134324818038E-3</v>
      </c>
      <c r="AF1007" s="26">
        <f t="shared" si="591"/>
        <v>-3.4180990564719083</v>
      </c>
      <c r="AG1007" s="26">
        <f t="shared" si="592"/>
        <v>3.1734587662312311E-2</v>
      </c>
      <c r="AH1007" s="26">
        <f t="shared" si="593"/>
        <v>-2.7649720609270871</v>
      </c>
      <c r="AI1007" s="26">
        <f t="shared" si="594"/>
        <v>5.924663278836919E-2</v>
      </c>
      <c r="AJ1007" s="26">
        <f t="shared" si="595"/>
        <v>-2.8201890408139878</v>
      </c>
      <c r="AK1007" s="26">
        <f t="shared" si="596"/>
        <v>5.6242898513990135E-2</v>
      </c>
      <c r="AL1007" s="26">
        <f t="shared" si="597"/>
        <v>1.5816318166274968E-3</v>
      </c>
      <c r="AM1007" s="27">
        <f t="shared" si="598"/>
        <v>6.5445072462041549E-3</v>
      </c>
    </row>
    <row r="1008" spans="1:39" ht="15" customHeight="1" x14ac:dyDescent="0.2">
      <c r="A1008" s="24">
        <v>997</v>
      </c>
      <c r="B1008" s="29">
        <f t="shared" si="599"/>
        <v>5.9457223811411284</v>
      </c>
      <c r="C1008" s="29">
        <f t="shared" si="600"/>
        <v>-5.8648449191425147</v>
      </c>
      <c r="D1008" s="29">
        <f t="shared" si="601"/>
        <v>-3.4990902039567877</v>
      </c>
      <c r="E1008" s="29">
        <f t="shared" si="602"/>
        <v>-4.7462895501273819</v>
      </c>
      <c r="F1008" s="29">
        <f t="shared" si="603"/>
        <v>4.4424098916901613</v>
      </c>
      <c r="G1008" s="29">
        <f t="shared" si="604"/>
        <v>-2.461771947755873</v>
      </c>
      <c r="H1008" s="29">
        <f t="shared" si="605"/>
        <v>6.9313815907148513</v>
      </c>
      <c r="I1008" s="29">
        <f t="shared" si="606"/>
        <v>7.1189102726946167</v>
      </c>
      <c r="J1008" s="29">
        <f t="shared" si="607"/>
        <v>-3.462807621332598</v>
      </c>
      <c r="K1008" s="26">
        <f t="shared" si="570"/>
        <v>-3.4990902039567877</v>
      </c>
      <c r="L1008" s="26">
        <f t="shared" si="571"/>
        <v>2.9338128288212022E-2</v>
      </c>
      <c r="M1008" s="26">
        <f t="shared" si="572"/>
        <v>-2.461771947755873</v>
      </c>
      <c r="N1008" s="26">
        <f t="shared" si="573"/>
        <v>7.8581940225925864E-2</v>
      </c>
      <c r="O1008" s="26">
        <f t="shared" si="574"/>
        <v>-2.7000360774870367</v>
      </c>
      <c r="P1008" s="26">
        <f t="shared" si="575"/>
        <v>6.2971227240579186E-2</v>
      </c>
      <c r="Q1008" s="26">
        <f t="shared" si="576"/>
        <v>1.9826877300923311E-3</v>
      </c>
      <c r="R1008" s="26">
        <f t="shared" si="577"/>
        <v>-9.3639351230993029</v>
      </c>
      <c r="S1008" s="26">
        <f t="shared" si="578"/>
        <v>8.5754595512479897E-5</v>
      </c>
      <c r="T1008" s="26">
        <f t="shared" si="579"/>
        <v>1.9806379439342883</v>
      </c>
      <c r="U1008" s="26">
        <f t="shared" si="580"/>
        <v>0.87874915087319661</v>
      </c>
      <c r="V1008" s="26">
        <f t="shared" si="581"/>
        <v>2.7935231337649271</v>
      </c>
      <c r="W1008" s="26">
        <f t="shared" si="582"/>
        <v>0.94232482130890682</v>
      </c>
      <c r="X1008" s="26">
        <f t="shared" si="583"/>
        <v>1.6632131185247642E-3</v>
      </c>
      <c r="Y1008" s="26">
        <f t="shared" si="584"/>
        <v>2.4466321771843407</v>
      </c>
      <c r="Z1008" s="26">
        <f t="shared" si="585"/>
        <v>0.92031481935670889</v>
      </c>
      <c r="AA1008" s="26">
        <f t="shared" si="586"/>
        <v>-7.2080614978832553</v>
      </c>
      <c r="AB1008" s="26">
        <f t="shared" si="587"/>
        <v>7.4004333313970074E-4</v>
      </c>
      <c r="AC1008" s="26">
        <f t="shared" si="588"/>
        <v>2.921513877305085</v>
      </c>
      <c r="AD1008" s="26">
        <f t="shared" si="589"/>
        <v>0.94889975539944349</v>
      </c>
      <c r="AE1008" s="26">
        <f t="shared" si="590"/>
        <v>1.3056174991183524E-3</v>
      </c>
      <c r="AF1008" s="26">
        <f t="shared" si="591"/>
        <v>-3.418212741958174</v>
      </c>
      <c r="AG1008" s="26">
        <f t="shared" si="592"/>
        <v>3.1731094577080968E-2</v>
      </c>
      <c r="AH1008" s="26">
        <f t="shared" si="593"/>
        <v>-2.7656516061930936</v>
      </c>
      <c r="AI1008" s="26">
        <f t="shared" si="594"/>
        <v>5.9208768676725906E-2</v>
      </c>
      <c r="AJ1008" s="26">
        <f t="shared" si="595"/>
        <v>-2.8213653849614437</v>
      </c>
      <c r="AK1008" s="26">
        <f t="shared" si="596"/>
        <v>5.618049118066442E-2</v>
      </c>
      <c r="AL1008" s="26">
        <f t="shared" si="597"/>
        <v>1.5781237946503564E-3</v>
      </c>
      <c r="AM1008" s="27">
        <f t="shared" si="598"/>
        <v>6.529642142385805E-3</v>
      </c>
    </row>
    <row r="1009" spans="1:39" ht="15" customHeight="1" x14ac:dyDescent="0.2">
      <c r="A1009" s="24">
        <v>998</v>
      </c>
      <c r="B1009" s="29">
        <f t="shared" si="599"/>
        <v>5.946347490048133</v>
      </c>
      <c r="C1009" s="29">
        <f t="shared" si="600"/>
        <v>-5.8654774527393725</v>
      </c>
      <c r="D1009" s="29">
        <f t="shared" si="601"/>
        <v>-3.4991966599205302</v>
      </c>
      <c r="E1009" s="29">
        <f t="shared" si="602"/>
        <v>-4.7474577859116849</v>
      </c>
      <c r="F1009" s="29">
        <f t="shared" si="603"/>
        <v>4.4436062279837714</v>
      </c>
      <c r="G1009" s="29">
        <f t="shared" si="604"/>
        <v>-2.4624778383015133</v>
      </c>
      <c r="H1009" s="29">
        <f t="shared" si="605"/>
        <v>6.9334586803322411</v>
      </c>
      <c r="I1009" s="29">
        <f t="shared" si="606"/>
        <v>7.1211982473328801</v>
      </c>
      <c r="J1009" s="29">
        <f t="shared" si="607"/>
        <v>-3.4638898460224889</v>
      </c>
      <c r="K1009" s="26">
        <f t="shared" si="570"/>
        <v>-3.4991966599205302</v>
      </c>
      <c r="L1009" s="26">
        <f t="shared" si="571"/>
        <v>2.9335096850774536E-2</v>
      </c>
      <c r="M1009" s="26">
        <f t="shared" si="572"/>
        <v>-2.4624778383015133</v>
      </c>
      <c r="N1009" s="26">
        <f t="shared" si="573"/>
        <v>7.8530844138958514E-2</v>
      </c>
      <c r="O1009" s="26">
        <f t="shared" si="574"/>
        <v>-2.7012624544801764</v>
      </c>
      <c r="P1009" s="26">
        <f t="shared" si="575"/>
        <v>6.2898902593824454E-2</v>
      </c>
      <c r="Q1009" s="26">
        <f t="shared" si="576"/>
        <v>1.9781359737537085E-3</v>
      </c>
      <c r="R1009" s="26">
        <f t="shared" si="577"/>
        <v>-9.3646741126599018</v>
      </c>
      <c r="S1009" s="26">
        <f t="shared" si="578"/>
        <v>8.5691252599785764E-5</v>
      </c>
      <c r="T1009" s="26">
        <f t="shared" si="579"/>
        <v>1.981128389682258</v>
      </c>
      <c r="U1009" s="26">
        <f t="shared" si="580"/>
        <v>0.87880139771057619</v>
      </c>
      <c r="V1009" s="26">
        <f t="shared" si="581"/>
        <v>2.7948232638669182</v>
      </c>
      <c r="W1009" s="26">
        <f t="shared" si="582"/>
        <v>0.94239544113599338</v>
      </c>
      <c r="X1009" s="26">
        <f t="shared" si="583"/>
        <v>1.6591426009584017E-3</v>
      </c>
      <c r="Y1009" s="26">
        <f t="shared" si="584"/>
        <v>2.4471508301276028</v>
      </c>
      <c r="Z1009" s="26">
        <f t="shared" si="585"/>
        <v>0.92035284671433848</v>
      </c>
      <c r="AA1009" s="26">
        <f t="shared" si="586"/>
        <v>-7.2099356242131982</v>
      </c>
      <c r="AB1009" s="26">
        <f t="shared" si="587"/>
        <v>7.3865872078967437E-4</v>
      </c>
      <c r="AC1009" s="26">
        <f t="shared" si="588"/>
        <v>2.9225987231853936</v>
      </c>
      <c r="AD1009" s="26">
        <f t="shared" si="589"/>
        <v>0.9489523328920364</v>
      </c>
      <c r="AE1009" s="26">
        <f t="shared" si="590"/>
        <v>1.3029321585827345E-3</v>
      </c>
      <c r="AF1009" s="26">
        <f t="shared" si="591"/>
        <v>-3.4183266226117697</v>
      </c>
      <c r="AG1009" s="26">
        <f t="shared" si="592"/>
        <v>3.1727595868013839E-2</v>
      </c>
      <c r="AH1009" s="26">
        <f t="shared" si="593"/>
        <v>-2.7663293962294269</v>
      </c>
      <c r="AI1009" s="26">
        <f t="shared" si="594"/>
        <v>5.9171024954974241E-2</v>
      </c>
      <c r="AJ1009" s="26">
        <f t="shared" si="595"/>
        <v>-2.8225392718430822</v>
      </c>
      <c r="AK1009" s="26">
        <f t="shared" si="596"/>
        <v>5.6118279135943534E-2</v>
      </c>
      <c r="AL1009" s="26">
        <f t="shared" si="597"/>
        <v>1.5746306265898378E-3</v>
      </c>
      <c r="AM1009" s="27">
        <f t="shared" si="598"/>
        <v>6.5148413598846823E-3</v>
      </c>
    </row>
    <row r="1010" spans="1:39" ht="15" customHeight="1" x14ac:dyDescent="0.2">
      <c r="A1010" s="24">
        <v>999</v>
      </c>
      <c r="B1010" s="29">
        <f t="shared" si="599"/>
        <v>5.9469711470090907</v>
      </c>
      <c r="C1010" s="29">
        <f t="shared" si="600"/>
        <v>-5.866108751228877</v>
      </c>
      <c r="D1010" s="29">
        <f t="shared" si="601"/>
        <v>-3.4993030917218539</v>
      </c>
      <c r="E1010" s="29">
        <f t="shared" si="602"/>
        <v>-4.7486232053644999</v>
      </c>
      <c r="F1010" s="29">
        <f t="shared" si="603"/>
        <v>4.444799666632905</v>
      </c>
      <c r="G1010" s="29">
        <f t="shared" si="604"/>
        <v>-2.4631819004005044</v>
      </c>
      <c r="H1010" s="29">
        <f t="shared" si="605"/>
        <v>6.9355317656170108</v>
      </c>
      <c r="I1010" s="29">
        <f t="shared" si="606"/>
        <v>7.1234811711406874</v>
      </c>
      <c r="J1010" s="29">
        <f t="shared" si="607"/>
        <v>-3.4649698250675875</v>
      </c>
      <c r="K1010" s="26">
        <f t="shared" si="570"/>
        <v>-3.4993030917218539</v>
      </c>
      <c r="L1010" s="26">
        <f t="shared" si="571"/>
        <v>2.9332066405047735E-2</v>
      </c>
      <c r="M1010" s="26">
        <f t="shared" si="572"/>
        <v>-2.4631819004005044</v>
      </c>
      <c r="N1010" s="26">
        <f t="shared" si="573"/>
        <v>7.847991068090121E-2</v>
      </c>
      <c r="O1010" s="26">
        <f t="shared" si="574"/>
        <v>-2.7024861807159888</v>
      </c>
      <c r="P1010" s="26">
        <f t="shared" si="575"/>
        <v>6.282681152023549E-2</v>
      </c>
      <c r="Q1010" s="26">
        <f t="shared" si="576"/>
        <v>1.9736041228995975E-3</v>
      </c>
      <c r="R1010" s="26">
        <f t="shared" si="577"/>
        <v>-9.3654118429507314</v>
      </c>
      <c r="S1010" s="26">
        <f t="shared" si="578"/>
        <v>8.5628064291066449E-5</v>
      </c>
      <c r="T1010" s="26">
        <f t="shared" si="579"/>
        <v>1.9816177662324006</v>
      </c>
      <c r="U1010" s="26">
        <f t="shared" si="580"/>
        <v>0.87885351130110212</v>
      </c>
      <c r="V1010" s="26">
        <f t="shared" si="581"/>
        <v>2.7961204910366115</v>
      </c>
      <c r="W1010" s="26">
        <f t="shared" si="582"/>
        <v>0.94246582236436027</v>
      </c>
      <c r="X1010" s="26">
        <f t="shared" si="583"/>
        <v>1.6550907981046732E-3</v>
      </c>
      <c r="Y1010" s="26">
        <f t="shared" si="584"/>
        <v>2.4476680552872367</v>
      </c>
      <c r="Z1010" s="26">
        <f t="shared" si="585"/>
        <v>0.92039075287839389</v>
      </c>
      <c r="AA1010" s="26">
        <f t="shared" si="586"/>
        <v>-7.2118051057650039</v>
      </c>
      <c r="AB1010" s="26">
        <f t="shared" si="587"/>
        <v>7.3728011909145457E-4</v>
      </c>
      <c r="AC1010" s="26">
        <f t="shared" si="588"/>
        <v>2.9236814793468744</v>
      </c>
      <c r="AD1010" s="26">
        <f t="shared" si="589"/>
        <v>0.9490047580631743</v>
      </c>
      <c r="AE1010" s="26">
        <f t="shared" si="590"/>
        <v>1.3002573500976932E-3</v>
      </c>
      <c r="AF1010" s="26">
        <f t="shared" si="591"/>
        <v>-3.4184406959416402</v>
      </c>
      <c r="AG1010" s="26">
        <f t="shared" si="592"/>
        <v>3.1724091613511841E-2</v>
      </c>
      <c r="AH1010" s="26">
        <f t="shared" si="593"/>
        <v>-2.7670054391320993</v>
      </c>
      <c r="AI1010" s="26">
        <f t="shared" si="594"/>
        <v>5.9133400985914013E-2</v>
      </c>
      <c r="AJ1010" s="26">
        <f t="shared" si="595"/>
        <v>-2.8237107114380615</v>
      </c>
      <c r="AK1010" s="26">
        <f t="shared" si="596"/>
        <v>5.6056261386208756E-2</v>
      </c>
      <c r="AL1010" s="26">
        <f t="shared" si="597"/>
        <v>1.5711522202994793E-3</v>
      </c>
      <c r="AM1010" s="27">
        <f t="shared" si="598"/>
        <v>6.5001044914014434E-3</v>
      </c>
    </row>
    <row r="1011" spans="1:39" ht="15" customHeight="1" x14ac:dyDescent="0.2">
      <c r="A1011" s="24">
        <v>1000</v>
      </c>
      <c r="B1011" s="29">
        <f t="shared" si="599"/>
        <v>5.9475933584410177</v>
      </c>
      <c r="C1011" s="29">
        <f t="shared" si="600"/>
        <v>-5.8667388191693961</v>
      </c>
      <c r="D1011" s="29">
        <f t="shared" si="601"/>
        <v>-3.4994094987527782</v>
      </c>
      <c r="E1011" s="29">
        <f t="shared" si="602"/>
        <v>-4.7497858209700157</v>
      </c>
      <c r="F1011" s="29">
        <f t="shared" si="603"/>
        <v>4.4459902206214892</v>
      </c>
      <c r="G1011" s="29">
        <f t="shared" si="604"/>
        <v>-2.4638841425955924</v>
      </c>
      <c r="H1011" s="29">
        <f t="shared" si="605"/>
        <v>6.9376008614635154</v>
      </c>
      <c r="I1011" s="29">
        <f t="shared" si="606"/>
        <v>7.1257590656704819</v>
      </c>
      <c r="J1011" s="29">
        <f t="shared" si="607"/>
        <v>-3.4660475675622728</v>
      </c>
      <c r="K1011" s="26">
        <f t="shared" si="570"/>
        <v>-3.4994094987527782</v>
      </c>
      <c r="L1011" s="26">
        <f t="shared" si="571"/>
        <v>2.9329036968104891E-2</v>
      </c>
      <c r="M1011" s="26">
        <f t="shared" si="572"/>
        <v>-2.4638841425955924</v>
      </c>
      <c r="N1011" s="26">
        <f t="shared" si="573"/>
        <v>7.8429138984491692E-2</v>
      </c>
      <c r="O1011" s="26">
        <f t="shared" si="574"/>
        <v>-2.7037072672949813</v>
      </c>
      <c r="P1011" s="26">
        <f t="shared" si="575"/>
        <v>6.2754952795907315E-2</v>
      </c>
      <c r="Q1011" s="26">
        <f t="shared" si="576"/>
        <v>1.9690920502082776E-3</v>
      </c>
      <c r="R1011" s="26">
        <f t="shared" si="577"/>
        <v>-9.3661483179221747</v>
      </c>
      <c r="S1011" s="26">
        <f t="shared" si="578"/>
        <v>8.5565029975291182E-5</v>
      </c>
      <c r="T1011" s="26">
        <f t="shared" si="579"/>
        <v>1.9821060780258968</v>
      </c>
      <c r="U1011" s="26">
        <f t="shared" si="580"/>
        <v>0.87890549224860726</v>
      </c>
      <c r="V1011" s="26">
        <f t="shared" si="581"/>
        <v>2.7974148277214863</v>
      </c>
      <c r="W1011" s="26">
        <f t="shared" si="582"/>
        <v>0.94253596629043324</v>
      </c>
      <c r="X1011" s="26">
        <f t="shared" si="583"/>
        <v>1.6510575850871127E-3</v>
      </c>
      <c r="Y1011" s="26">
        <f t="shared" si="584"/>
        <v>2.4481838596882395</v>
      </c>
      <c r="Z1011" s="26">
        <f t="shared" si="585"/>
        <v>0.92042853850557449</v>
      </c>
      <c r="AA1011" s="26">
        <f t="shared" si="586"/>
        <v>-7.2136699635656081</v>
      </c>
      <c r="AB1011" s="26">
        <f t="shared" si="587"/>
        <v>7.3590748860409539E-4</v>
      </c>
      <c r="AC1011" s="26">
        <f t="shared" si="588"/>
        <v>2.9247621535480204</v>
      </c>
      <c r="AD1011" s="26">
        <f t="shared" si="589"/>
        <v>0.94905703162669397</v>
      </c>
      <c r="AE1011" s="26">
        <f t="shared" si="590"/>
        <v>1.2975930133418293E-3</v>
      </c>
      <c r="AF1011" s="26">
        <f t="shared" si="591"/>
        <v>-3.4185549594811566</v>
      </c>
      <c r="AG1011" s="26">
        <f t="shared" si="592"/>
        <v>3.1720581891195809E-2</v>
      </c>
      <c r="AH1011" s="26">
        <f t="shared" si="593"/>
        <v>-2.7676797429441189</v>
      </c>
      <c r="AI1011" s="26">
        <f t="shared" si="594"/>
        <v>5.9095896136999192E-2</v>
      </c>
      <c r="AJ1011" s="26">
        <f t="shared" si="595"/>
        <v>-2.8248797136656458</v>
      </c>
      <c r="AK1011" s="26">
        <f t="shared" si="596"/>
        <v>5.599443694481538E-2</v>
      </c>
      <c r="AL1011" s="26">
        <f t="shared" si="597"/>
        <v>1.5676884843834529E-3</v>
      </c>
      <c r="AM1011" s="27">
        <f t="shared" si="598"/>
        <v>6.4854311330206724E-3</v>
      </c>
    </row>
    <row r="1013" spans="1:39" ht="15" customHeight="1" x14ac:dyDescent="0.2">
      <c r="A1013" s="12" t="s">
        <v>107</v>
      </c>
      <c r="B1013" s="30" t="s">
        <v>108</v>
      </c>
      <c r="AM1013" s="31">
        <f>AM1011</f>
        <v>6.4854311330206724E-3</v>
      </c>
    </row>
  </sheetData>
  <mergeCells count="9">
    <mergeCell ref="A1:L1"/>
    <mergeCell ref="A3:L3"/>
    <mergeCell ref="A5:L5"/>
    <mergeCell ref="A8:AV8"/>
    <mergeCell ref="B10:J10"/>
    <mergeCell ref="K10:Q10"/>
    <mergeCell ref="R10:X10"/>
    <mergeCell ref="Y10:AE10"/>
    <mergeCell ref="AF10:AL10"/>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7"/>
  <sheetViews>
    <sheetView zoomScaleNormal="100" workbookViewId="0"/>
  </sheetViews>
  <sheetFormatPr baseColWidth="10" defaultColWidth="8.6640625" defaultRowHeight="15" x14ac:dyDescent="0.2"/>
  <cols>
    <col min="1" max="1" width="3" customWidth="1"/>
    <col min="2" max="10" width="14" customWidth="1"/>
  </cols>
  <sheetData>
    <row r="1" spans="1:10" ht="31.5" customHeight="1" x14ac:dyDescent="0.2">
      <c r="A1" s="7" t="s">
        <v>109</v>
      </c>
      <c r="B1" s="7"/>
      <c r="C1" s="7"/>
      <c r="D1" s="7"/>
      <c r="E1" s="7"/>
      <c r="F1" s="7"/>
      <c r="G1" s="7"/>
      <c r="H1" s="7"/>
      <c r="I1" s="7"/>
      <c r="J1" s="7"/>
    </row>
    <row r="3" spans="1:10" ht="34.5" customHeight="1" x14ac:dyDescent="0.2">
      <c r="A3" s="5" t="s">
        <v>110</v>
      </c>
      <c r="B3" s="5"/>
      <c r="C3" s="5"/>
      <c r="D3" s="5"/>
      <c r="E3" s="5"/>
      <c r="F3" s="5"/>
      <c r="G3" s="5"/>
      <c r="H3" s="5"/>
      <c r="I3" s="5"/>
      <c r="J3" s="5"/>
    </row>
    <row r="5" spans="1:10" ht="24" customHeight="1" x14ac:dyDescent="0.2">
      <c r="A5" s="6" t="s">
        <v>111</v>
      </c>
      <c r="B5" s="6"/>
      <c r="C5" s="6"/>
      <c r="D5" s="6"/>
      <c r="E5" s="6"/>
      <c r="F5" s="6"/>
      <c r="G5" s="6"/>
      <c r="H5" s="6"/>
      <c r="I5" s="6"/>
      <c r="J5" s="6"/>
    </row>
    <row r="6" spans="1:10" ht="15" customHeight="1" x14ac:dyDescent="0.2">
      <c r="B6" s="8" t="s">
        <v>54</v>
      </c>
    </row>
    <row r="7" spans="1:10" ht="15" customHeight="1" x14ac:dyDescent="0.2">
      <c r="C7" s="15" t="s">
        <v>55</v>
      </c>
      <c r="D7" s="15" t="s">
        <v>56</v>
      </c>
    </row>
    <row r="8" spans="1:10" ht="15" customHeight="1" x14ac:dyDescent="0.2">
      <c r="B8" s="21" t="s">
        <v>57</v>
      </c>
      <c r="C8" s="25">
        <v>6</v>
      </c>
      <c r="D8" s="25">
        <v>-4.7</v>
      </c>
    </row>
    <row r="9" spans="1:10" ht="15" customHeight="1" x14ac:dyDescent="0.2">
      <c r="B9" s="21" t="s">
        <v>58</v>
      </c>
      <c r="C9" s="25">
        <v>-5.9</v>
      </c>
      <c r="D9" s="25">
        <v>4.4000000000000004</v>
      </c>
    </row>
    <row r="10" spans="1:10" ht="15" customHeight="1" x14ac:dyDescent="0.2">
      <c r="B10" s="21" t="s">
        <v>59</v>
      </c>
      <c r="C10" s="25">
        <v>-3.5</v>
      </c>
      <c r="D10" s="25">
        <v>-2.5</v>
      </c>
    </row>
    <row r="12" spans="1:10" ht="15" customHeight="1" x14ac:dyDescent="0.2">
      <c r="B12" s="8" t="s">
        <v>60</v>
      </c>
    </row>
    <row r="13" spans="1:10" ht="15" customHeight="1" x14ac:dyDescent="0.2">
      <c r="C13" s="15" t="s">
        <v>61</v>
      </c>
    </row>
    <row r="14" spans="1:10" ht="15" customHeight="1" x14ac:dyDescent="0.2">
      <c r="B14" s="21" t="s">
        <v>62</v>
      </c>
      <c r="C14" s="25">
        <v>6.9</v>
      </c>
    </row>
    <row r="15" spans="1:10" ht="15" customHeight="1" x14ac:dyDescent="0.2">
      <c r="B15" s="21" t="s">
        <v>63</v>
      </c>
      <c r="C15" s="25">
        <v>7.1</v>
      </c>
    </row>
    <row r="16" spans="1:10" ht="15" customHeight="1" x14ac:dyDescent="0.2">
      <c r="B16" s="21" t="s">
        <v>59</v>
      </c>
      <c r="C16" s="25">
        <v>-3.5</v>
      </c>
    </row>
    <row r="19" spans="1:10" ht="24" customHeight="1" x14ac:dyDescent="0.2">
      <c r="A19" s="6" t="s">
        <v>112</v>
      </c>
      <c r="B19" s="6"/>
      <c r="C19" s="6"/>
      <c r="D19" s="6"/>
      <c r="E19" s="6"/>
      <c r="F19" s="6"/>
      <c r="G19" s="6"/>
      <c r="H19" s="6"/>
      <c r="I19" s="6"/>
      <c r="J19" s="6"/>
    </row>
    <row r="20" spans="1:10" ht="27.75" customHeight="1" x14ac:dyDescent="0.2">
      <c r="B20" s="15" t="s">
        <v>37</v>
      </c>
      <c r="C20" s="15" t="s">
        <v>38</v>
      </c>
      <c r="D20" s="15" t="s">
        <v>99</v>
      </c>
      <c r="E20" s="15" t="s">
        <v>101</v>
      </c>
      <c r="F20" s="15" t="s">
        <v>113</v>
      </c>
      <c r="G20" s="15" t="s">
        <v>114</v>
      </c>
      <c r="H20" s="15" t="s">
        <v>42</v>
      </c>
      <c r="I20" s="15" t="s">
        <v>43</v>
      </c>
      <c r="J20" s="15" t="s">
        <v>115</v>
      </c>
    </row>
    <row r="21" spans="1:10" ht="15" customHeight="1" x14ac:dyDescent="0.2">
      <c r="B21" s="16">
        <v>0</v>
      </c>
      <c r="C21" s="16">
        <v>0</v>
      </c>
      <c r="D21" s="18">
        <f>1/(1+EXP(-(B21*$C$8+C21*$C$9+$C$10)))</f>
        <v>2.9312230751356319E-2</v>
      </c>
      <c r="E21" s="18">
        <f>1/(1+EXP(-(B21*$D$8+C21*$D$9+$D$10)))</f>
        <v>7.5858180021243546E-2</v>
      </c>
      <c r="F21" s="22">
        <f>1/(1+EXP(-(D21*$C$14+E21*$C$15+$C$16)))</f>
        <v>5.957182610980076E-2</v>
      </c>
      <c r="G21" s="32">
        <f>IF(F21&gt;=0.5,1,0)</f>
        <v>0</v>
      </c>
      <c r="H21" s="16">
        <v>0</v>
      </c>
      <c r="I21" s="20" t="str">
        <f>IF(G21=H21,"✓","✗")</f>
        <v>✓</v>
      </c>
      <c r="J21" s="18">
        <f>0.5*(H21-F21)^2</f>
        <v>1.7744012330281698E-3</v>
      </c>
    </row>
    <row r="22" spans="1:10" ht="15" customHeight="1" x14ac:dyDescent="0.2">
      <c r="B22" s="16">
        <v>0</v>
      </c>
      <c r="C22" s="16">
        <v>1</v>
      </c>
      <c r="D22" s="18">
        <f>1/(1+EXP(-(B22*$C$8+C22*$C$9+$C$10)))</f>
        <v>8.2717222851666389E-5</v>
      </c>
      <c r="E22" s="18">
        <f>1/(1+EXP(-(B22*$D$8+C22*$D$9+$D$10)))</f>
        <v>0.86989152563700212</v>
      </c>
      <c r="F22" s="22">
        <f>1/(1+EXP(-(D22*$C$14+E22*$C$15+$C$16)))</f>
        <v>0.93564374037952869</v>
      </c>
      <c r="G22" s="32">
        <f>IF(F22&gt;=0.5,1,0)</f>
        <v>1</v>
      </c>
      <c r="H22" s="16">
        <v>1</v>
      </c>
      <c r="I22" s="20" t="str">
        <f>IF(G22=H22,"✓","✗")</f>
        <v>✓</v>
      </c>
      <c r="J22" s="18">
        <f>0.5*(H22-F22)^2</f>
        <v>2.0708640761687531E-3</v>
      </c>
    </row>
    <row r="23" spans="1:10" ht="15" customHeight="1" x14ac:dyDescent="0.2">
      <c r="B23" s="16">
        <v>1</v>
      </c>
      <c r="C23" s="16">
        <v>0</v>
      </c>
      <c r="D23" s="18">
        <f>1/(1+EXP(-(B23*$C$8+C23*$C$9+$C$10)))</f>
        <v>0.92414181997875655</v>
      </c>
      <c r="E23" s="18">
        <f>1/(1+EXP(-(B23*$D$8+C23*$D$9+$D$10)))</f>
        <v>7.4602883383669699E-4</v>
      </c>
      <c r="F23" s="22">
        <f>1/(1+EXP(-(D23*$C$14+E23*$C$15+$C$16)))</f>
        <v>0.94694316422151048</v>
      </c>
      <c r="G23" s="32">
        <f>IF(F23&gt;=0.5,1,0)</f>
        <v>1</v>
      </c>
      <c r="H23" s="16">
        <v>1</v>
      </c>
      <c r="I23" s="20" t="str">
        <f>IF(G23=H23,"✓","✗")</f>
        <v>✓</v>
      </c>
      <c r="J23" s="18">
        <f>0.5*(H23-F23)^2</f>
        <v>1.4075139114128029E-3</v>
      </c>
    </row>
    <row r="24" spans="1:10" ht="15" customHeight="1" x14ac:dyDescent="0.2">
      <c r="B24" s="16">
        <v>1</v>
      </c>
      <c r="C24" s="16">
        <v>1</v>
      </c>
      <c r="D24" s="18">
        <f>1/(1+EXP(-(B24*$C$8+C24*$C$9+$C$10)))</f>
        <v>3.2295464698450495E-2</v>
      </c>
      <c r="E24" s="18">
        <f>1/(1+EXP(-(B24*$D$8+C24*$D$9+$D$10)))</f>
        <v>5.7324175898868755E-2</v>
      </c>
      <c r="F24" s="22">
        <f>1/(1+EXP(-(D24*$C$14+E24*$C$15+$C$16)))</f>
        <v>5.3648546207618046E-2</v>
      </c>
      <c r="G24" s="32">
        <f>IF(F24&gt;=0.5,1,0)</f>
        <v>0</v>
      </c>
      <c r="H24" s="16">
        <v>0</v>
      </c>
      <c r="I24" s="20" t="str">
        <f>IF(G24=H24,"✓","✗")</f>
        <v>✓</v>
      </c>
      <c r="J24" s="18">
        <f>0.5*(H24-F24)^2</f>
        <v>1.4390832550954644E-3</v>
      </c>
    </row>
    <row r="25" spans="1:10" ht="15" customHeight="1" x14ac:dyDescent="0.2">
      <c r="B25" s="30" t="s">
        <v>116</v>
      </c>
      <c r="C25" s="1">
        <f>SUM(J21:J24)</f>
        <v>6.6918624757051903E-3</v>
      </c>
      <c r="D25" s="1"/>
      <c r="E25" s="1"/>
      <c r="F25" s="1"/>
      <c r="G25" s="1"/>
      <c r="H25" s="1"/>
      <c r="I25" s="1"/>
      <c r="J25" s="19" t="str">
        <f>COUNTIF(I21:I24,"✓")&amp;" / 4 correct"</f>
        <v>4 / 4 correct</v>
      </c>
    </row>
    <row r="27" spans="1:10" ht="34.5" customHeight="1" x14ac:dyDescent="0.2">
      <c r="A27" s="5" t="s">
        <v>117</v>
      </c>
      <c r="B27" s="5"/>
      <c r="C27" s="5"/>
      <c r="D27" s="5"/>
      <c r="E27" s="5"/>
      <c r="F27" s="5"/>
      <c r="G27" s="5"/>
      <c r="H27" s="5"/>
      <c r="I27" s="5"/>
      <c r="J27" s="5"/>
    </row>
  </sheetData>
  <mergeCells count="6">
    <mergeCell ref="A27:J27"/>
    <mergeCell ref="A1:J1"/>
    <mergeCell ref="A3:J3"/>
    <mergeCell ref="A5:J5"/>
    <mergeCell ref="A19:J19"/>
    <mergeCell ref="C25:I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AND_OR_NOT</vt:lpstr>
      <vt:lpstr>XOR_Forward</vt:lpstr>
      <vt:lpstr>XOR_Training</vt:lpstr>
      <vt:lpstr>Playground</vt:lpstr>
    </vt:vector>
  </TitlesOfParts>
  <Manager/>
  <Company>Country Fried Labs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Neural Network in Excel</dc:title>
  <dc:subject>Neural networks</dc:subject>
  <dc:creator>Joe Domaleski</dc:creator>
  <cp:keywords/>
  <dc:description>Companion spreadsheet to the blog article on https://blog.marketingdatascience.ai</dc:description>
  <cp:lastModifiedBy>Joe Domaleski</cp:lastModifiedBy>
  <cp:revision>4</cp:revision>
  <dcterms:created xsi:type="dcterms:W3CDTF">2026-05-10T14:52:16Z</dcterms:created>
  <dcterms:modified xsi:type="dcterms:W3CDTF">2026-05-17T15:28:25Z</dcterms:modified>
  <cp:category/>
  <dc:language>en-US</dc:language>
</cp:coreProperties>
</file>